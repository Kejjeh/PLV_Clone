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tter Stats" sheetId="1" r:id="rId5"/>
    <sheet state="visible" name="vs Last Year" sheetId="2" r:id="rId6"/>
    <sheet state="visible" name="Last 400 Pitch Changes" sheetId="3" r:id="rId7"/>
    <sheet state="visible" name="Team Stats" sheetId="4" r:id="rId8"/>
    <sheet state="visible" name="Stat Glossary" sheetId="5" r:id="rId9"/>
    <sheet state="visible" name="Roster Rate" sheetId="6" r:id="rId10"/>
    <sheet state="visible" name="2024" sheetId="7" r:id="rId11"/>
    <sheet state="visible" name="2023" sheetId="8" r:id="rId12"/>
    <sheet state="visible" name="2022" sheetId="9" r:id="rId13"/>
  </sheets>
  <definedNames/>
  <calcPr/>
</workbook>
</file>

<file path=xl/sharedStrings.xml><?xml version="1.0" encoding="utf-8"?>
<sst xmlns="http://schemas.openxmlformats.org/spreadsheetml/2006/main" count="2115" uniqueCount="766">
  <si>
    <t>MLBAMID</t>
  </si>
  <si>
    <t>Hitter</t>
  </si>
  <si>
    <t>Pitches
Faced</t>
  </si>
  <si>
    <t>Swings</t>
  </si>
  <si>
    <t>BBE</t>
  </si>
  <si>
    <t>Swing Aggression</t>
  </si>
  <si>
    <t>Strikezone Judgement+</t>
  </si>
  <si>
    <t>Decision
Value+</t>
  </si>
  <si>
    <t>zDV+</t>
  </si>
  <si>
    <t>oDV+</t>
  </si>
  <si>
    <t>Contact 
Ability+</t>
  </si>
  <si>
    <t>Power+</t>
  </si>
  <si>
    <t>Process+</t>
  </si>
  <si>
    <t>Hitter Performance</t>
  </si>
  <si>
    <t>Regressed DV</t>
  </si>
  <si>
    <t>Regressed CA</t>
  </si>
  <si>
    <t>Regressed Power</t>
  </si>
  <si>
    <t>Regressed Process</t>
  </si>
  <si>
    <t>Aaron Judge</t>
  </si>
  <si>
    <t>Juan Soto</t>
  </si>
  <si>
    <t>Shohei Ohtani</t>
  </si>
  <si>
    <t>Pete Alonso</t>
  </si>
  <si>
    <t>Ronald Acuña Jr.</t>
  </si>
  <si>
    <t>Mike Trout</t>
  </si>
  <si>
    <t>George Springer</t>
  </si>
  <si>
    <t>Gleyber Torres</t>
  </si>
  <si>
    <t>Michael Busch</t>
  </si>
  <si>
    <t>Corey Seager</t>
  </si>
  <si>
    <t>Romy González</t>
  </si>
  <si>
    <t>Jo Adell</t>
  </si>
  <si>
    <t>Manny Machado</t>
  </si>
  <si>
    <t>Ben Rice</t>
  </si>
  <si>
    <t>Vladimir Guerrero Jr.</t>
  </si>
  <si>
    <t>Yandy Díaz</t>
  </si>
  <si>
    <t>Will Smith</t>
  </si>
  <si>
    <t>Alejandro Kirk</t>
  </si>
  <si>
    <t>Seiya Suzuki</t>
  </si>
  <si>
    <t>James Wood</t>
  </si>
  <si>
    <t>Ketel Marte</t>
  </si>
  <si>
    <t>Kyle Schwarber</t>
  </si>
  <si>
    <t>Nick Kurtz</t>
  </si>
  <si>
    <t>Jonathan Aranda</t>
  </si>
  <si>
    <t>Iván Herrera</t>
  </si>
  <si>
    <t>Max Muncy</t>
  </si>
  <si>
    <t>Bobby Witt Jr.</t>
  </si>
  <si>
    <t>Willson Contreras</t>
  </si>
  <si>
    <t>Fernando Tatis Jr.</t>
  </si>
  <si>
    <t>Brent Rooker</t>
  </si>
  <si>
    <t>Bo Bichette</t>
  </si>
  <si>
    <t>Corbin Carroll</t>
  </si>
  <si>
    <t>Spencer Torkelson</t>
  </si>
  <si>
    <t>Austin Slater</t>
  </si>
  <si>
    <t>Matt Olson</t>
  </si>
  <si>
    <t>Zach Neto</t>
  </si>
  <si>
    <t>Trent Grisham</t>
  </si>
  <si>
    <t>Kyle Stowers</t>
  </si>
  <si>
    <t>Byron Buxton</t>
  </si>
  <si>
    <t>Marcell Ozuna</t>
  </si>
  <si>
    <t>Brendan Donovan</t>
  </si>
  <si>
    <t>Colt Keith</t>
  </si>
  <si>
    <t>Bryce Harper</t>
  </si>
  <si>
    <t>Agustín Ramírez</t>
  </si>
  <si>
    <t>Luis Torrens</t>
  </si>
  <si>
    <t>Kyle Tucker</t>
  </si>
  <si>
    <t>Drake Baldwin</t>
  </si>
  <si>
    <t>Yordan Alvarez</t>
  </si>
  <si>
    <t>Riley Greene</t>
  </si>
  <si>
    <t>Will Benson</t>
  </si>
  <si>
    <t>Addison Barger</t>
  </si>
  <si>
    <t>Ezequiel Tovar</t>
  </si>
  <si>
    <t>Wilyer Abreu</t>
  </si>
  <si>
    <t>Carson Kelly</t>
  </si>
  <si>
    <t>Ryan Jeffers</t>
  </si>
  <si>
    <t>Otto Lopez</t>
  </si>
  <si>
    <t>Alex Bregman</t>
  </si>
  <si>
    <t>Gavin Sheets</t>
  </si>
  <si>
    <t>Paul Goldschmidt</t>
  </si>
  <si>
    <t>Jackson Merrill</t>
  </si>
  <si>
    <t>Jordan Westburg</t>
  </si>
  <si>
    <t>Cal Raleigh</t>
  </si>
  <si>
    <t>Eugenio Suárez</t>
  </si>
  <si>
    <t>Ramón Laureano</t>
  </si>
  <si>
    <t>Salvador Perez</t>
  </si>
  <si>
    <t>Taylor Ward</t>
  </si>
  <si>
    <t>Randal Grichuk</t>
  </si>
  <si>
    <t>Rowdy Tellez</t>
  </si>
  <si>
    <t>Oneil Cruz</t>
  </si>
  <si>
    <t>Jazz Chisholm Jr.</t>
  </si>
  <si>
    <t>Bryan Reynolds</t>
  </si>
  <si>
    <t>Roman Anthony</t>
  </si>
  <si>
    <t>Adley Rutschman</t>
  </si>
  <si>
    <t>Brandon Lowe</t>
  </si>
  <si>
    <t>Sean Murphy</t>
  </si>
  <si>
    <t>Rafael Devers</t>
  </si>
  <si>
    <t>Ryan O'Hearn</t>
  </si>
  <si>
    <t>Austin Riley</t>
  </si>
  <si>
    <t>Randy Arozarena</t>
  </si>
  <si>
    <t>Ty France</t>
  </si>
  <si>
    <t>Dansby Swanson</t>
  </si>
  <si>
    <t>Freddie Freeman</t>
  </si>
  <si>
    <t>Daniel Schneemann</t>
  </si>
  <si>
    <t>Yoán Moncada</t>
  </si>
  <si>
    <t>Nick Gonzales</t>
  </si>
  <si>
    <t>Jac Caglianone</t>
  </si>
  <si>
    <t>Gabriel Moreno</t>
  </si>
  <si>
    <t>Kody Clemens</t>
  </si>
  <si>
    <t>Yainer Diaz</t>
  </si>
  <si>
    <t>Andrew Vaughn</t>
  </si>
  <si>
    <t>Dillon Dingler</t>
  </si>
  <si>
    <t>Maikel Garcia</t>
  </si>
  <si>
    <t>Alec Burleson</t>
  </si>
  <si>
    <t>Teoscar Hernández</t>
  </si>
  <si>
    <t>Logan O'Hoppe</t>
  </si>
  <si>
    <t>Edouard Julien</t>
  </si>
  <si>
    <t>Kerry Carpenter</t>
  </si>
  <si>
    <t>Luis García Jr.</t>
  </si>
  <si>
    <t>Jorge Polanco</t>
  </si>
  <si>
    <t>Geraldo Perdomo</t>
  </si>
  <si>
    <t>Mookie Betts</t>
  </si>
  <si>
    <t>Heliot Ramos</t>
  </si>
  <si>
    <t>Andrew McCutchen</t>
  </si>
  <si>
    <t>Liam Hicks</t>
  </si>
  <si>
    <t>Tyler Soderstrom</t>
  </si>
  <si>
    <t>Vinnie Pasquantino</t>
  </si>
  <si>
    <t>Brandon Nimmo</t>
  </si>
  <si>
    <t>Andy Pages</t>
  </si>
  <si>
    <t>Zach Dezenzo</t>
  </si>
  <si>
    <t>Matt Chapman</t>
  </si>
  <si>
    <t>Jesús Sánchez</t>
  </si>
  <si>
    <t>Ceddanne Rafaela</t>
  </si>
  <si>
    <t>Tyler Freeman</t>
  </si>
  <si>
    <t>Amed Rosario</t>
  </si>
  <si>
    <t>Michael A. Taylor</t>
  </si>
  <si>
    <t>Isaac Paredes</t>
  </si>
  <si>
    <t>Xander Bogaerts</t>
  </si>
  <si>
    <t>Nolan Jones</t>
  </si>
  <si>
    <t>Jackson Holliday</t>
  </si>
  <si>
    <t>Brett Baty</t>
  </si>
  <si>
    <t>Austin Hays</t>
  </si>
  <si>
    <t>Christian Yelich</t>
  </si>
  <si>
    <t>Alec Bohm</t>
  </si>
  <si>
    <t>Cam Smith</t>
  </si>
  <si>
    <t>Josh Lowe</t>
  </si>
  <si>
    <t>Gary Sánchez</t>
  </si>
  <si>
    <t>Andrew Benintendi</t>
  </si>
  <si>
    <t>Jake Meyers</t>
  </si>
  <si>
    <t>Jonathan India</t>
  </si>
  <si>
    <t>Kyle Manzardo</t>
  </si>
  <si>
    <t>Rob Refsnyder</t>
  </si>
  <si>
    <t>Jake Bauers</t>
  </si>
  <si>
    <t>Elly De La Cruz</t>
  </si>
  <si>
    <t>Dylan Crews</t>
  </si>
  <si>
    <t>Marcus Semien</t>
  </si>
  <si>
    <t>Pete Crow-Armstrong</t>
  </si>
  <si>
    <t>Royce Lewis</t>
  </si>
  <si>
    <t>William Contreras</t>
  </si>
  <si>
    <t>Daylen Lile</t>
  </si>
  <si>
    <t>Jeremy Peña</t>
  </si>
  <si>
    <t>Rhys Hoskins</t>
  </si>
  <si>
    <t>Connor Norby</t>
  </si>
  <si>
    <t>Jordan Beck</t>
  </si>
  <si>
    <t>Wyatt Langford</t>
  </si>
  <si>
    <t>Brandon Marsh</t>
  </si>
  <si>
    <t>Miguel Vargas</t>
  </si>
  <si>
    <t>Brice Turang</t>
  </si>
  <si>
    <t>Josh Bell</t>
  </si>
  <si>
    <t>Nick Castellanos</t>
  </si>
  <si>
    <t>Francisco Lindor</t>
  </si>
  <si>
    <t>Josh Jung</t>
  </si>
  <si>
    <t>Casey Schmitt</t>
  </si>
  <si>
    <t>Triston Casas</t>
  </si>
  <si>
    <t>José Ramírez</t>
  </si>
  <si>
    <t>Nolan Schanuel</t>
  </si>
  <si>
    <t>Gunnar Henderson</t>
  </si>
  <si>
    <t>Nolan Gorman</t>
  </si>
  <si>
    <t>Victor Caratini</t>
  </si>
  <si>
    <t>Shea Langeliers</t>
  </si>
  <si>
    <t>Josh Naylor</t>
  </si>
  <si>
    <t>Michael Conforto</t>
  </si>
  <si>
    <t>Julio Rodríguez</t>
  </si>
  <si>
    <t>Ryan Mountcastle</t>
  </si>
  <si>
    <t>Willy Adames</t>
  </si>
  <si>
    <t>Lenyn Sosa</t>
  </si>
  <si>
    <t>Junior Caminero</t>
  </si>
  <si>
    <t>Cody Bellinger</t>
  </si>
  <si>
    <t>Tyler O'Neill</t>
  </si>
  <si>
    <t>Joey Bart</t>
  </si>
  <si>
    <t>Ian Happ</t>
  </si>
  <si>
    <t>J.P. Crawford</t>
  </si>
  <si>
    <t>Zach McKinstry</t>
  </si>
  <si>
    <t>Jung Hoo Lee</t>
  </si>
  <si>
    <t>Tommy Edman</t>
  </si>
  <si>
    <t>Mike Tauchman</t>
  </si>
  <si>
    <t>J.T. Realmuto</t>
  </si>
  <si>
    <t>Carlos Correa</t>
  </si>
  <si>
    <t>Colton Cowser</t>
  </si>
  <si>
    <t>Danny Jansen</t>
  </si>
  <si>
    <t>Lars Nootbaar</t>
  </si>
  <si>
    <t>Steven Kwan</t>
  </si>
  <si>
    <t>Pavin Smith</t>
  </si>
  <si>
    <t>Alexander Canario</t>
  </si>
  <si>
    <t>Ryan McMahon</t>
  </si>
  <si>
    <t>Josh Smith</t>
  </si>
  <si>
    <t>Adolis García</t>
  </si>
  <si>
    <t>Dane Myers</t>
  </si>
  <si>
    <t>Jake Burger</t>
  </si>
  <si>
    <t>Matt Wallner</t>
  </si>
  <si>
    <t>Wenceel Pérez</t>
  </si>
  <si>
    <t>Mickey Moniak</t>
  </si>
  <si>
    <t>Eric Wagaman</t>
  </si>
  <si>
    <t>CJ Abrams</t>
  </si>
  <si>
    <t>Jeff McNeil</t>
  </si>
  <si>
    <t>Austin Wells</t>
  </si>
  <si>
    <t>Lourdes Gurriel Jr.</t>
  </si>
  <si>
    <t>Christian Walker</t>
  </si>
  <si>
    <t>Anthony Volpe</t>
  </si>
  <si>
    <t>Max Kepler</t>
  </si>
  <si>
    <t>Curtis Mead</t>
  </si>
  <si>
    <t>Jarren Duran</t>
  </si>
  <si>
    <t>Max Schuemann</t>
  </si>
  <si>
    <t>Alex Verdugo</t>
  </si>
  <si>
    <t>Luis Urías</t>
  </si>
  <si>
    <t>Ramón Urías</t>
  </si>
  <si>
    <t>Travis d'Arnaud</t>
  </si>
  <si>
    <t>Trea Turner</t>
  </si>
  <si>
    <t>Chase Meidroth</t>
  </si>
  <si>
    <t>Jorge Soler</t>
  </si>
  <si>
    <t>Enrique Hernández</t>
  </si>
  <si>
    <t>Christopher Morel</t>
  </si>
  <si>
    <t>Luke Raley</t>
  </si>
  <si>
    <t>Gio Urshela</t>
  </si>
  <si>
    <t>Tyler Stephenson</t>
  </si>
  <si>
    <t>Nathaniel Lowe</t>
  </si>
  <si>
    <t>Bryson Stott</t>
  </si>
  <si>
    <t>Trevor Larnach</t>
  </si>
  <si>
    <t>Henry Davis</t>
  </si>
  <si>
    <t>Luis Rengifo</t>
  </si>
  <si>
    <t>Trevor Story</t>
  </si>
  <si>
    <t>Masyn Winn</t>
  </si>
  <si>
    <t>Lawrence Butler</t>
  </si>
  <si>
    <t>Matt McLain</t>
  </si>
  <si>
    <t>José Tena</t>
  </si>
  <si>
    <t>Francisco Alvarez</t>
  </si>
  <si>
    <t>Andrés Giménez</t>
  </si>
  <si>
    <t>Joshua Palacios</t>
  </si>
  <si>
    <t>Jackson Chourio</t>
  </si>
  <si>
    <t>Alex Call</t>
  </si>
  <si>
    <t>Hunter Goodman</t>
  </si>
  <si>
    <t>Luis Robert Jr.</t>
  </si>
  <si>
    <t>Spencer Horwitz</t>
  </si>
  <si>
    <t>Jasson Domínguez</t>
  </si>
  <si>
    <t>Kyren Paris</t>
  </si>
  <si>
    <t>Bo Naylor</t>
  </si>
  <si>
    <t>Jake Cronenworth</t>
  </si>
  <si>
    <t>Miles Mastrobuoni</t>
  </si>
  <si>
    <t>Nathan Lukes</t>
  </si>
  <si>
    <t>Starling Marte</t>
  </si>
  <si>
    <t>Eli White</t>
  </si>
  <si>
    <t>DJ LeMahieu</t>
  </si>
  <si>
    <t>Mitch Garver</t>
  </si>
  <si>
    <t>Davis Schneider</t>
  </si>
  <si>
    <t>Brendan Rodgers</t>
  </si>
  <si>
    <t>Tim Tawa</t>
  </si>
  <si>
    <t>Kristian Campbell</t>
  </si>
  <si>
    <t>Carlos Santana</t>
  </si>
  <si>
    <t>Parker Meadows</t>
  </si>
  <si>
    <t>Harrison Bader</t>
  </si>
  <si>
    <t>Mike Yastrzemski</t>
  </si>
  <si>
    <t>Javier Sanoja</t>
  </si>
  <si>
    <t>Jared Triolo</t>
  </si>
  <si>
    <t>Donovan Solano</t>
  </si>
  <si>
    <t>Carlos Narváez</t>
  </si>
  <si>
    <t>Dylan Carlson</t>
  </si>
  <si>
    <t>Ke'Bryan Hayes</t>
  </si>
  <si>
    <t>Tommy Pham</t>
  </si>
  <si>
    <t>Cedric Mullins</t>
  </si>
  <si>
    <t>Justin Turner</t>
  </si>
  <si>
    <t>Jose Altuve</t>
  </si>
  <si>
    <t>Isaac Collins</t>
  </si>
  <si>
    <t>Heston Kjerstad</t>
  </si>
  <si>
    <t>Edgar Quero</t>
  </si>
  <si>
    <t>Justyn-Henry Malloy</t>
  </si>
  <si>
    <t>Brenton Doyle</t>
  </si>
  <si>
    <t>Edmundo Sosa</t>
  </si>
  <si>
    <t>Gavin Lux</t>
  </si>
  <si>
    <t>Joc Pederson</t>
  </si>
  <si>
    <t>Sam Haggerty</t>
  </si>
  <si>
    <t>Gabriel Arias</t>
  </si>
  <si>
    <t>Wilmer Flores</t>
  </si>
  <si>
    <t>Hyeseong Kim</t>
  </si>
  <si>
    <t>Nico Hoerner</t>
  </si>
  <si>
    <t>Myles Straw</t>
  </si>
  <si>
    <t>Christian Encarnacion-Strand</t>
  </si>
  <si>
    <t>Luis Arraez</t>
  </si>
  <si>
    <t>Willi Castro</t>
  </si>
  <si>
    <t>LaMonte Wade Jr.</t>
  </si>
  <si>
    <t>Nick Fortes</t>
  </si>
  <si>
    <t>Evan Carter</t>
  </si>
  <si>
    <t>Jake Fraley</t>
  </si>
  <si>
    <t>Kyle Higashioka</t>
  </si>
  <si>
    <t>Freddy Fermin</t>
  </si>
  <si>
    <t>TJ Friedl</t>
  </si>
  <si>
    <t>Will Wagner</t>
  </si>
  <si>
    <t>Jacob Wilson</t>
  </si>
  <si>
    <t>Miguel Andujar</t>
  </si>
  <si>
    <t>Jose Trevino</t>
  </si>
  <si>
    <t>Cole Young</t>
  </si>
  <si>
    <t>Adam Frazier</t>
  </si>
  <si>
    <t>Mark Vientos</t>
  </si>
  <si>
    <t>Anthony Santander</t>
  </si>
  <si>
    <t>Nolan Arenado</t>
  </si>
  <si>
    <t>Javier Báez</t>
  </si>
  <si>
    <t>José Caballero</t>
  </si>
  <si>
    <t>Jordan Walker</t>
  </si>
  <si>
    <t>Dylan Moore</t>
  </si>
  <si>
    <t>Tyrone Taylor</t>
  </si>
  <si>
    <t>Abraham Toro</t>
  </si>
  <si>
    <t>Spencer Steer</t>
  </si>
  <si>
    <t>Sal Frelick</t>
  </si>
  <si>
    <t>Matt Thaiss</t>
  </si>
  <si>
    <t>Marcelo Mayer</t>
  </si>
  <si>
    <t>Brooks Baldwin</t>
  </si>
  <si>
    <t>Michael Harris II</t>
  </si>
  <si>
    <t>Michael Toglia</t>
  </si>
  <si>
    <t>Mark Canha</t>
  </si>
  <si>
    <t>Caleb Durbin</t>
  </si>
  <si>
    <t>Taylor Walls</t>
  </si>
  <si>
    <t>Alek Thomas</t>
  </si>
  <si>
    <t>Brayan Rocchio</t>
  </si>
  <si>
    <t>Chandler Simpson</t>
  </si>
  <si>
    <t>Ernie Clement</t>
  </si>
  <si>
    <t>Isiah Kiner-Falefa</t>
  </si>
  <si>
    <t>Xavier Edwards</t>
  </si>
  <si>
    <t>Jonah Heim</t>
  </si>
  <si>
    <t>Jake Mangum</t>
  </si>
  <si>
    <t>Jose Iglesias</t>
  </si>
  <si>
    <t>Miguel Rojas</t>
  </si>
  <si>
    <t>Ronny Mauricio</t>
  </si>
  <si>
    <t>Riley Adams</t>
  </si>
  <si>
    <t>Santiago Espinal</t>
  </si>
  <si>
    <t>Kyle Farmer</t>
  </si>
  <si>
    <t>Oswald Peraza</t>
  </si>
  <si>
    <t>Brooks Lee</t>
  </si>
  <si>
    <t>Matt Shaw</t>
  </si>
  <si>
    <t>Joey Ortiz</t>
  </si>
  <si>
    <t>Kameron Misner</t>
  </si>
  <si>
    <t>Denzel Clarke</t>
  </si>
  <si>
    <t>Luisangel Acuña</t>
  </si>
  <si>
    <t>Patrick Bailey</t>
  </si>
  <si>
    <t>Jose Herrera</t>
  </si>
  <si>
    <t>Thairo Estrada</t>
  </si>
  <si>
    <t>Derek Hill</t>
  </si>
  <si>
    <t>Keibert Ruiz</t>
  </si>
  <si>
    <t>Victor Scott II</t>
  </si>
  <si>
    <t>Trey Sweeney</t>
  </si>
  <si>
    <t>Jacob Young</t>
  </si>
  <si>
    <t>Jonah Bride</t>
  </si>
  <si>
    <t>Ben Williamson</t>
  </si>
  <si>
    <t>Martín Maldonado</t>
  </si>
  <si>
    <t>Ozzie Albies</t>
  </si>
  <si>
    <t>Matt Mervis</t>
  </si>
  <si>
    <t>Mauricio Dubón</t>
  </si>
  <si>
    <t>Elias Díaz</t>
  </si>
  <si>
    <t>JJ Bleday</t>
  </si>
  <si>
    <t>Drew Waters</t>
  </si>
  <si>
    <t>Angel Martínez</t>
  </si>
  <si>
    <t>Christian Vázquez</t>
  </si>
  <si>
    <t>Lane Thomas</t>
  </si>
  <si>
    <t>Michael Massey</t>
  </si>
  <si>
    <t>Kyle Isbel</t>
  </si>
  <si>
    <t>David Hamilton</t>
  </si>
  <si>
    <t>Jonatan Clase</t>
  </si>
  <si>
    <t>Pedro Pagés</t>
  </si>
  <si>
    <t>Josh Rojas</t>
  </si>
  <si>
    <t>Nick Allen</t>
  </si>
  <si>
    <t>Tyler Wade</t>
  </si>
  <si>
    <t>Oswaldo Cabrera</t>
  </si>
  <si>
    <t>Leody Taveras</t>
  </si>
  <si>
    <t>Tyler Fitzgerald</t>
  </si>
  <si>
    <t>Nick Martini</t>
  </si>
  <si>
    <t>Orlando Arcia</t>
  </si>
  <si>
    <t>Johan Rojas</t>
  </si>
  <si>
    <t>Jacob Stallings</t>
  </si>
  <si>
    <t>Alan Roden</t>
  </si>
  <si>
    <t>Jhonkensy Noel</t>
  </si>
  <si>
    <t>Δ Swing 
Aggression</t>
  </si>
  <si>
    <t>Δ Decision 
Value+</t>
  </si>
  <si>
    <t>Δ Contact 
Ability+</t>
  </si>
  <si>
    <t>Δ Power+</t>
  </si>
  <si>
    <t>Δ Process+</t>
  </si>
  <si>
    <t>Team</t>
  </si>
  <si>
    <t>Strikezone Judgement</t>
  </si>
  <si>
    <t>Contact+</t>
  </si>
  <si>
    <t>Performance+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</si>
  <si>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</si>
  <si>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</si>
  <si>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</si>
  <si>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</si>
  <si>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</si>
  <si>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</si>
  <si>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</si>
  <si>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Guardians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</si>
  <si>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</si>
  <si>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</si>
  <si>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</si>
  <si>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</si>
  <si>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</si>
  <si>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</si>
  <si>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</si>
  <si>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</si>
  <si>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</si>
  <si>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</si>
  <si>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</si>
  <si>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</si>
  <si>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</si>
  <si>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</si>
  <si>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</si>
  <si>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San Francisco Giants</t>
  </si>
  <si>
    <t>Seattle Mariners</t>
  </si>
  <si>
    <t>St. Louis Cardinals</t>
  </si>
  <si>
    <t>Tampa Bay Rays</t>
  </si>
  <si>
    <t>Texas Rangers</t>
  </si>
  <si>
    <t>Toronto Blue Jays</t>
  </si>
  <si>
    <t>Washington Nationals</t>
  </si>
  <si>
    <t>Stat</t>
  </si>
  <si>
    <t>Description</t>
  </si>
  <si>
    <t>How much more often a hitter swings at pitches, given the swing likelihoods of the pitches they face.</t>
  </si>
  <si>
    <t>The "correctness" of a hitter's swings and takes, using the likelihood of a pitch being a called strike (for swings) or a ball/HBP (for takes). Value is + scale, and League Average is 100.</t>
  </si>
  <si>
    <t>Decision Value</t>
  </si>
  <si>
    <t>Value of a hitter's decision to swing or take, minus the value of the alternative. Value is + scale, and League Average is 100.</t>
  </si>
  <si>
    <t>zDV</t>
  </si>
  <si>
    <t>Decision Value on pitches in the Strike Zone</t>
  </si>
  <si>
    <t>oDV</t>
  </si>
  <si>
    <t>Decision Value on pitches out of the Strike Zone</t>
  </si>
  <si>
    <t>Contact 
Ability</t>
  </si>
  <si>
    <t>A hitter's ability to make contact (foul strike or BIP), above the contact expectation of each pitch. Value is + scale, and League Average is 100.</t>
  </si>
  <si>
    <t>Power</t>
  </si>
  <si>
    <t>A hitter's ability to add extra bases to the expectation of the pitches they hit into play. Value is + scale, and League Average is 100.</t>
  </si>
  <si>
    <t>Value added by the hitter (including swing/take decisions), after accounting for pitch quality. Value is + scale, and League Average is 100.</t>
  </si>
  <si>
    <t>wCON</t>
  </si>
  <si>
    <t>EXPERIMENTAL: Contact Ability * zDV. A proxy for how much contact a hitter would add over a league average pitch</t>
  </si>
  <si>
    <t>wPOW</t>
  </si>
  <si>
    <t>EXPERIMENTAL: Power * zDV: A proxy for how much power a hitter would add over a league average pitch.</t>
  </si>
  <si>
    <t>Starter</t>
  </si>
  <si>
    <t>Opponent</t>
  </si>
  <si>
    <t>Jerar Encarnación</t>
  </si>
  <si>
    <t>Giancarlo Stanton</t>
  </si>
  <si>
    <t>J.D. Martinez</t>
  </si>
  <si>
    <t>Jurickson Profar</t>
  </si>
  <si>
    <t>Miguel Sanó</t>
  </si>
  <si>
    <t>Garrett Cooper</t>
  </si>
  <si>
    <t>Jesse Winker</t>
  </si>
  <si>
    <t>David Fry</t>
  </si>
  <si>
    <t>Jon Singleton</t>
  </si>
  <si>
    <t>MJ Melendez</t>
  </si>
  <si>
    <t>Enmanuel Valdez</t>
  </si>
  <si>
    <t>Edward Olivares</t>
  </si>
  <si>
    <t>Ha-Seong Kim</t>
  </si>
  <si>
    <t>DJ Stewart</t>
  </si>
  <si>
    <t>James McCann</t>
  </si>
  <si>
    <t>Yasmani Grandal</t>
  </si>
  <si>
    <t>Matt Vierling</t>
  </si>
  <si>
    <t>Richie Palacios</t>
  </si>
  <si>
    <t>David Peralta</t>
  </si>
  <si>
    <t>Jose Miranda</t>
  </si>
  <si>
    <t>Masataka Yoshida</t>
  </si>
  <si>
    <t>Alex Kirilloff</t>
  </si>
  <si>
    <t>Manuel Margot</t>
  </si>
  <si>
    <t>Dominic Canzone</t>
  </si>
  <si>
    <t>Willie Calhoun</t>
  </si>
  <si>
    <t>Jake Rogers</t>
  </si>
  <si>
    <t>Emmanuel Rivera</t>
  </si>
  <si>
    <t>Mitch Haniger</t>
  </si>
  <si>
    <t>Nelson Velázquez</t>
  </si>
  <si>
    <t>Garrett Mitchell</t>
  </si>
  <si>
    <t>Tyler Nevin</t>
  </si>
  <si>
    <t>Victor Robles</t>
  </si>
  <si>
    <t>Andrés Chaparro</t>
  </si>
  <si>
    <t>Nick Senzel</t>
  </si>
  <si>
    <t>Austin Martin</t>
  </si>
  <si>
    <t>Eloy Jiménez</t>
  </si>
  <si>
    <t>Joey Gallo</t>
  </si>
  <si>
    <t>Anthony Rendon</t>
  </si>
  <si>
    <t>J.D. Davis</t>
  </si>
  <si>
    <t>Bryan De La Cruz</t>
  </si>
  <si>
    <t>Juan Yepez</t>
  </si>
  <si>
    <t>Austin Barnes</t>
  </si>
  <si>
    <t>Jarred Kelenic</t>
  </si>
  <si>
    <t>Jose Siri</t>
  </si>
  <si>
    <t>Sam Hilliard</t>
  </si>
  <si>
    <t>Chris Taylor</t>
  </si>
  <si>
    <t>Seth Brown</t>
  </si>
  <si>
    <t>Robbie Grossman</t>
  </si>
  <si>
    <t>Jake McCarthy</t>
  </si>
  <si>
    <t>Dominic Smith</t>
  </si>
  <si>
    <t>Hunter Renfroe</t>
  </si>
  <si>
    <t>Andruw Monasterio</t>
  </si>
  <si>
    <t>Jack Suwinski</t>
  </si>
  <si>
    <t>Leo Jiménez</t>
  </si>
  <si>
    <t>Matt Carpenter</t>
  </si>
  <si>
    <t>Miguel Amaya</t>
  </si>
  <si>
    <t>Will Brennan</t>
  </si>
  <si>
    <t>Daz Cameron</t>
  </si>
  <si>
    <t>Paul DeJong</t>
  </si>
  <si>
    <t>Anthony Rizzo</t>
  </si>
  <si>
    <t>Connor Wong</t>
  </si>
  <si>
    <t>Luis Campusano</t>
  </si>
  <si>
    <t>Kiké Hernández</t>
  </si>
  <si>
    <t>Corey Julks</t>
  </si>
  <si>
    <t>James Outman</t>
  </si>
  <si>
    <t>Chas McCormick</t>
  </si>
  <si>
    <t>Charlie Blackmon</t>
  </si>
  <si>
    <t>Michael Stefanic</t>
  </si>
  <si>
    <t>Kyle McCann</t>
  </si>
  <si>
    <t>Jake Cave</t>
  </si>
  <si>
    <t>Reese McGuire</t>
  </si>
  <si>
    <t>Patrick Wisdom</t>
  </si>
  <si>
    <t>Tomás Nido</t>
  </si>
  <si>
    <t>Whit Merrifield</t>
  </si>
  <si>
    <t>Luis Guillorme</t>
  </si>
  <si>
    <t>Nick Loftin</t>
  </si>
  <si>
    <t>Kevin Pillar</t>
  </si>
  <si>
    <t>Connor Joe</t>
  </si>
  <si>
    <t>Stuart Fairchild</t>
  </si>
  <si>
    <t>Zack Gelof</t>
  </si>
  <si>
    <t>Jeimer Candelario</t>
  </si>
  <si>
    <t>Jonny DeLuca</t>
  </si>
  <si>
    <t>Adam Duvall</t>
  </si>
  <si>
    <t>Ryan Noda</t>
  </si>
  <si>
    <t>Grant McCray</t>
  </si>
  <si>
    <t>Ildemaro Vargas</t>
  </si>
  <si>
    <t>Kris Bryant</t>
  </si>
  <si>
    <t>Kevin Newman</t>
  </si>
  <si>
    <t>Cavan Biggio</t>
  </si>
  <si>
    <t>Darell Hernaiz</t>
  </si>
  <si>
    <t>Brett Harris</t>
  </si>
  <si>
    <t>Brandon Drury</t>
  </si>
  <si>
    <t>Andy Ibáñez</t>
  </si>
  <si>
    <t>Curt Casali</t>
  </si>
  <si>
    <t>Ben Rortvedt</t>
  </si>
  <si>
    <t>Joey Meneses</t>
  </si>
  <si>
    <t>Luis Matos</t>
  </si>
  <si>
    <t>Nicky Lopez</t>
  </si>
  <si>
    <t>Danny Mendick</t>
  </si>
  <si>
    <t>Jason Heyward</t>
  </si>
  <si>
    <t>Vidal Bruján</t>
  </si>
  <si>
    <t>Joey Loperfido</t>
  </si>
  <si>
    <t>Jorge Mateo</t>
  </si>
  <si>
    <t>Daulton Varsho</t>
  </si>
  <si>
    <t>Garrett Stubbs</t>
  </si>
  <si>
    <t>Blake Perkins</t>
  </si>
  <si>
    <t>Nick Ahmed</t>
  </si>
  <si>
    <t>Luke Maile</t>
  </si>
  <si>
    <t>Noelvi Marte</t>
  </si>
  <si>
    <t>Dominic Fletcher</t>
  </si>
  <si>
    <t>Trey Lipscomb</t>
  </si>
  <si>
    <t>Dairon Blanco</t>
  </si>
  <si>
    <t>Elehuris Montero</t>
  </si>
  <si>
    <t>Estevan Florial</t>
  </si>
  <si>
    <t>Harold Ramírez</t>
  </si>
  <si>
    <t>Cristian Pache</t>
  </si>
  <si>
    <t>Garrett Hampson</t>
  </si>
  <si>
    <t>Ezequiel Duran</t>
  </si>
  <si>
    <t>Korey Lee</t>
  </si>
  <si>
    <t>Eddie Rosario</t>
  </si>
  <si>
    <t>Brett Wisely</t>
  </si>
  <si>
    <t>Nick Gordon</t>
  </si>
  <si>
    <t>Blaze Alexander</t>
  </si>
  <si>
    <t>Tim Anderson</t>
  </si>
  <si>
    <t>Travis Jankowski</t>
  </si>
  <si>
    <t>Michael Siani</t>
  </si>
  <si>
    <t>Christian Bethancourt</t>
  </si>
  <si>
    <t>Sean Bouchard</t>
  </si>
  <si>
    <t>José Abreu</t>
  </si>
  <si>
    <t>Bobby Dalbec</t>
  </si>
  <si>
    <t>Alex Jackson</t>
  </si>
  <si>
    <t>Kevin Kiermaier</t>
  </si>
  <si>
    <t>Austin Hedges</t>
  </si>
  <si>
    <t>Decision 
Value</t>
  </si>
  <si>
    <t>Process</t>
  </si>
  <si>
    <t>Tom Murphy</t>
  </si>
  <si>
    <t>Jiman Choi</t>
  </si>
  <si>
    <t>Wander Franco</t>
  </si>
  <si>
    <t>Josh Donaldson</t>
  </si>
  <si>
    <t>Brandon Belt</t>
  </si>
  <si>
    <t>Evan Longoria</t>
  </si>
  <si>
    <t>C.J. Cron</t>
  </si>
  <si>
    <t>Billy McKinney</t>
  </si>
  <si>
    <t>Stone Garrett</t>
  </si>
  <si>
    <t>Daniel Vogelbach</t>
  </si>
  <si>
    <t>Nelson Cruz</t>
  </si>
  <si>
    <t>Avisaíl García</t>
  </si>
  <si>
    <t>Brian Anderson</t>
  </si>
  <si>
    <t>Yan Gomes</t>
  </si>
  <si>
    <t>Pablo Reyes</t>
  </si>
  <si>
    <t>David Villar</t>
  </si>
  <si>
    <t>Jon Berti</t>
  </si>
  <si>
    <t>Luken Baker</t>
  </si>
  <si>
    <t>Omar Narváez</t>
  </si>
  <si>
    <t>Kole Calhoun</t>
  </si>
  <si>
    <t>Rougned Odor</t>
  </si>
  <si>
    <t>Mike Ford</t>
  </si>
  <si>
    <t>Blake Sabol</t>
  </si>
  <si>
    <t>Chad Wallach</t>
  </si>
  <si>
    <t>Carlos Pérez</t>
  </si>
  <si>
    <t>Miguel Cabrera</t>
  </si>
  <si>
    <t>Tucupita Marcano</t>
  </si>
  <si>
    <t>Joey Wiemer</t>
  </si>
  <si>
    <t>Nick Maton</t>
  </si>
  <si>
    <t>Zack Short</t>
  </si>
  <si>
    <t>Jace Peterson</t>
  </si>
  <si>
    <t>Joey Votto</t>
  </si>
  <si>
    <t>Jonathan Schoop</t>
  </si>
  <si>
    <t>Rafael Ortega</t>
  </si>
  <si>
    <t>Jake Alu</t>
  </si>
  <si>
    <t>Owen Miller</t>
  </si>
  <si>
    <t>Alfonso Rivas III</t>
  </si>
  <si>
    <t>Jordan Diaz</t>
  </si>
  <si>
    <t>Nick Pratto</t>
  </si>
  <si>
    <t>Akil Baddoo</t>
  </si>
  <si>
    <t>Cade Marlowe</t>
  </si>
  <si>
    <t>Eric Hosmer</t>
  </si>
  <si>
    <t>Brandon Crawford</t>
  </si>
  <si>
    <t>Nick Madrigal</t>
  </si>
  <si>
    <t>Aaron Hicks</t>
  </si>
  <si>
    <t>AJ Pollock</t>
  </si>
  <si>
    <t>Tony Kemp</t>
  </si>
  <si>
    <t>Alan Trejo</t>
  </si>
  <si>
    <t>Trayce Thompson</t>
  </si>
  <si>
    <t>Elvis Andrus</t>
  </si>
  <si>
    <t>Jean Segura</t>
  </si>
  <si>
    <t>Jonathan Davis</t>
  </si>
  <si>
    <t>Mike Moustakas</t>
  </si>
  <si>
    <t>David Hensley</t>
  </si>
  <si>
    <t>Christian Arroyo</t>
  </si>
  <si>
    <t>Endy Rodríguez</t>
  </si>
  <si>
    <t>Trey Mancini</t>
  </si>
  <si>
    <t>Andrew Knizner</t>
  </si>
  <si>
    <t>Oscar González</t>
  </si>
  <si>
    <t>Yuli Gurriel</t>
  </si>
  <si>
    <t>Aledmys Díaz</t>
  </si>
  <si>
    <t>Joey Wendle</t>
  </si>
  <si>
    <t>Ryan McKenna</t>
  </si>
  <si>
    <t>Matt Duffy</t>
  </si>
  <si>
    <t>Raimel Tapia</t>
  </si>
  <si>
    <t>Jesús Aguilar</t>
  </si>
  <si>
    <t>Jason Delay</t>
  </si>
  <si>
    <t>Liover Peguero</t>
  </si>
  <si>
    <t>Corey Dickerson</t>
  </si>
  <si>
    <t>Kolten Wong</t>
  </si>
  <si>
    <t>Esteury Ruiz</t>
  </si>
  <si>
    <t>Austin Nola</t>
  </si>
  <si>
    <t>Rodolfo Castro</t>
  </si>
  <si>
    <t>Mike Zunino</t>
  </si>
  <si>
    <t>Seby Zavala</t>
  </si>
  <si>
    <t>Ji Hwan Bae</t>
  </si>
  <si>
    <t>Eric Haase</t>
  </si>
  <si>
    <t>Matthew Batten</t>
  </si>
  <si>
    <t>Oscar Colás</t>
  </si>
  <si>
    <t>Harold Castro</t>
  </si>
  <si>
    <t>Jose Barrero</t>
  </si>
  <si>
    <t>Eduardo Escobar</t>
  </si>
  <si>
    <t>Francisco Mejia</t>
  </si>
  <si>
    <t>Wil Myers</t>
  </si>
  <si>
    <t>Jackie Bradley Jr.</t>
  </si>
  <si>
    <t>Kevin Smith</t>
  </si>
  <si>
    <t>Alika Williams</t>
  </si>
  <si>
    <t>Tucker Barnhart</t>
  </si>
  <si>
    <t>Austin Wynns</t>
  </si>
  <si>
    <t>Jared Walsh</t>
  </si>
  <si>
    <t>Zach Remillard</t>
  </si>
  <si>
    <t>Cam Gallagher</t>
  </si>
  <si>
    <t>Michael Brantley</t>
  </si>
  <si>
    <t>Austin Meadows</t>
  </si>
  <si>
    <t>Albert Pujols</t>
  </si>
  <si>
    <t>Darick Hall</t>
  </si>
  <si>
    <t>Luke Voit</t>
  </si>
  <si>
    <t>Vaughn Grissom</t>
  </si>
  <si>
    <t>Colin Moran</t>
  </si>
  <si>
    <t>Yadiel Hernandez</t>
  </si>
  <si>
    <t>Keston Hiura</t>
  </si>
  <si>
    <t>Mark Mathias</t>
  </si>
  <si>
    <t>Franchy Cordero</t>
  </si>
  <si>
    <t>Kyle Garlick</t>
  </si>
  <si>
    <t>Darin Ruf</t>
  </si>
  <si>
    <t>Diego Castillo</t>
  </si>
  <si>
    <t>Ben Gamel</t>
  </si>
  <si>
    <t>Josh VanMeter</t>
  </si>
  <si>
    <t>Tyler Naquin</t>
  </si>
  <si>
    <t>Mike Brosseau</t>
  </si>
  <si>
    <t>Vimael Machín</t>
  </si>
  <si>
    <t>David Bote</t>
  </si>
  <si>
    <t>Jake Lamb</t>
  </si>
  <si>
    <t>Hunter Dozier</t>
  </si>
  <si>
    <t>Chad Pinder</t>
  </si>
  <si>
    <t>Charles Leblanc</t>
  </si>
  <si>
    <t>Franmil Reyes</t>
  </si>
  <si>
    <t>Yu Chang</t>
  </si>
  <si>
    <t>Sam Huff</t>
  </si>
  <si>
    <t>Alejo López</t>
  </si>
  <si>
    <t>Seth Beer</t>
  </si>
  <si>
    <t>Frank Schwindel</t>
  </si>
  <si>
    <t>Gilberto Celestino</t>
  </si>
  <si>
    <t>Stephen Piscotty</t>
  </si>
  <si>
    <t>Matt Reynolds</t>
  </si>
  <si>
    <t>Jordan Luplow</t>
  </si>
  <si>
    <t>César Hernández</t>
  </si>
  <si>
    <t>Nate Eaton</t>
  </si>
  <si>
    <t>Nomar Mazara</t>
  </si>
  <si>
    <t>Victor Reyes</t>
  </si>
  <si>
    <t>Yoshi Tsutsugo</t>
  </si>
  <si>
    <t>Kevin Plawecki</t>
  </si>
  <si>
    <t>Tommy La Stella</t>
  </si>
  <si>
    <t>Jorge Alfaro</t>
  </si>
  <si>
    <t>Cooper Hummel</t>
  </si>
  <si>
    <t>Yonathan Daza</t>
  </si>
  <si>
    <t>Ehire Adrianza</t>
  </si>
  <si>
    <t>Michael Pérez</t>
  </si>
  <si>
    <t>Bligh Madris</t>
  </si>
  <si>
    <t>Maikel Franco</t>
  </si>
  <si>
    <t>Cal Mitchell</t>
  </si>
  <si>
    <t>Dérmis Garcia</t>
  </si>
  <si>
    <t>Stephen Vogt</t>
  </si>
  <si>
    <t>Zack Collins</t>
  </si>
  <si>
    <t>Jason Vosler</t>
  </si>
  <si>
    <t>P.J. Higgins</t>
  </si>
  <si>
    <t>Taylor Trammell</t>
  </si>
  <si>
    <t>Max Stassi</t>
  </si>
  <si>
    <t>Brad Miller</t>
  </si>
  <si>
    <t>Luis González</t>
  </si>
  <si>
    <t>Josh Harrison</t>
  </si>
  <si>
    <t>Sergio Alcántara</t>
  </si>
  <si>
    <t>Michael Chavis</t>
  </si>
  <si>
    <t>Yadier Molina</t>
  </si>
  <si>
    <t>Marwin Gonzalez</t>
  </si>
  <si>
    <t>David Fletcher</t>
  </si>
  <si>
    <t>Odúbel Herrera</t>
  </si>
  <si>
    <t>Luke Williams</t>
  </si>
  <si>
    <t>Didi Gregorius</t>
  </si>
  <si>
    <t>Sheldon Neuse</t>
  </si>
  <si>
    <t>Aramis Garcia</t>
  </si>
  <si>
    <t>José Azocar</t>
  </si>
  <si>
    <t>Skye Bolt</t>
  </si>
  <si>
    <t>Kurt Suzuki</t>
  </si>
  <si>
    <t>Óscar Mercado</t>
  </si>
  <si>
    <t>Lorenzo Cain</t>
  </si>
  <si>
    <t>Andrew Velazquez</t>
  </si>
  <si>
    <t>Leury García</t>
  </si>
  <si>
    <t>Robinson Chirinos</t>
  </si>
  <si>
    <t>Johan Camargo</t>
  </si>
  <si>
    <t>Jed Lowrie</t>
  </si>
  <si>
    <t>Albert Almora Jr.</t>
  </si>
  <si>
    <t>Adam Engel</t>
  </si>
  <si>
    <t>Aristides Aquino</t>
  </si>
  <si>
    <t>Brian Serven</t>
  </si>
  <si>
    <t>Greg Allen</t>
  </si>
  <si>
    <t>Tyler Heineman</t>
  </si>
  <si>
    <t>Brett Phillips</t>
  </si>
  <si>
    <t>Lewin Díaz</t>
  </si>
  <si>
    <t>Jonathan Villar</t>
  </si>
  <si>
    <t>Hanser Alberto</t>
  </si>
  <si>
    <t>Alcides Escobar</t>
  </si>
  <si>
    <t>Bradley Zimmer</t>
  </si>
  <si>
    <t>Austin Romine</t>
  </si>
  <si>
    <t>Charlie Culberson</t>
  </si>
  <si>
    <t>Bubba Thompson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</si>
</sst>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3" fillId="0" fontId="1" numFmtId="1" xfId="0" applyAlignment="1" applyBorder="1" applyFont="1" applyNumberFormat="1">
      <alignment horizontal="center" readingOrder="0" shrinkToFit="0" vertical="center" wrapText="1"/>
    </xf>
    <xf borderId="4" fillId="0" fontId="1" numFmtId="1" xfId="0" applyAlignment="1" applyBorder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" xfId="0" applyAlignment="1" applyFont="1" applyNumberFormat="1">
      <alignment horizontal="center" readingOrder="0"/>
    </xf>
    <xf borderId="4" fillId="0" fontId="1" numFmtId="1" xfId="0" applyAlignment="1" applyBorder="1" applyFont="1" applyNumberFormat="1">
      <alignment horizontal="center" readingOrder="0"/>
    </xf>
    <xf borderId="0" fillId="0" fontId="1" numFmtId="0" xfId="0" applyFont="1"/>
    <xf borderId="0" fillId="0" fontId="1" numFmtId="165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5" fillId="0" fontId="1" numFmtId="165" xfId="0" applyAlignment="1" applyBorder="1" applyFont="1" applyNumberFormat="1">
      <alignment horizontal="center" readingOrder="0" vertical="center"/>
    </xf>
    <xf borderId="5" fillId="0" fontId="1" numFmtId="165" xfId="0" applyAlignment="1" applyBorder="1" applyFont="1" applyNumberFormat="1">
      <alignment horizontal="center" readingOrder="0"/>
    </xf>
    <xf borderId="2" fillId="0" fontId="1" numFmtId="3" xfId="0" applyAlignment="1" applyBorder="1" applyFont="1" applyNumberFormat="1">
      <alignment horizontal="center" readingOrder="0" shrinkToFit="0" vertical="center" wrapText="1"/>
    </xf>
    <xf borderId="5" fillId="0" fontId="1" numFmtId="3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" xfId="0" applyAlignment="1" applyFont="1" applyNumberFormat="1">
      <alignment shrinkToFit="0" vertical="center" wrapText="1"/>
    </xf>
    <xf borderId="0" fillId="0" fontId="1" numFmtId="1" xfId="0" applyAlignment="1" applyFont="1" applyNumberFormat="1">
      <alignment readingOrder="0" shrinkToFit="0" vertical="center" wrapText="1"/>
    </xf>
    <xf borderId="0" fillId="0" fontId="1" numFmtId="9" xfId="0" applyFont="1" applyNumberFormat="1"/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CFE8DC"/>
          <bgColor rgb="FFCFE8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63"/>
    <col customWidth="1" min="2" max="2" width="22.75"/>
    <col customWidth="1" min="3" max="5" width="6.5"/>
    <col customWidth="1" min="6" max="8" width="10.13"/>
    <col customWidth="1" min="9" max="10" width="7.75"/>
    <col customWidth="1" min="11" max="12" width="10.13"/>
    <col customWidth="1" min="13" max="18" width="10.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>
      <c r="A2" s="10">
        <v>592450.0</v>
      </c>
      <c r="B2" s="11" t="s">
        <v>18</v>
      </c>
      <c r="C2" s="12">
        <v>1642.0</v>
      </c>
      <c r="D2" s="10">
        <v>751.0</v>
      </c>
      <c r="E2" s="13">
        <v>246.0</v>
      </c>
      <c r="F2" s="14">
        <v>-0.04</v>
      </c>
      <c r="G2" s="15">
        <v>110.0</v>
      </c>
      <c r="H2" s="15">
        <v>115.0</v>
      </c>
      <c r="I2" s="15">
        <v>99.0</v>
      </c>
      <c r="J2" s="15">
        <v>115.0</v>
      </c>
      <c r="K2" s="15">
        <v>91.0</v>
      </c>
      <c r="L2" s="15">
        <v>153.0</v>
      </c>
      <c r="M2" s="16">
        <v>150.0</v>
      </c>
      <c r="N2" s="16">
        <v>158.0</v>
      </c>
      <c r="O2" s="15">
        <f t="shared" ref="O2:O369" si="1">(H2*C2+400*100)/(C2+400)</f>
        <v>112.0617042</v>
      </c>
      <c r="P2" s="15">
        <f t="shared" ref="P2:P369" si="2">(K2*D2+200*100)/(D2+200)</f>
        <v>92.89274448</v>
      </c>
      <c r="Q2" s="15">
        <f t="shared" ref="Q2:Q369" si="3">(L2*E2+75*100)/(E2+75)</f>
        <v>140.6168224</v>
      </c>
      <c r="R2" s="15">
        <f t="shared" ref="R2:R369" si="4">(M2*C2+400*100)/(C2+400)</f>
        <v>140.2056807</v>
      </c>
    </row>
    <row r="3">
      <c r="A3" s="10">
        <v>665742.0</v>
      </c>
      <c r="B3" s="11" t="s">
        <v>19</v>
      </c>
      <c r="C3" s="12">
        <v>1815.0</v>
      </c>
      <c r="D3" s="10">
        <v>625.0</v>
      </c>
      <c r="E3" s="13">
        <v>266.0</v>
      </c>
      <c r="F3" s="14">
        <v>-0.131</v>
      </c>
      <c r="G3" s="15">
        <v>108.0</v>
      </c>
      <c r="H3" s="15">
        <v>134.0</v>
      </c>
      <c r="I3" s="15">
        <v>88.0</v>
      </c>
      <c r="J3" s="15">
        <v>137.0</v>
      </c>
      <c r="K3" s="15">
        <v>99.0</v>
      </c>
      <c r="L3" s="15">
        <v>137.0</v>
      </c>
      <c r="M3" s="16">
        <v>147.0</v>
      </c>
      <c r="N3" s="16">
        <v>126.0</v>
      </c>
      <c r="O3" s="15">
        <f t="shared" si="1"/>
        <v>127.8600451</v>
      </c>
      <c r="P3" s="15">
        <f t="shared" si="2"/>
        <v>99.24242424</v>
      </c>
      <c r="Q3" s="15">
        <f t="shared" si="3"/>
        <v>128.8621701</v>
      </c>
      <c r="R3" s="15">
        <f t="shared" si="4"/>
        <v>138.5124153</v>
      </c>
    </row>
    <row r="4">
      <c r="A4" s="10">
        <v>660271.0</v>
      </c>
      <c r="B4" s="11" t="s">
        <v>20</v>
      </c>
      <c r="C4" s="12">
        <v>1715.0</v>
      </c>
      <c r="D4" s="10">
        <v>763.0</v>
      </c>
      <c r="E4" s="13">
        <v>261.0</v>
      </c>
      <c r="F4" s="14">
        <v>-0.026</v>
      </c>
      <c r="G4" s="15">
        <v>104.0</v>
      </c>
      <c r="H4" s="15">
        <v>102.0</v>
      </c>
      <c r="I4" s="15">
        <v>86.0</v>
      </c>
      <c r="J4" s="15">
        <v>106.0</v>
      </c>
      <c r="K4" s="15">
        <v>88.0</v>
      </c>
      <c r="L4" s="15">
        <v>146.0</v>
      </c>
      <c r="M4" s="16">
        <v>137.0</v>
      </c>
      <c r="N4" s="16">
        <v>130.0</v>
      </c>
      <c r="O4" s="15">
        <f t="shared" si="1"/>
        <v>101.6217494</v>
      </c>
      <c r="P4" s="15">
        <f t="shared" si="2"/>
        <v>90.49221184</v>
      </c>
      <c r="Q4" s="15">
        <f t="shared" si="3"/>
        <v>135.7321429</v>
      </c>
      <c r="R4" s="15">
        <f t="shared" si="4"/>
        <v>130.0023641</v>
      </c>
    </row>
    <row r="5">
      <c r="A5" s="10">
        <v>624413.0</v>
      </c>
      <c r="B5" s="11" t="s">
        <v>21</v>
      </c>
      <c r="C5" s="12">
        <v>1731.0</v>
      </c>
      <c r="D5" s="10">
        <v>788.0</v>
      </c>
      <c r="E5" s="13">
        <v>268.0</v>
      </c>
      <c r="F5" s="14">
        <v>-0.033</v>
      </c>
      <c r="G5" s="15">
        <v>102.0</v>
      </c>
      <c r="H5" s="15">
        <v>110.0</v>
      </c>
      <c r="I5" s="15">
        <v>103.0</v>
      </c>
      <c r="J5" s="15">
        <v>108.0</v>
      </c>
      <c r="K5" s="15">
        <v>95.0</v>
      </c>
      <c r="L5" s="15">
        <v>136.0</v>
      </c>
      <c r="M5" s="16">
        <v>136.0</v>
      </c>
      <c r="N5" s="16">
        <v>127.0</v>
      </c>
      <c r="O5" s="15">
        <f t="shared" si="1"/>
        <v>108.122947</v>
      </c>
      <c r="P5" s="15">
        <f t="shared" si="2"/>
        <v>96.01214575</v>
      </c>
      <c r="Q5" s="15">
        <f t="shared" si="3"/>
        <v>128.1282799</v>
      </c>
      <c r="R5" s="15">
        <f t="shared" si="4"/>
        <v>129.2426091</v>
      </c>
    </row>
    <row r="6">
      <c r="A6" s="10">
        <v>660670.0</v>
      </c>
      <c r="B6" s="11" t="s">
        <v>22</v>
      </c>
      <c r="C6" s="12">
        <v>814.0</v>
      </c>
      <c r="D6" s="10">
        <v>356.0</v>
      </c>
      <c r="E6" s="13">
        <v>109.0</v>
      </c>
      <c r="F6" s="14">
        <v>-0.049</v>
      </c>
      <c r="G6" s="15">
        <v>121.0</v>
      </c>
      <c r="H6" s="15">
        <v>134.0</v>
      </c>
      <c r="I6" s="15">
        <v>116.0</v>
      </c>
      <c r="J6" s="15">
        <v>126.0</v>
      </c>
      <c r="K6" s="15">
        <v>79.0</v>
      </c>
      <c r="L6" s="15">
        <v>137.0</v>
      </c>
      <c r="M6" s="16">
        <v>135.0</v>
      </c>
      <c r="N6" s="16">
        <v>142.0</v>
      </c>
      <c r="O6" s="15">
        <f t="shared" si="1"/>
        <v>122.7973641</v>
      </c>
      <c r="P6" s="15">
        <f t="shared" si="2"/>
        <v>86.55395683</v>
      </c>
      <c r="Q6" s="15">
        <f t="shared" si="3"/>
        <v>121.9184783</v>
      </c>
      <c r="R6" s="15">
        <f t="shared" si="4"/>
        <v>123.4678748</v>
      </c>
    </row>
    <row r="7">
      <c r="A7" s="10">
        <v>545361.0</v>
      </c>
      <c r="B7" s="11" t="s">
        <v>23</v>
      </c>
      <c r="C7" s="12">
        <v>1307.0</v>
      </c>
      <c r="D7" s="10">
        <v>507.0</v>
      </c>
      <c r="E7" s="13">
        <v>167.0</v>
      </c>
      <c r="F7" s="14">
        <v>-0.123</v>
      </c>
      <c r="G7" s="15">
        <v>110.0</v>
      </c>
      <c r="H7" s="15">
        <v>130.0</v>
      </c>
      <c r="I7" s="15">
        <v>101.0</v>
      </c>
      <c r="J7" s="15">
        <v>129.0</v>
      </c>
      <c r="K7" s="15">
        <v>91.0</v>
      </c>
      <c r="L7" s="15">
        <v>130.0</v>
      </c>
      <c r="M7" s="16">
        <v>132.0</v>
      </c>
      <c r="N7" s="16">
        <v>121.0</v>
      </c>
      <c r="O7" s="15">
        <f t="shared" si="1"/>
        <v>122.970123</v>
      </c>
      <c r="P7" s="15">
        <f t="shared" si="2"/>
        <v>93.54596888</v>
      </c>
      <c r="Q7" s="15">
        <f t="shared" si="3"/>
        <v>120.7024793</v>
      </c>
      <c r="R7" s="15">
        <f t="shared" si="4"/>
        <v>124.5014646</v>
      </c>
    </row>
    <row r="8">
      <c r="A8" s="10">
        <v>543807.0</v>
      </c>
      <c r="B8" s="11" t="s">
        <v>24</v>
      </c>
      <c r="C8" s="12">
        <v>1411.0</v>
      </c>
      <c r="D8" s="10">
        <v>631.0</v>
      </c>
      <c r="E8" s="13">
        <v>234.0</v>
      </c>
      <c r="F8" s="14">
        <v>-0.045</v>
      </c>
      <c r="G8" s="15">
        <v>129.0</v>
      </c>
      <c r="H8" s="15">
        <v>130.0</v>
      </c>
      <c r="I8" s="15">
        <v>107.0</v>
      </c>
      <c r="J8" s="15">
        <v>127.0</v>
      </c>
      <c r="K8" s="15">
        <v>102.0</v>
      </c>
      <c r="L8" s="15">
        <v>116.0</v>
      </c>
      <c r="M8" s="16">
        <v>130.0</v>
      </c>
      <c r="N8" s="16">
        <v>121.0</v>
      </c>
      <c r="O8" s="15">
        <f t="shared" si="1"/>
        <v>123.3738266</v>
      </c>
      <c r="P8" s="15">
        <f t="shared" si="2"/>
        <v>101.5186522</v>
      </c>
      <c r="Q8" s="15">
        <f t="shared" si="3"/>
        <v>112.1165049</v>
      </c>
      <c r="R8" s="15">
        <f t="shared" si="4"/>
        <v>123.3738266</v>
      </c>
    </row>
    <row r="9">
      <c r="A9" s="10">
        <v>650402.0</v>
      </c>
      <c r="B9" s="11" t="s">
        <v>25</v>
      </c>
      <c r="C9" s="12">
        <v>1468.0</v>
      </c>
      <c r="D9" s="10">
        <v>599.0</v>
      </c>
      <c r="E9" s="13">
        <v>258.0</v>
      </c>
      <c r="F9" s="14">
        <v>-0.084</v>
      </c>
      <c r="G9" s="15">
        <v>128.0</v>
      </c>
      <c r="H9" s="15">
        <v>142.0</v>
      </c>
      <c r="I9" s="15">
        <v>105.0</v>
      </c>
      <c r="J9" s="15">
        <v>138.0</v>
      </c>
      <c r="K9" s="15">
        <v>109.0</v>
      </c>
      <c r="L9" s="15">
        <v>107.0</v>
      </c>
      <c r="M9" s="16">
        <v>130.0</v>
      </c>
      <c r="N9" s="16">
        <v>121.0</v>
      </c>
      <c r="O9" s="15">
        <f t="shared" si="1"/>
        <v>133.006424</v>
      </c>
      <c r="P9" s="15">
        <f t="shared" si="2"/>
        <v>106.747184</v>
      </c>
      <c r="Q9" s="15">
        <f t="shared" si="3"/>
        <v>105.4234234</v>
      </c>
      <c r="R9" s="15">
        <f t="shared" si="4"/>
        <v>123.5760171</v>
      </c>
    </row>
    <row r="10">
      <c r="A10" s="10">
        <v>683737.0</v>
      </c>
      <c r="B10" s="11" t="s">
        <v>26</v>
      </c>
      <c r="C10" s="12">
        <v>1370.0</v>
      </c>
      <c r="D10" s="10">
        <v>636.0</v>
      </c>
      <c r="E10" s="13">
        <v>222.0</v>
      </c>
      <c r="F10" s="14">
        <v>-0.028</v>
      </c>
      <c r="G10" s="15">
        <v>118.0</v>
      </c>
      <c r="H10" s="15">
        <v>115.0</v>
      </c>
      <c r="I10" s="15">
        <v>94.0</v>
      </c>
      <c r="J10" s="15">
        <v>117.0</v>
      </c>
      <c r="K10" s="15">
        <v>93.0</v>
      </c>
      <c r="L10" s="15">
        <v>127.0</v>
      </c>
      <c r="M10" s="16">
        <v>130.0</v>
      </c>
      <c r="N10" s="16">
        <v>129.0</v>
      </c>
      <c r="O10" s="15">
        <f t="shared" si="1"/>
        <v>111.6101695</v>
      </c>
      <c r="P10" s="15">
        <f t="shared" si="2"/>
        <v>94.67464115</v>
      </c>
      <c r="Q10" s="15">
        <f t="shared" si="3"/>
        <v>120.1818182</v>
      </c>
      <c r="R10" s="15">
        <f t="shared" si="4"/>
        <v>123.220339</v>
      </c>
    </row>
    <row r="11">
      <c r="A11" s="10">
        <v>608369.0</v>
      </c>
      <c r="B11" s="11" t="s">
        <v>27</v>
      </c>
      <c r="C11" s="12">
        <v>1067.0</v>
      </c>
      <c r="D11" s="10">
        <v>534.0</v>
      </c>
      <c r="E11" s="13">
        <v>184.0</v>
      </c>
      <c r="F11" s="14">
        <v>0.044</v>
      </c>
      <c r="G11" s="15">
        <v>132.0</v>
      </c>
      <c r="H11" s="15">
        <v>107.0</v>
      </c>
      <c r="I11" s="15">
        <v>108.0</v>
      </c>
      <c r="J11" s="15">
        <v>103.0</v>
      </c>
      <c r="K11" s="15">
        <v>97.0</v>
      </c>
      <c r="L11" s="15">
        <v>126.0</v>
      </c>
      <c r="M11" s="16">
        <v>129.0</v>
      </c>
      <c r="N11" s="16">
        <v>115.0</v>
      </c>
      <c r="O11" s="15">
        <f t="shared" si="1"/>
        <v>105.0913429</v>
      </c>
      <c r="P11" s="15">
        <f t="shared" si="2"/>
        <v>97.81743869</v>
      </c>
      <c r="Q11" s="15">
        <f t="shared" si="3"/>
        <v>118.4710425</v>
      </c>
      <c r="R11" s="15">
        <f t="shared" si="4"/>
        <v>121.0927062</v>
      </c>
    </row>
    <row r="12">
      <c r="A12" s="10">
        <v>663853.0</v>
      </c>
      <c r="B12" s="11" t="s">
        <v>28</v>
      </c>
      <c r="C12" s="12">
        <v>546.0</v>
      </c>
      <c r="D12" s="10">
        <v>289.0</v>
      </c>
      <c r="E12" s="13">
        <v>109.0</v>
      </c>
      <c r="F12" s="14">
        <v>0.053</v>
      </c>
      <c r="G12" s="15">
        <v>100.0</v>
      </c>
      <c r="H12" s="15">
        <v>83.0</v>
      </c>
      <c r="I12" s="15">
        <v>104.0</v>
      </c>
      <c r="J12" s="15">
        <v>83.0</v>
      </c>
      <c r="K12" s="15">
        <v>110.0</v>
      </c>
      <c r="L12" s="15">
        <v>125.0</v>
      </c>
      <c r="M12" s="16">
        <v>129.0</v>
      </c>
      <c r="N12" s="16">
        <v>126.0</v>
      </c>
      <c r="O12" s="15">
        <f t="shared" si="1"/>
        <v>90.18816068</v>
      </c>
      <c r="P12" s="15">
        <f t="shared" si="2"/>
        <v>105.9100204</v>
      </c>
      <c r="Q12" s="15">
        <f t="shared" si="3"/>
        <v>114.8097826</v>
      </c>
      <c r="R12" s="15">
        <f t="shared" si="4"/>
        <v>116.7378436</v>
      </c>
    </row>
    <row r="13">
      <c r="A13" s="10">
        <v>666176.0</v>
      </c>
      <c r="B13" s="11" t="s">
        <v>29</v>
      </c>
      <c r="C13" s="12">
        <v>1232.0</v>
      </c>
      <c r="D13" s="10">
        <v>642.0</v>
      </c>
      <c r="E13" s="13">
        <v>215.0</v>
      </c>
      <c r="F13" s="14">
        <v>0.03</v>
      </c>
      <c r="G13" s="15">
        <v>110.0</v>
      </c>
      <c r="H13" s="15">
        <v>102.0</v>
      </c>
      <c r="I13" s="15">
        <v>107.0</v>
      </c>
      <c r="J13" s="15">
        <v>99.0</v>
      </c>
      <c r="K13" s="15">
        <v>98.0</v>
      </c>
      <c r="L13" s="15">
        <v>126.0</v>
      </c>
      <c r="M13" s="16">
        <v>128.0</v>
      </c>
      <c r="N13" s="16">
        <v>111.0</v>
      </c>
      <c r="O13" s="15">
        <f t="shared" si="1"/>
        <v>101.5098039</v>
      </c>
      <c r="P13" s="15">
        <f t="shared" si="2"/>
        <v>98.47505938</v>
      </c>
      <c r="Q13" s="15">
        <f t="shared" si="3"/>
        <v>119.2758621</v>
      </c>
      <c r="R13" s="15">
        <f t="shared" si="4"/>
        <v>121.1372549</v>
      </c>
    </row>
    <row r="14">
      <c r="A14" s="10">
        <v>592518.0</v>
      </c>
      <c r="B14" s="11" t="s">
        <v>30</v>
      </c>
      <c r="C14" s="12">
        <v>1571.0</v>
      </c>
      <c r="D14" s="10">
        <v>767.0</v>
      </c>
      <c r="E14" s="13">
        <v>301.0</v>
      </c>
      <c r="F14" s="14">
        <v>0.003</v>
      </c>
      <c r="G14" s="15">
        <v>101.0</v>
      </c>
      <c r="H14" s="15">
        <v>97.0</v>
      </c>
      <c r="I14" s="15">
        <v>109.0</v>
      </c>
      <c r="J14" s="15">
        <v>93.0</v>
      </c>
      <c r="K14" s="15">
        <v>115.0</v>
      </c>
      <c r="L14" s="15">
        <v>118.0</v>
      </c>
      <c r="M14" s="16">
        <v>127.0</v>
      </c>
      <c r="N14" s="16">
        <v>119.0</v>
      </c>
      <c r="O14" s="15">
        <f t="shared" si="1"/>
        <v>97.60882801</v>
      </c>
      <c r="P14" s="15">
        <f t="shared" si="2"/>
        <v>111.8976215</v>
      </c>
      <c r="Q14" s="15">
        <f t="shared" si="3"/>
        <v>114.4095745</v>
      </c>
      <c r="R14" s="15">
        <f t="shared" si="4"/>
        <v>121.5205479</v>
      </c>
    </row>
    <row r="15">
      <c r="A15" s="10">
        <v>700250.0</v>
      </c>
      <c r="B15" s="11" t="s">
        <v>31</v>
      </c>
      <c r="C15" s="12">
        <v>1134.0</v>
      </c>
      <c r="D15" s="10">
        <v>517.0</v>
      </c>
      <c r="E15" s="13">
        <v>201.0</v>
      </c>
      <c r="F15" s="14">
        <v>-0.02</v>
      </c>
      <c r="G15" s="15">
        <v>112.0</v>
      </c>
      <c r="H15" s="15">
        <v>105.0</v>
      </c>
      <c r="I15" s="15">
        <v>81.0</v>
      </c>
      <c r="J15" s="15">
        <v>112.0</v>
      </c>
      <c r="K15" s="15">
        <v>103.0</v>
      </c>
      <c r="L15" s="15">
        <v>121.0</v>
      </c>
      <c r="M15" s="16">
        <v>127.0</v>
      </c>
      <c r="N15" s="16">
        <v>106.0</v>
      </c>
      <c r="O15" s="15">
        <f t="shared" si="1"/>
        <v>103.696219</v>
      </c>
      <c r="P15" s="15">
        <f t="shared" si="2"/>
        <v>102.1631799</v>
      </c>
      <c r="Q15" s="15">
        <f t="shared" si="3"/>
        <v>115.2934783</v>
      </c>
      <c r="R15" s="15">
        <f t="shared" si="4"/>
        <v>119.9595828</v>
      </c>
    </row>
    <row r="16">
      <c r="A16" s="10">
        <v>665489.0</v>
      </c>
      <c r="B16" s="11" t="s">
        <v>32</v>
      </c>
      <c r="C16" s="12">
        <v>1529.0</v>
      </c>
      <c r="D16" s="10">
        <v>635.0</v>
      </c>
      <c r="E16" s="13">
        <v>293.0</v>
      </c>
      <c r="F16" s="14">
        <v>-0.067</v>
      </c>
      <c r="G16" s="15">
        <v>105.0</v>
      </c>
      <c r="H16" s="15">
        <v>114.0</v>
      </c>
      <c r="I16" s="15">
        <v>93.0</v>
      </c>
      <c r="J16" s="15">
        <v>116.0</v>
      </c>
      <c r="K16" s="15">
        <v>117.0</v>
      </c>
      <c r="L16" s="15">
        <v>111.0</v>
      </c>
      <c r="M16" s="16">
        <v>127.0</v>
      </c>
      <c r="N16" s="16">
        <v>116.0</v>
      </c>
      <c r="O16" s="15">
        <f t="shared" si="1"/>
        <v>111.0969414</v>
      </c>
      <c r="P16" s="15">
        <f t="shared" si="2"/>
        <v>112.9281437</v>
      </c>
      <c r="Q16" s="15">
        <f t="shared" si="3"/>
        <v>108.7581522</v>
      </c>
      <c r="R16" s="15">
        <f t="shared" si="4"/>
        <v>121.4012442</v>
      </c>
    </row>
    <row r="17">
      <c r="A17" s="10">
        <v>650490.0</v>
      </c>
      <c r="B17" s="11" t="s">
        <v>33</v>
      </c>
      <c r="C17" s="12">
        <v>1501.0</v>
      </c>
      <c r="D17" s="10">
        <v>688.0</v>
      </c>
      <c r="E17" s="13">
        <v>314.0</v>
      </c>
      <c r="F17" s="14">
        <v>-0.033</v>
      </c>
      <c r="G17" s="15">
        <v>103.0</v>
      </c>
      <c r="H17" s="15">
        <v>113.0</v>
      </c>
      <c r="I17" s="15">
        <v>111.0</v>
      </c>
      <c r="J17" s="15">
        <v>109.0</v>
      </c>
      <c r="K17" s="15">
        <v>112.0</v>
      </c>
      <c r="L17" s="15">
        <v>111.0</v>
      </c>
      <c r="M17" s="16">
        <v>126.0</v>
      </c>
      <c r="N17" s="16">
        <v>112.0</v>
      </c>
      <c r="O17" s="15">
        <f t="shared" si="1"/>
        <v>110.2645976</v>
      </c>
      <c r="P17" s="15">
        <f t="shared" si="2"/>
        <v>109.2972973</v>
      </c>
      <c r="Q17" s="15">
        <f t="shared" si="3"/>
        <v>108.8791774</v>
      </c>
      <c r="R17" s="15">
        <f t="shared" si="4"/>
        <v>120.5291952</v>
      </c>
    </row>
    <row r="18">
      <c r="A18" s="10">
        <v>669257.0</v>
      </c>
      <c r="B18" s="11" t="s">
        <v>34</v>
      </c>
      <c r="C18" s="12">
        <v>1306.0</v>
      </c>
      <c r="D18" s="10">
        <v>510.0</v>
      </c>
      <c r="E18" s="13">
        <v>197.0</v>
      </c>
      <c r="F18" s="14">
        <v>-0.108</v>
      </c>
      <c r="G18" s="15">
        <v>97.0</v>
      </c>
      <c r="H18" s="15">
        <v>126.0</v>
      </c>
      <c r="I18" s="15">
        <v>94.0</v>
      </c>
      <c r="J18" s="15">
        <v>128.0</v>
      </c>
      <c r="K18" s="15">
        <v>104.0</v>
      </c>
      <c r="L18" s="15">
        <v>113.0</v>
      </c>
      <c r="M18" s="16">
        <v>125.0</v>
      </c>
      <c r="N18" s="16">
        <v>136.0</v>
      </c>
      <c r="O18" s="15">
        <f t="shared" si="1"/>
        <v>119.9038687</v>
      </c>
      <c r="P18" s="15">
        <f t="shared" si="2"/>
        <v>102.8732394</v>
      </c>
      <c r="Q18" s="15">
        <f t="shared" si="3"/>
        <v>109.4154412</v>
      </c>
      <c r="R18" s="15">
        <f t="shared" si="4"/>
        <v>119.1383353</v>
      </c>
    </row>
    <row r="19">
      <c r="A19" s="10">
        <v>672386.0</v>
      </c>
      <c r="B19" s="11" t="s">
        <v>35</v>
      </c>
      <c r="C19" s="12">
        <v>1235.0</v>
      </c>
      <c r="D19" s="10">
        <v>572.0</v>
      </c>
      <c r="E19" s="13">
        <v>261.0</v>
      </c>
      <c r="F19" s="14">
        <v>-0.014</v>
      </c>
      <c r="G19" s="15">
        <v>103.0</v>
      </c>
      <c r="H19" s="15">
        <v>112.0</v>
      </c>
      <c r="I19" s="15">
        <v>114.0</v>
      </c>
      <c r="J19" s="15">
        <v>106.0</v>
      </c>
      <c r="K19" s="15">
        <v>120.0</v>
      </c>
      <c r="L19" s="15">
        <v>107.0</v>
      </c>
      <c r="M19" s="16">
        <v>125.0</v>
      </c>
      <c r="N19" s="16">
        <v>110.0</v>
      </c>
      <c r="O19" s="15">
        <f t="shared" si="1"/>
        <v>109.0642202</v>
      </c>
      <c r="P19" s="15">
        <f t="shared" si="2"/>
        <v>114.8186528</v>
      </c>
      <c r="Q19" s="15">
        <f t="shared" si="3"/>
        <v>105.4375</v>
      </c>
      <c r="R19" s="15">
        <f t="shared" si="4"/>
        <v>118.883792</v>
      </c>
    </row>
    <row r="20">
      <c r="A20" s="10">
        <v>673548.0</v>
      </c>
      <c r="B20" s="11" t="s">
        <v>36</v>
      </c>
      <c r="C20" s="12">
        <v>1659.0</v>
      </c>
      <c r="D20" s="10">
        <v>702.0</v>
      </c>
      <c r="E20" s="13">
        <v>263.0</v>
      </c>
      <c r="F20" s="14">
        <v>-0.086</v>
      </c>
      <c r="G20" s="15">
        <v>100.0</v>
      </c>
      <c r="H20" s="15">
        <v>111.0</v>
      </c>
      <c r="I20" s="15">
        <v>71.0</v>
      </c>
      <c r="J20" s="15">
        <v>123.0</v>
      </c>
      <c r="K20" s="15">
        <v>85.0</v>
      </c>
      <c r="L20" s="15">
        <v>127.0</v>
      </c>
      <c r="M20" s="16">
        <v>125.0</v>
      </c>
      <c r="N20" s="16">
        <v>126.0</v>
      </c>
      <c r="O20" s="15">
        <f t="shared" si="1"/>
        <v>108.8630403</v>
      </c>
      <c r="P20" s="15">
        <f t="shared" si="2"/>
        <v>88.32594235</v>
      </c>
      <c r="Q20" s="15">
        <f t="shared" si="3"/>
        <v>121.0088757</v>
      </c>
      <c r="R20" s="15">
        <f t="shared" si="4"/>
        <v>120.1432734</v>
      </c>
    </row>
    <row r="21">
      <c r="A21" s="10">
        <v>695578.0</v>
      </c>
      <c r="B21" s="11" t="s">
        <v>37</v>
      </c>
      <c r="C21" s="12">
        <v>1729.0</v>
      </c>
      <c r="D21" s="10">
        <v>680.0</v>
      </c>
      <c r="E21" s="13">
        <v>241.0</v>
      </c>
      <c r="F21" s="14">
        <v>-0.1</v>
      </c>
      <c r="G21" s="15">
        <v>82.0</v>
      </c>
      <c r="H21" s="15">
        <v>100.0</v>
      </c>
      <c r="I21" s="15">
        <v>66.0</v>
      </c>
      <c r="J21" s="15">
        <v>112.0</v>
      </c>
      <c r="K21" s="15">
        <v>92.0</v>
      </c>
      <c r="L21" s="15">
        <v>133.0</v>
      </c>
      <c r="M21" s="16">
        <v>124.0</v>
      </c>
      <c r="N21" s="16">
        <v>125.0</v>
      </c>
      <c r="O21" s="15">
        <f t="shared" si="1"/>
        <v>100</v>
      </c>
      <c r="P21" s="15">
        <f t="shared" si="2"/>
        <v>93.81818182</v>
      </c>
      <c r="Q21" s="15">
        <f t="shared" si="3"/>
        <v>125.1677215</v>
      </c>
      <c r="R21" s="15">
        <f t="shared" si="4"/>
        <v>119.4908408</v>
      </c>
    </row>
    <row r="22">
      <c r="A22" s="10">
        <v>606466.0</v>
      </c>
      <c r="B22" s="11" t="s">
        <v>38</v>
      </c>
      <c r="C22" s="12">
        <v>1125.0</v>
      </c>
      <c r="D22" s="10">
        <v>490.0</v>
      </c>
      <c r="E22" s="13">
        <v>208.0</v>
      </c>
      <c r="F22" s="14">
        <v>-0.019</v>
      </c>
      <c r="G22" s="15">
        <v>111.0</v>
      </c>
      <c r="H22" s="15">
        <v>112.0</v>
      </c>
      <c r="I22" s="15">
        <v>107.0</v>
      </c>
      <c r="J22" s="15">
        <v>108.0</v>
      </c>
      <c r="K22" s="15">
        <v>110.0</v>
      </c>
      <c r="L22" s="15">
        <v>112.0</v>
      </c>
      <c r="M22" s="16">
        <v>124.0</v>
      </c>
      <c r="N22" s="16">
        <v>130.0</v>
      </c>
      <c r="O22" s="15">
        <f t="shared" si="1"/>
        <v>108.852459</v>
      </c>
      <c r="P22" s="15">
        <f t="shared" si="2"/>
        <v>107.1014493</v>
      </c>
      <c r="Q22" s="15">
        <f t="shared" si="3"/>
        <v>108.819788</v>
      </c>
      <c r="R22" s="15">
        <f t="shared" si="4"/>
        <v>117.704918</v>
      </c>
    </row>
    <row r="23">
      <c r="A23" s="10">
        <v>656941.0</v>
      </c>
      <c r="B23" s="11" t="s">
        <v>39</v>
      </c>
      <c r="C23" s="12">
        <v>1785.0</v>
      </c>
      <c r="D23" s="10">
        <v>712.0</v>
      </c>
      <c r="E23" s="13">
        <v>240.0</v>
      </c>
      <c r="F23" s="14">
        <v>-0.044</v>
      </c>
      <c r="G23" s="15">
        <v>109.0</v>
      </c>
      <c r="H23" s="15">
        <v>104.0</v>
      </c>
      <c r="I23" s="15">
        <v>89.0</v>
      </c>
      <c r="J23" s="15">
        <v>107.0</v>
      </c>
      <c r="K23" s="15">
        <v>80.0</v>
      </c>
      <c r="L23" s="15">
        <v>139.0</v>
      </c>
      <c r="M23" s="16">
        <v>124.0</v>
      </c>
      <c r="N23" s="16">
        <v>121.0</v>
      </c>
      <c r="O23" s="15">
        <f t="shared" si="1"/>
        <v>103.2677346</v>
      </c>
      <c r="P23" s="15">
        <f t="shared" si="2"/>
        <v>84.38596491</v>
      </c>
      <c r="Q23" s="15">
        <f t="shared" si="3"/>
        <v>129.7142857</v>
      </c>
      <c r="R23" s="15">
        <f t="shared" si="4"/>
        <v>119.6064073</v>
      </c>
    </row>
    <row r="24">
      <c r="A24" s="10">
        <v>701762.0</v>
      </c>
      <c r="B24" s="11" t="s">
        <v>40</v>
      </c>
      <c r="C24" s="12">
        <v>950.0</v>
      </c>
      <c r="D24" s="10">
        <v>416.0</v>
      </c>
      <c r="E24" s="13">
        <v>130.0</v>
      </c>
      <c r="F24" s="14">
        <v>-0.045</v>
      </c>
      <c r="G24" s="15">
        <v>105.0</v>
      </c>
      <c r="H24" s="15">
        <v>119.0</v>
      </c>
      <c r="I24" s="15">
        <v>100.0</v>
      </c>
      <c r="J24" s="15">
        <v>118.0</v>
      </c>
      <c r="K24" s="15">
        <v>71.0</v>
      </c>
      <c r="L24" s="15">
        <v>135.0</v>
      </c>
      <c r="M24" s="16">
        <v>124.0</v>
      </c>
      <c r="N24" s="16">
        <v>124.0</v>
      </c>
      <c r="O24" s="15">
        <f t="shared" si="1"/>
        <v>113.3703704</v>
      </c>
      <c r="P24" s="15">
        <f t="shared" si="2"/>
        <v>80.41558442</v>
      </c>
      <c r="Q24" s="15">
        <f t="shared" si="3"/>
        <v>122.195122</v>
      </c>
      <c r="R24" s="15">
        <f t="shared" si="4"/>
        <v>116.8888889</v>
      </c>
    </row>
    <row r="25">
      <c r="A25" s="10">
        <v>666018.0</v>
      </c>
      <c r="B25" s="11" t="s">
        <v>41</v>
      </c>
      <c r="C25" s="12">
        <v>1445.0</v>
      </c>
      <c r="D25" s="10">
        <v>700.0</v>
      </c>
      <c r="E25" s="13">
        <v>229.0</v>
      </c>
      <c r="F25" s="14">
        <v>0.004</v>
      </c>
      <c r="G25" s="15">
        <v>105.0</v>
      </c>
      <c r="H25" s="15">
        <v>97.0</v>
      </c>
      <c r="I25" s="15">
        <v>106.0</v>
      </c>
      <c r="J25" s="15">
        <v>95.0</v>
      </c>
      <c r="K25" s="15">
        <v>93.0</v>
      </c>
      <c r="L25" s="15">
        <v>129.0</v>
      </c>
      <c r="M25" s="16">
        <v>123.0</v>
      </c>
      <c r="N25" s="16">
        <v>124.0</v>
      </c>
      <c r="O25" s="15">
        <f t="shared" si="1"/>
        <v>97.6504065</v>
      </c>
      <c r="P25" s="15">
        <f t="shared" si="2"/>
        <v>94.55555556</v>
      </c>
      <c r="Q25" s="15">
        <f t="shared" si="3"/>
        <v>121.8453947</v>
      </c>
      <c r="R25" s="15">
        <f t="shared" si="4"/>
        <v>118.0135501</v>
      </c>
    </row>
    <row r="26">
      <c r="A26" s="10">
        <v>671056.0</v>
      </c>
      <c r="B26" s="11" t="s">
        <v>42</v>
      </c>
      <c r="C26" s="12">
        <v>715.0</v>
      </c>
      <c r="D26" s="10">
        <v>332.0</v>
      </c>
      <c r="E26" s="13">
        <v>123.0</v>
      </c>
      <c r="F26" s="14">
        <v>-0.034</v>
      </c>
      <c r="G26" s="15">
        <v>109.0</v>
      </c>
      <c r="H26" s="15">
        <v>117.0</v>
      </c>
      <c r="I26" s="15">
        <v>106.0</v>
      </c>
      <c r="J26" s="15">
        <v>114.0</v>
      </c>
      <c r="K26" s="15">
        <v>107.0</v>
      </c>
      <c r="L26" s="15">
        <v>111.0</v>
      </c>
      <c r="M26" s="16">
        <v>123.0</v>
      </c>
      <c r="N26" s="16">
        <v>130.0</v>
      </c>
      <c r="O26" s="15">
        <f t="shared" si="1"/>
        <v>110.9013453</v>
      </c>
      <c r="P26" s="15">
        <f t="shared" si="2"/>
        <v>104.3684211</v>
      </c>
      <c r="Q26" s="15">
        <f t="shared" si="3"/>
        <v>106.8333333</v>
      </c>
      <c r="R26" s="15">
        <f t="shared" si="4"/>
        <v>114.7488789</v>
      </c>
    </row>
    <row r="27">
      <c r="A27" s="10">
        <v>571970.0</v>
      </c>
      <c r="B27" s="11" t="s">
        <v>43</v>
      </c>
      <c r="C27" s="12">
        <v>1349.0</v>
      </c>
      <c r="D27" s="10">
        <v>581.0</v>
      </c>
      <c r="E27" s="13">
        <v>192.0</v>
      </c>
      <c r="F27" s="14">
        <v>-0.035</v>
      </c>
      <c r="G27" s="15">
        <v>125.0</v>
      </c>
      <c r="H27" s="15">
        <v>128.0</v>
      </c>
      <c r="I27" s="15">
        <v>115.0</v>
      </c>
      <c r="J27" s="15">
        <v>120.0</v>
      </c>
      <c r="K27" s="15">
        <v>83.0</v>
      </c>
      <c r="L27" s="15">
        <v>121.0</v>
      </c>
      <c r="M27" s="16">
        <v>123.0</v>
      </c>
      <c r="N27" s="16">
        <v>114.0</v>
      </c>
      <c r="O27" s="15">
        <f t="shared" si="1"/>
        <v>121.5963408</v>
      </c>
      <c r="P27" s="15">
        <f t="shared" si="2"/>
        <v>87.35339309</v>
      </c>
      <c r="Q27" s="15">
        <f t="shared" si="3"/>
        <v>115.1011236</v>
      </c>
      <c r="R27" s="15">
        <f t="shared" si="4"/>
        <v>117.7398513</v>
      </c>
    </row>
    <row r="28">
      <c r="A28" s="10">
        <v>677951.0</v>
      </c>
      <c r="B28" s="11" t="s">
        <v>44</v>
      </c>
      <c r="C28" s="12">
        <v>1515.0</v>
      </c>
      <c r="D28" s="10">
        <v>779.0</v>
      </c>
      <c r="E28" s="13">
        <v>305.0</v>
      </c>
      <c r="F28" s="14">
        <v>0.037</v>
      </c>
      <c r="G28" s="15">
        <v>109.0</v>
      </c>
      <c r="H28" s="15">
        <v>97.0</v>
      </c>
      <c r="I28" s="15">
        <v>117.0</v>
      </c>
      <c r="J28" s="15">
        <v>90.0</v>
      </c>
      <c r="K28" s="15">
        <v>106.0</v>
      </c>
      <c r="L28" s="15">
        <v>116.0</v>
      </c>
      <c r="M28" s="16">
        <v>122.0</v>
      </c>
      <c r="N28" s="16">
        <v>115.0</v>
      </c>
      <c r="O28" s="15">
        <f t="shared" si="1"/>
        <v>97.62663185</v>
      </c>
      <c r="P28" s="15">
        <f t="shared" si="2"/>
        <v>104.7742594</v>
      </c>
      <c r="Q28" s="15">
        <f t="shared" si="3"/>
        <v>112.8421053</v>
      </c>
      <c r="R28" s="15">
        <f t="shared" si="4"/>
        <v>117.4046997</v>
      </c>
    </row>
    <row r="29">
      <c r="A29" s="10">
        <v>575929.0</v>
      </c>
      <c r="B29" s="11" t="s">
        <v>45</v>
      </c>
      <c r="C29" s="12">
        <v>1463.0</v>
      </c>
      <c r="D29" s="10">
        <v>712.0</v>
      </c>
      <c r="E29" s="13">
        <v>245.0</v>
      </c>
      <c r="F29" s="14">
        <v>0.007</v>
      </c>
      <c r="G29" s="15">
        <v>97.0</v>
      </c>
      <c r="H29" s="15">
        <v>103.0</v>
      </c>
      <c r="I29" s="15">
        <v>106.0</v>
      </c>
      <c r="J29" s="15">
        <v>101.0</v>
      </c>
      <c r="K29" s="15">
        <v>91.0</v>
      </c>
      <c r="L29" s="15">
        <v>124.0</v>
      </c>
      <c r="M29" s="16">
        <v>122.0</v>
      </c>
      <c r="N29" s="16">
        <v>111.0</v>
      </c>
      <c r="O29" s="15">
        <f t="shared" si="1"/>
        <v>102.3558776</v>
      </c>
      <c r="P29" s="15">
        <f t="shared" si="2"/>
        <v>92.97368421</v>
      </c>
      <c r="Q29" s="15">
        <f t="shared" si="3"/>
        <v>118.375</v>
      </c>
      <c r="R29" s="15">
        <f t="shared" si="4"/>
        <v>117.2764359</v>
      </c>
    </row>
    <row r="30">
      <c r="A30" s="10">
        <v>665487.0</v>
      </c>
      <c r="B30" s="11" t="s">
        <v>46</v>
      </c>
      <c r="C30" s="12">
        <v>1553.0</v>
      </c>
      <c r="D30" s="10">
        <v>727.0</v>
      </c>
      <c r="E30" s="13">
        <v>285.0</v>
      </c>
      <c r="F30" s="14">
        <v>-0.004</v>
      </c>
      <c r="G30" s="15">
        <v>127.0</v>
      </c>
      <c r="H30" s="15">
        <v>125.0</v>
      </c>
      <c r="I30" s="15">
        <v>120.0</v>
      </c>
      <c r="J30" s="15">
        <v>116.0</v>
      </c>
      <c r="K30" s="15">
        <v>105.0</v>
      </c>
      <c r="L30" s="15">
        <v>107.0</v>
      </c>
      <c r="M30" s="16">
        <v>122.0</v>
      </c>
      <c r="N30" s="16">
        <v>116.0</v>
      </c>
      <c r="O30" s="15">
        <f t="shared" si="1"/>
        <v>119.8796723</v>
      </c>
      <c r="P30" s="15">
        <f t="shared" si="2"/>
        <v>103.9212513</v>
      </c>
      <c r="Q30" s="15">
        <f t="shared" si="3"/>
        <v>105.5416667</v>
      </c>
      <c r="R30" s="15">
        <f t="shared" si="4"/>
        <v>117.4941116</v>
      </c>
    </row>
    <row r="31">
      <c r="A31" s="10">
        <v>667670.0</v>
      </c>
      <c r="B31" s="11" t="s">
        <v>47</v>
      </c>
      <c r="C31" s="12">
        <v>1552.0</v>
      </c>
      <c r="D31" s="10">
        <v>764.0</v>
      </c>
      <c r="E31" s="13">
        <v>288.0</v>
      </c>
      <c r="F31" s="14">
        <v>0.03</v>
      </c>
      <c r="G31" s="15">
        <v>127.0</v>
      </c>
      <c r="H31" s="15">
        <v>107.0</v>
      </c>
      <c r="I31" s="15">
        <v>111.0</v>
      </c>
      <c r="J31" s="15">
        <v>103.0</v>
      </c>
      <c r="K31" s="15">
        <v>101.0</v>
      </c>
      <c r="L31" s="15">
        <v>115.0</v>
      </c>
      <c r="M31" s="16">
        <v>122.0</v>
      </c>
      <c r="N31" s="16">
        <v>117.0</v>
      </c>
      <c r="O31" s="15">
        <f t="shared" si="1"/>
        <v>105.5655738</v>
      </c>
      <c r="P31" s="15">
        <f t="shared" si="2"/>
        <v>100.7925311</v>
      </c>
      <c r="Q31" s="15">
        <f t="shared" si="3"/>
        <v>111.9008264</v>
      </c>
      <c r="R31" s="15">
        <f t="shared" si="4"/>
        <v>117.4918033</v>
      </c>
    </row>
    <row r="32">
      <c r="A32" s="10">
        <v>666182.0</v>
      </c>
      <c r="B32" s="11" t="s">
        <v>48</v>
      </c>
      <c r="C32" s="12">
        <v>1509.0</v>
      </c>
      <c r="D32" s="10">
        <v>797.0</v>
      </c>
      <c r="E32" s="13">
        <v>327.0</v>
      </c>
      <c r="F32" s="14">
        <v>0.037</v>
      </c>
      <c r="G32" s="15">
        <v>96.0</v>
      </c>
      <c r="H32" s="15">
        <v>88.0</v>
      </c>
      <c r="I32" s="15">
        <v>105.0</v>
      </c>
      <c r="J32" s="15">
        <v>86.0</v>
      </c>
      <c r="K32" s="15">
        <v>113.0</v>
      </c>
      <c r="L32" s="15">
        <v>114.0</v>
      </c>
      <c r="M32" s="16">
        <v>122.0</v>
      </c>
      <c r="N32" s="16">
        <v>108.0</v>
      </c>
      <c r="O32" s="15">
        <f t="shared" si="1"/>
        <v>90.51440545</v>
      </c>
      <c r="P32" s="15">
        <f t="shared" si="2"/>
        <v>110.3921765</v>
      </c>
      <c r="Q32" s="15">
        <f t="shared" si="3"/>
        <v>111.3880597</v>
      </c>
      <c r="R32" s="15">
        <f t="shared" si="4"/>
        <v>117.3902567</v>
      </c>
    </row>
    <row r="33">
      <c r="A33" s="10">
        <v>682998.0</v>
      </c>
      <c r="B33" s="11" t="s">
        <v>49</v>
      </c>
      <c r="C33" s="12">
        <v>1401.0</v>
      </c>
      <c r="D33" s="10">
        <v>687.0</v>
      </c>
      <c r="E33" s="13">
        <v>230.0</v>
      </c>
      <c r="F33" s="14">
        <v>0.02</v>
      </c>
      <c r="G33" s="15">
        <v>92.0</v>
      </c>
      <c r="H33" s="15">
        <v>89.0</v>
      </c>
      <c r="I33" s="15">
        <v>94.0</v>
      </c>
      <c r="J33" s="15">
        <v>92.0</v>
      </c>
      <c r="K33" s="15">
        <v>96.0</v>
      </c>
      <c r="L33" s="15">
        <v>127.0</v>
      </c>
      <c r="M33" s="16">
        <v>121.0</v>
      </c>
      <c r="N33" s="16">
        <v>121.0</v>
      </c>
      <c r="O33" s="15">
        <f t="shared" si="1"/>
        <v>91.44308717</v>
      </c>
      <c r="P33" s="15">
        <f t="shared" si="2"/>
        <v>96.90191657</v>
      </c>
      <c r="Q33" s="15">
        <f t="shared" si="3"/>
        <v>120.3606557</v>
      </c>
      <c r="R33" s="15">
        <f t="shared" si="4"/>
        <v>116.3359245</v>
      </c>
    </row>
    <row r="34">
      <c r="A34" s="10">
        <v>679529.0</v>
      </c>
      <c r="B34" s="11" t="s">
        <v>50</v>
      </c>
      <c r="C34" s="12">
        <v>1522.0</v>
      </c>
      <c r="D34" s="10">
        <v>686.0</v>
      </c>
      <c r="E34" s="13">
        <v>238.0</v>
      </c>
      <c r="F34" s="14">
        <v>-0.064</v>
      </c>
      <c r="G34" s="15">
        <v>124.0</v>
      </c>
      <c r="H34" s="15">
        <v>134.0</v>
      </c>
      <c r="I34" s="15">
        <v>113.0</v>
      </c>
      <c r="J34" s="15">
        <v>129.0</v>
      </c>
      <c r="K34" s="15">
        <v>87.0</v>
      </c>
      <c r="L34" s="15">
        <v>113.0</v>
      </c>
      <c r="M34" s="16">
        <v>121.0</v>
      </c>
      <c r="N34" s="16">
        <v>115.0</v>
      </c>
      <c r="O34" s="15">
        <f t="shared" si="1"/>
        <v>126.9240375</v>
      </c>
      <c r="P34" s="15">
        <f t="shared" si="2"/>
        <v>89.93453725</v>
      </c>
      <c r="Q34" s="15">
        <f t="shared" si="3"/>
        <v>109.884984</v>
      </c>
      <c r="R34" s="15">
        <f t="shared" si="4"/>
        <v>116.6295525</v>
      </c>
    </row>
    <row r="35">
      <c r="A35" s="10">
        <v>596103.0</v>
      </c>
      <c r="B35" s="11" t="s">
        <v>51</v>
      </c>
      <c r="C35" s="12">
        <v>447.0</v>
      </c>
      <c r="D35" s="10">
        <v>223.0</v>
      </c>
      <c r="E35" s="13">
        <v>69.0</v>
      </c>
      <c r="F35" s="14">
        <v>-0.039</v>
      </c>
      <c r="G35" s="15">
        <v>107.0</v>
      </c>
      <c r="H35" s="15">
        <v>113.0</v>
      </c>
      <c r="I35" s="15">
        <v>80.0</v>
      </c>
      <c r="J35" s="15">
        <v>121.0</v>
      </c>
      <c r="K35" s="15">
        <v>88.0</v>
      </c>
      <c r="L35" s="15">
        <v>123.0</v>
      </c>
      <c r="M35" s="16">
        <v>121.0</v>
      </c>
      <c r="N35" s="16">
        <v>106.0</v>
      </c>
      <c r="O35" s="15">
        <f t="shared" si="1"/>
        <v>106.8606848</v>
      </c>
      <c r="P35" s="15">
        <f t="shared" si="2"/>
        <v>93.67375887</v>
      </c>
      <c r="Q35" s="15">
        <f t="shared" si="3"/>
        <v>111.0208333</v>
      </c>
      <c r="R35" s="15">
        <f t="shared" si="4"/>
        <v>111.0826446</v>
      </c>
    </row>
    <row r="36">
      <c r="A36" s="10">
        <v>621566.0</v>
      </c>
      <c r="B36" s="11" t="s">
        <v>52</v>
      </c>
      <c r="C36" s="12">
        <v>1833.0</v>
      </c>
      <c r="D36" s="10">
        <v>820.0</v>
      </c>
      <c r="E36" s="13">
        <v>263.0</v>
      </c>
      <c r="F36" s="14">
        <v>-0.035</v>
      </c>
      <c r="G36" s="15">
        <v>107.0</v>
      </c>
      <c r="H36" s="15">
        <v>107.0</v>
      </c>
      <c r="I36" s="15">
        <v>101.0</v>
      </c>
      <c r="J36" s="15">
        <v>106.0</v>
      </c>
      <c r="K36" s="15">
        <v>95.0</v>
      </c>
      <c r="L36" s="15">
        <v>123.0</v>
      </c>
      <c r="M36" s="16">
        <v>121.0</v>
      </c>
      <c r="N36" s="16">
        <v>114.0</v>
      </c>
      <c r="O36" s="15">
        <f t="shared" si="1"/>
        <v>105.7460815</v>
      </c>
      <c r="P36" s="15">
        <f t="shared" si="2"/>
        <v>95.98039216</v>
      </c>
      <c r="Q36" s="15">
        <f t="shared" si="3"/>
        <v>117.8964497</v>
      </c>
      <c r="R36" s="15">
        <f t="shared" si="4"/>
        <v>117.2382445</v>
      </c>
    </row>
    <row r="37">
      <c r="A37" s="10">
        <v>687263.0</v>
      </c>
      <c r="B37" s="11" t="s">
        <v>53</v>
      </c>
      <c r="C37" s="12">
        <v>1255.0</v>
      </c>
      <c r="D37" s="10">
        <v>600.0</v>
      </c>
      <c r="E37" s="13">
        <v>216.0</v>
      </c>
      <c r="F37" s="14">
        <v>0.0</v>
      </c>
      <c r="G37" s="15">
        <v>100.0</v>
      </c>
      <c r="H37" s="15">
        <v>95.0</v>
      </c>
      <c r="I37" s="15">
        <v>102.0</v>
      </c>
      <c r="J37" s="15">
        <v>94.0</v>
      </c>
      <c r="K37" s="15">
        <v>92.0</v>
      </c>
      <c r="L37" s="15">
        <v>124.0</v>
      </c>
      <c r="M37" s="16">
        <v>120.0</v>
      </c>
      <c r="N37" s="16">
        <v>117.0</v>
      </c>
      <c r="O37" s="15">
        <f t="shared" si="1"/>
        <v>96.20845921</v>
      </c>
      <c r="P37" s="15">
        <f t="shared" si="2"/>
        <v>94</v>
      </c>
      <c r="Q37" s="15">
        <f t="shared" si="3"/>
        <v>117.814433</v>
      </c>
      <c r="R37" s="15">
        <f t="shared" si="4"/>
        <v>115.1661631</v>
      </c>
    </row>
    <row r="38">
      <c r="A38" s="10">
        <v>663757.0</v>
      </c>
      <c r="B38" s="11" t="s">
        <v>54</v>
      </c>
      <c r="C38" s="12">
        <v>1278.0</v>
      </c>
      <c r="D38" s="10">
        <v>495.0</v>
      </c>
      <c r="E38" s="13">
        <v>196.0</v>
      </c>
      <c r="F38" s="14">
        <v>-0.108</v>
      </c>
      <c r="G38" s="15">
        <v>105.0</v>
      </c>
      <c r="H38" s="15">
        <v>123.0</v>
      </c>
      <c r="I38" s="15">
        <v>88.0</v>
      </c>
      <c r="J38" s="15">
        <v>128.0</v>
      </c>
      <c r="K38" s="15">
        <v>96.0</v>
      </c>
      <c r="L38" s="15">
        <v>112.0</v>
      </c>
      <c r="M38" s="16">
        <v>119.0</v>
      </c>
      <c r="N38" s="16">
        <v>119.0</v>
      </c>
      <c r="O38" s="15">
        <f t="shared" si="1"/>
        <v>117.5172825</v>
      </c>
      <c r="P38" s="15">
        <f t="shared" si="2"/>
        <v>97.15107914</v>
      </c>
      <c r="Q38" s="15">
        <f t="shared" si="3"/>
        <v>108.6789668</v>
      </c>
      <c r="R38" s="15">
        <f t="shared" si="4"/>
        <v>114.4707986</v>
      </c>
    </row>
    <row r="39">
      <c r="A39" s="10">
        <v>669065.0</v>
      </c>
      <c r="B39" s="11" t="s">
        <v>55</v>
      </c>
      <c r="C39" s="12">
        <v>1296.0</v>
      </c>
      <c r="D39" s="10">
        <v>708.0</v>
      </c>
      <c r="E39" s="13">
        <v>209.0</v>
      </c>
      <c r="F39" s="14">
        <v>0.057</v>
      </c>
      <c r="G39" s="15">
        <v>127.0</v>
      </c>
      <c r="H39" s="15">
        <v>106.0</v>
      </c>
      <c r="I39" s="15">
        <v>118.0</v>
      </c>
      <c r="J39" s="15">
        <v>99.0</v>
      </c>
      <c r="K39" s="15">
        <v>78.0</v>
      </c>
      <c r="L39" s="15">
        <v>129.0</v>
      </c>
      <c r="M39" s="16">
        <v>119.0</v>
      </c>
      <c r="N39" s="16">
        <v>122.0</v>
      </c>
      <c r="O39" s="15">
        <f t="shared" si="1"/>
        <v>104.5849057</v>
      </c>
      <c r="P39" s="15">
        <f t="shared" si="2"/>
        <v>82.84581498</v>
      </c>
      <c r="Q39" s="15">
        <f t="shared" si="3"/>
        <v>121.3415493</v>
      </c>
      <c r="R39" s="15">
        <f t="shared" si="4"/>
        <v>114.5188679</v>
      </c>
    </row>
    <row r="40">
      <c r="A40" s="10">
        <v>621439.0</v>
      </c>
      <c r="B40" s="11" t="s">
        <v>56</v>
      </c>
      <c r="C40" s="12">
        <v>1244.0</v>
      </c>
      <c r="D40" s="10">
        <v>623.0</v>
      </c>
      <c r="E40" s="13">
        <v>213.0</v>
      </c>
      <c r="F40" s="14">
        <v>0.002</v>
      </c>
      <c r="G40" s="15">
        <v>116.0</v>
      </c>
      <c r="H40" s="15">
        <v>101.0</v>
      </c>
      <c r="I40" s="15">
        <v>101.0</v>
      </c>
      <c r="J40" s="15">
        <v>100.0</v>
      </c>
      <c r="K40" s="15">
        <v>92.0</v>
      </c>
      <c r="L40" s="15">
        <v>122.0</v>
      </c>
      <c r="M40" s="16">
        <v>119.0</v>
      </c>
      <c r="N40" s="16">
        <v>128.0</v>
      </c>
      <c r="O40" s="15">
        <f t="shared" si="1"/>
        <v>100.756691</v>
      </c>
      <c r="P40" s="15">
        <f t="shared" si="2"/>
        <v>93.94410693</v>
      </c>
      <c r="Q40" s="15">
        <f t="shared" si="3"/>
        <v>116.2708333</v>
      </c>
      <c r="R40" s="15">
        <f t="shared" si="4"/>
        <v>114.377129</v>
      </c>
    </row>
    <row r="41">
      <c r="A41" s="10">
        <v>542303.0</v>
      </c>
      <c r="B41" s="11" t="s">
        <v>57</v>
      </c>
      <c r="C41" s="12">
        <v>1682.0</v>
      </c>
      <c r="D41" s="10">
        <v>665.0</v>
      </c>
      <c r="E41" s="13">
        <v>234.0</v>
      </c>
      <c r="F41" s="14">
        <v>-0.091</v>
      </c>
      <c r="G41" s="15">
        <v>103.0</v>
      </c>
      <c r="H41" s="15">
        <v>121.0</v>
      </c>
      <c r="I41" s="15">
        <v>75.0</v>
      </c>
      <c r="J41" s="15">
        <v>126.0</v>
      </c>
      <c r="K41" s="15">
        <v>103.0</v>
      </c>
      <c r="L41" s="15">
        <v>110.0</v>
      </c>
      <c r="M41" s="16">
        <v>119.0</v>
      </c>
      <c r="N41" s="16">
        <v>109.0</v>
      </c>
      <c r="O41" s="15">
        <f t="shared" si="1"/>
        <v>116.9654179</v>
      </c>
      <c r="P41" s="15">
        <f t="shared" si="2"/>
        <v>102.3063584</v>
      </c>
      <c r="Q41" s="15">
        <f t="shared" si="3"/>
        <v>107.5728155</v>
      </c>
      <c r="R41" s="15">
        <f t="shared" si="4"/>
        <v>115.3496638</v>
      </c>
    </row>
    <row r="42">
      <c r="A42" s="10">
        <v>680977.0</v>
      </c>
      <c r="B42" s="11" t="s">
        <v>58</v>
      </c>
      <c r="C42" s="12">
        <v>1463.0</v>
      </c>
      <c r="D42" s="10">
        <v>639.0</v>
      </c>
      <c r="E42" s="13">
        <v>296.0</v>
      </c>
      <c r="F42" s="14">
        <v>-0.042</v>
      </c>
      <c r="G42" s="15">
        <v>97.0</v>
      </c>
      <c r="H42" s="15">
        <v>105.0</v>
      </c>
      <c r="I42" s="15">
        <v>96.0</v>
      </c>
      <c r="J42" s="15">
        <v>106.0</v>
      </c>
      <c r="K42" s="15">
        <v>124.0</v>
      </c>
      <c r="L42" s="15">
        <v>103.0</v>
      </c>
      <c r="M42" s="16">
        <v>119.0</v>
      </c>
      <c r="N42" s="16">
        <v>113.0</v>
      </c>
      <c r="O42" s="15">
        <f t="shared" si="1"/>
        <v>103.9264627</v>
      </c>
      <c r="P42" s="15">
        <f t="shared" si="2"/>
        <v>118.2789035</v>
      </c>
      <c r="Q42" s="15">
        <f t="shared" si="3"/>
        <v>102.393531</v>
      </c>
      <c r="R42" s="15">
        <f t="shared" si="4"/>
        <v>114.9205582</v>
      </c>
    </row>
    <row r="43">
      <c r="A43" s="10">
        <v>690993.0</v>
      </c>
      <c r="B43" s="11" t="s">
        <v>59</v>
      </c>
      <c r="C43" s="12">
        <v>1163.0</v>
      </c>
      <c r="D43" s="10">
        <v>512.0</v>
      </c>
      <c r="E43" s="13">
        <v>200.0</v>
      </c>
      <c r="F43" s="14">
        <v>-0.036</v>
      </c>
      <c r="G43" s="15">
        <v>104.0</v>
      </c>
      <c r="H43" s="15">
        <v>108.0</v>
      </c>
      <c r="I43" s="15">
        <v>95.0</v>
      </c>
      <c r="J43" s="15">
        <v>109.0</v>
      </c>
      <c r="K43" s="15">
        <v>103.0</v>
      </c>
      <c r="L43" s="15">
        <v>113.0</v>
      </c>
      <c r="M43" s="16">
        <v>119.0</v>
      </c>
      <c r="N43" s="16">
        <v>107.0</v>
      </c>
      <c r="O43" s="15">
        <f t="shared" si="1"/>
        <v>105.9526552</v>
      </c>
      <c r="P43" s="15">
        <f t="shared" si="2"/>
        <v>102.1573034</v>
      </c>
      <c r="Q43" s="15">
        <f t="shared" si="3"/>
        <v>109.4545455</v>
      </c>
      <c r="R43" s="15">
        <f t="shared" si="4"/>
        <v>114.137556</v>
      </c>
    </row>
    <row r="44">
      <c r="A44" s="10">
        <v>547180.0</v>
      </c>
      <c r="B44" s="11" t="s">
        <v>60</v>
      </c>
      <c r="C44" s="12">
        <v>1153.0</v>
      </c>
      <c r="D44" s="10">
        <v>599.0</v>
      </c>
      <c r="E44" s="13">
        <v>195.0</v>
      </c>
      <c r="F44" s="14">
        <v>0.092</v>
      </c>
      <c r="G44" s="15">
        <v>105.0</v>
      </c>
      <c r="H44" s="15">
        <v>88.0</v>
      </c>
      <c r="I44" s="15">
        <v>116.0</v>
      </c>
      <c r="J44" s="15">
        <v>85.0</v>
      </c>
      <c r="K44" s="15">
        <v>103.0</v>
      </c>
      <c r="L44" s="15">
        <v>121.0</v>
      </c>
      <c r="M44" s="16">
        <v>119.0</v>
      </c>
      <c r="N44" s="16">
        <v>110.0</v>
      </c>
      <c r="O44" s="15">
        <f t="shared" si="1"/>
        <v>91.09079202</v>
      </c>
      <c r="P44" s="15">
        <f t="shared" si="2"/>
        <v>102.2490613</v>
      </c>
      <c r="Q44" s="15">
        <f t="shared" si="3"/>
        <v>115.1666667</v>
      </c>
      <c r="R44" s="15">
        <f t="shared" si="4"/>
        <v>114.106246</v>
      </c>
    </row>
    <row r="45">
      <c r="A45" s="10">
        <v>682663.0</v>
      </c>
      <c r="B45" s="11" t="s">
        <v>61</v>
      </c>
      <c r="C45" s="12">
        <v>1062.0</v>
      </c>
      <c r="D45" s="10">
        <v>545.0</v>
      </c>
      <c r="E45" s="13">
        <v>224.0</v>
      </c>
      <c r="F45" s="14">
        <v>0.038</v>
      </c>
      <c r="G45" s="15">
        <v>108.0</v>
      </c>
      <c r="H45" s="15">
        <v>95.0</v>
      </c>
      <c r="I45" s="15">
        <v>98.0</v>
      </c>
      <c r="J45" s="15">
        <v>96.0</v>
      </c>
      <c r="K45" s="15">
        <v>111.0</v>
      </c>
      <c r="L45" s="15">
        <v>110.0</v>
      </c>
      <c r="M45" s="16">
        <v>118.0</v>
      </c>
      <c r="N45" s="16">
        <v>107.0</v>
      </c>
      <c r="O45" s="15">
        <f t="shared" si="1"/>
        <v>96.36798906</v>
      </c>
      <c r="P45" s="15">
        <f t="shared" si="2"/>
        <v>108.0469799</v>
      </c>
      <c r="Q45" s="15">
        <f t="shared" si="3"/>
        <v>107.4916388</v>
      </c>
      <c r="R45" s="15">
        <f t="shared" si="4"/>
        <v>113.0752394</v>
      </c>
    </row>
    <row r="46">
      <c r="A46" s="10">
        <v>620443.0</v>
      </c>
      <c r="B46" s="11" t="s">
        <v>62</v>
      </c>
      <c r="C46" s="12">
        <v>780.0</v>
      </c>
      <c r="D46" s="10">
        <v>366.0</v>
      </c>
      <c r="E46" s="13">
        <v>129.0</v>
      </c>
      <c r="F46" s="14">
        <v>-0.038</v>
      </c>
      <c r="G46" s="15">
        <v>106.0</v>
      </c>
      <c r="H46" s="15">
        <v>113.0</v>
      </c>
      <c r="I46" s="15">
        <v>100.0</v>
      </c>
      <c r="J46" s="15">
        <v>113.0</v>
      </c>
      <c r="K46" s="15">
        <v>91.0</v>
      </c>
      <c r="L46" s="15">
        <v>116.0</v>
      </c>
      <c r="M46" s="16">
        <v>118.0</v>
      </c>
      <c r="N46" s="16">
        <v>85.0</v>
      </c>
      <c r="O46" s="15">
        <f t="shared" si="1"/>
        <v>108.5932203</v>
      </c>
      <c r="P46" s="15">
        <f t="shared" si="2"/>
        <v>94.18021201</v>
      </c>
      <c r="Q46" s="15">
        <f t="shared" si="3"/>
        <v>110.1176471</v>
      </c>
      <c r="R46" s="15">
        <f t="shared" si="4"/>
        <v>111.8983051</v>
      </c>
    </row>
    <row r="47">
      <c r="A47" s="10">
        <v>663656.0</v>
      </c>
      <c r="B47" s="11" t="s">
        <v>63</v>
      </c>
      <c r="C47" s="12">
        <v>1624.0</v>
      </c>
      <c r="D47" s="10">
        <v>739.0</v>
      </c>
      <c r="E47" s="13">
        <v>298.0</v>
      </c>
      <c r="F47" s="14">
        <v>-0.015</v>
      </c>
      <c r="G47" s="15">
        <v>137.0</v>
      </c>
      <c r="H47" s="15">
        <v>127.0</v>
      </c>
      <c r="I47" s="15">
        <v>111.0</v>
      </c>
      <c r="J47" s="15">
        <v>122.0</v>
      </c>
      <c r="K47" s="15">
        <v>102.0</v>
      </c>
      <c r="L47" s="15">
        <v>104.0</v>
      </c>
      <c r="M47" s="16">
        <v>117.0</v>
      </c>
      <c r="N47" s="16">
        <v>122.0</v>
      </c>
      <c r="O47" s="15">
        <f t="shared" si="1"/>
        <v>121.6640316</v>
      </c>
      <c r="P47" s="15">
        <f t="shared" si="2"/>
        <v>101.5740149</v>
      </c>
      <c r="Q47" s="15">
        <f t="shared" si="3"/>
        <v>103.1957105</v>
      </c>
      <c r="R47" s="15">
        <f t="shared" si="4"/>
        <v>113.6403162</v>
      </c>
    </row>
    <row r="48">
      <c r="A48" s="10">
        <v>686948.0</v>
      </c>
      <c r="B48" s="11" t="s">
        <v>64</v>
      </c>
      <c r="C48" s="12">
        <v>838.0</v>
      </c>
      <c r="D48" s="10">
        <v>403.0</v>
      </c>
      <c r="E48" s="13">
        <v>156.0</v>
      </c>
      <c r="F48" s="14">
        <v>-0.015</v>
      </c>
      <c r="G48" s="15">
        <v>105.0</v>
      </c>
      <c r="H48" s="15">
        <v>105.0</v>
      </c>
      <c r="I48" s="15">
        <v>112.0</v>
      </c>
      <c r="J48" s="15">
        <v>100.0</v>
      </c>
      <c r="K48" s="15">
        <v>115.0</v>
      </c>
      <c r="L48" s="15">
        <v>106.0</v>
      </c>
      <c r="M48" s="16">
        <v>117.0</v>
      </c>
      <c r="N48" s="16">
        <v>117.0</v>
      </c>
      <c r="O48" s="15">
        <f t="shared" si="1"/>
        <v>103.3844911</v>
      </c>
      <c r="P48" s="15">
        <f t="shared" si="2"/>
        <v>110.0248756</v>
      </c>
      <c r="Q48" s="15">
        <f t="shared" si="3"/>
        <v>104.0519481</v>
      </c>
      <c r="R48" s="15">
        <f t="shared" si="4"/>
        <v>111.5072698</v>
      </c>
    </row>
    <row r="49">
      <c r="A49" s="10">
        <v>670541.0</v>
      </c>
      <c r="B49" s="11" t="s">
        <v>65</v>
      </c>
      <c r="C49" s="12">
        <v>490.0</v>
      </c>
      <c r="D49" s="10">
        <v>225.0</v>
      </c>
      <c r="E49" s="13">
        <v>84.0</v>
      </c>
      <c r="F49" s="14">
        <v>0.0</v>
      </c>
      <c r="G49" s="15">
        <v>89.0</v>
      </c>
      <c r="H49" s="15">
        <v>86.0</v>
      </c>
      <c r="I49" s="15">
        <v>95.0</v>
      </c>
      <c r="J49" s="15">
        <v>88.0</v>
      </c>
      <c r="K49" s="15">
        <v>117.0</v>
      </c>
      <c r="L49" s="15">
        <v>114.0</v>
      </c>
      <c r="M49" s="16">
        <v>117.0</v>
      </c>
      <c r="N49" s="16">
        <v>87.0</v>
      </c>
      <c r="O49" s="15">
        <f t="shared" si="1"/>
        <v>92.29213483</v>
      </c>
      <c r="P49" s="15">
        <f t="shared" si="2"/>
        <v>109</v>
      </c>
      <c r="Q49" s="15">
        <f t="shared" si="3"/>
        <v>107.3962264</v>
      </c>
      <c r="R49" s="15">
        <f t="shared" si="4"/>
        <v>109.3595506</v>
      </c>
    </row>
    <row r="50">
      <c r="A50" s="10">
        <v>682985.0</v>
      </c>
      <c r="B50" s="11" t="s">
        <v>66</v>
      </c>
      <c r="C50" s="12">
        <v>1644.0</v>
      </c>
      <c r="D50" s="10">
        <v>843.0</v>
      </c>
      <c r="E50" s="13">
        <v>243.0</v>
      </c>
      <c r="F50" s="14">
        <v>0.033</v>
      </c>
      <c r="G50" s="15">
        <v>106.0</v>
      </c>
      <c r="H50" s="15">
        <v>99.0</v>
      </c>
      <c r="I50" s="15">
        <v>122.0</v>
      </c>
      <c r="J50" s="15">
        <v>91.0</v>
      </c>
      <c r="K50" s="15">
        <v>79.0</v>
      </c>
      <c r="L50" s="15">
        <v>132.0</v>
      </c>
      <c r="M50" s="16">
        <v>117.0</v>
      </c>
      <c r="N50" s="16">
        <v>124.0</v>
      </c>
      <c r="O50" s="15">
        <f t="shared" si="1"/>
        <v>99.19569472</v>
      </c>
      <c r="P50" s="15">
        <f t="shared" si="2"/>
        <v>83.02684564</v>
      </c>
      <c r="Q50" s="15">
        <f t="shared" si="3"/>
        <v>124.4528302</v>
      </c>
      <c r="R50" s="15">
        <f t="shared" si="4"/>
        <v>113.6731898</v>
      </c>
    </row>
    <row r="51">
      <c r="A51" s="10">
        <v>666181.0</v>
      </c>
      <c r="B51" s="11" t="s">
        <v>67</v>
      </c>
      <c r="C51" s="12">
        <v>659.0</v>
      </c>
      <c r="D51" s="10">
        <v>335.0</v>
      </c>
      <c r="E51" s="13">
        <v>109.0</v>
      </c>
      <c r="F51" s="14">
        <v>0.001</v>
      </c>
      <c r="G51" s="15">
        <v>120.0</v>
      </c>
      <c r="H51" s="15">
        <v>109.0</v>
      </c>
      <c r="I51" s="15">
        <v>111.0</v>
      </c>
      <c r="J51" s="15">
        <v>105.0</v>
      </c>
      <c r="K51" s="15">
        <v>78.0</v>
      </c>
      <c r="L51" s="15">
        <v>124.0</v>
      </c>
      <c r="M51" s="16">
        <v>117.0</v>
      </c>
      <c r="N51" s="16">
        <v>96.0</v>
      </c>
      <c r="O51" s="15">
        <f t="shared" si="1"/>
        <v>105.6005666</v>
      </c>
      <c r="P51" s="15">
        <f t="shared" si="2"/>
        <v>86.22429907</v>
      </c>
      <c r="Q51" s="15">
        <f t="shared" si="3"/>
        <v>114.2173913</v>
      </c>
      <c r="R51" s="15">
        <f t="shared" si="4"/>
        <v>110.578848</v>
      </c>
    </row>
    <row r="52">
      <c r="A52" s="10">
        <v>680718.0</v>
      </c>
      <c r="B52" s="11" t="s">
        <v>68</v>
      </c>
      <c r="C52" s="12">
        <v>1026.0</v>
      </c>
      <c r="D52" s="10">
        <v>504.0</v>
      </c>
      <c r="E52" s="13">
        <v>178.0</v>
      </c>
      <c r="F52" s="14">
        <v>0.004</v>
      </c>
      <c r="G52" s="15">
        <v>93.0</v>
      </c>
      <c r="H52" s="15">
        <v>92.0</v>
      </c>
      <c r="I52" s="15">
        <v>94.0</v>
      </c>
      <c r="J52" s="15">
        <v>94.0</v>
      </c>
      <c r="K52" s="15">
        <v>99.0</v>
      </c>
      <c r="L52" s="15">
        <v>120.0</v>
      </c>
      <c r="M52" s="16">
        <v>117.0</v>
      </c>
      <c r="N52" s="16">
        <v>115.0</v>
      </c>
      <c r="O52" s="15">
        <f t="shared" si="1"/>
        <v>94.24403927</v>
      </c>
      <c r="P52" s="15">
        <f t="shared" si="2"/>
        <v>99.28409091</v>
      </c>
      <c r="Q52" s="15">
        <f t="shared" si="3"/>
        <v>114.0711462</v>
      </c>
      <c r="R52" s="15">
        <f t="shared" si="4"/>
        <v>112.2314165</v>
      </c>
    </row>
    <row r="53">
      <c r="A53" s="10">
        <v>678662.0</v>
      </c>
      <c r="B53" s="11" t="s">
        <v>69</v>
      </c>
      <c r="C53" s="12">
        <v>507.0</v>
      </c>
      <c r="D53" s="10">
        <v>307.0</v>
      </c>
      <c r="E53" s="13">
        <v>100.0</v>
      </c>
      <c r="F53" s="14">
        <v>0.139</v>
      </c>
      <c r="G53" s="15">
        <v>95.0</v>
      </c>
      <c r="H53" s="15">
        <v>74.0</v>
      </c>
      <c r="I53" s="15">
        <v>130.0</v>
      </c>
      <c r="J53" s="15">
        <v>68.0</v>
      </c>
      <c r="K53" s="15">
        <v>97.0</v>
      </c>
      <c r="L53" s="15">
        <v>124.0</v>
      </c>
      <c r="M53" s="16">
        <v>116.0</v>
      </c>
      <c r="N53" s="16">
        <v>93.0</v>
      </c>
      <c r="O53" s="15">
        <f t="shared" si="1"/>
        <v>85.46637266</v>
      </c>
      <c r="P53" s="15">
        <f t="shared" si="2"/>
        <v>98.18343195</v>
      </c>
      <c r="Q53" s="15">
        <f t="shared" si="3"/>
        <v>113.7142857</v>
      </c>
      <c r="R53" s="15">
        <f t="shared" si="4"/>
        <v>108.9437707</v>
      </c>
    </row>
    <row r="54">
      <c r="A54" s="10">
        <v>677800.0</v>
      </c>
      <c r="B54" s="11" t="s">
        <v>70</v>
      </c>
      <c r="C54" s="12">
        <v>1144.0</v>
      </c>
      <c r="D54" s="10">
        <v>599.0</v>
      </c>
      <c r="E54" s="13">
        <v>201.0</v>
      </c>
      <c r="F54" s="14">
        <v>0.032</v>
      </c>
      <c r="G54" s="15">
        <v>114.0</v>
      </c>
      <c r="H54" s="15">
        <v>107.0</v>
      </c>
      <c r="I54" s="15">
        <v>119.0</v>
      </c>
      <c r="J54" s="15">
        <v>100.0</v>
      </c>
      <c r="K54" s="15">
        <v>90.0</v>
      </c>
      <c r="L54" s="15">
        <v>117.0</v>
      </c>
      <c r="M54" s="16">
        <v>116.0</v>
      </c>
      <c r="N54" s="16">
        <v>113.0</v>
      </c>
      <c r="O54" s="15">
        <f t="shared" si="1"/>
        <v>105.1865285</v>
      </c>
      <c r="P54" s="15">
        <f t="shared" si="2"/>
        <v>92.50312891</v>
      </c>
      <c r="Q54" s="15">
        <f t="shared" si="3"/>
        <v>112.3804348</v>
      </c>
      <c r="R54" s="15">
        <f t="shared" si="4"/>
        <v>111.8549223</v>
      </c>
    </row>
    <row r="55">
      <c r="A55" s="10">
        <v>608348.0</v>
      </c>
      <c r="B55" s="11" t="s">
        <v>71</v>
      </c>
      <c r="C55" s="12">
        <v>950.0</v>
      </c>
      <c r="D55" s="10">
        <v>410.0</v>
      </c>
      <c r="E55" s="13">
        <v>162.0</v>
      </c>
      <c r="F55" s="14">
        <v>-0.061</v>
      </c>
      <c r="G55" s="15">
        <v>126.0</v>
      </c>
      <c r="H55" s="15">
        <v>123.0</v>
      </c>
      <c r="I55" s="15">
        <v>89.0</v>
      </c>
      <c r="J55" s="15">
        <v>125.0</v>
      </c>
      <c r="K55" s="15">
        <v>102.0</v>
      </c>
      <c r="L55" s="15">
        <v>105.0</v>
      </c>
      <c r="M55" s="16">
        <v>116.0</v>
      </c>
      <c r="N55" s="16">
        <v>123.0</v>
      </c>
      <c r="O55" s="15">
        <f t="shared" si="1"/>
        <v>116.1851852</v>
      </c>
      <c r="P55" s="15">
        <f t="shared" si="2"/>
        <v>101.3442623</v>
      </c>
      <c r="Q55" s="15">
        <f t="shared" si="3"/>
        <v>103.4177215</v>
      </c>
      <c r="R55" s="15">
        <f t="shared" si="4"/>
        <v>111.2592593</v>
      </c>
    </row>
    <row r="56">
      <c r="A56" s="10">
        <v>680777.0</v>
      </c>
      <c r="B56" s="11" t="s">
        <v>72</v>
      </c>
      <c r="C56" s="12">
        <v>1158.0</v>
      </c>
      <c r="D56" s="10">
        <v>457.0</v>
      </c>
      <c r="E56" s="13">
        <v>200.0</v>
      </c>
      <c r="F56" s="14">
        <v>-0.081</v>
      </c>
      <c r="G56" s="15">
        <v>83.0</v>
      </c>
      <c r="H56" s="15">
        <v>99.0</v>
      </c>
      <c r="I56" s="15">
        <v>73.0</v>
      </c>
      <c r="J56" s="15">
        <v>108.0</v>
      </c>
      <c r="K56" s="15">
        <v>122.0</v>
      </c>
      <c r="L56" s="15">
        <v>107.0</v>
      </c>
      <c r="M56" s="16">
        <v>116.0</v>
      </c>
      <c r="N56" s="16">
        <v>106.0</v>
      </c>
      <c r="O56" s="15">
        <f t="shared" si="1"/>
        <v>99.25673941</v>
      </c>
      <c r="P56" s="15">
        <f t="shared" si="2"/>
        <v>115.3028919</v>
      </c>
      <c r="Q56" s="15">
        <f t="shared" si="3"/>
        <v>105.0909091</v>
      </c>
      <c r="R56" s="15">
        <f t="shared" si="4"/>
        <v>111.8921694</v>
      </c>
    </row>
    <row r="57">
      <c r="A57" s="10">
        <v>672640.0</v>
      </c>
      <c r="B57" s="11" t="s">
        <v>73</v>
      </c>
      <c r="C57" s="12">
        <v>1191.0</v>
      </c>
      <c r="D57" s="10">
        <v>543.0</v>
      </c>
      <c r="E57" s="13">
        <v>246.0</v>
      </c>
      <c r="F57" s="14">
        <v>-0.026</v>
      </c>
      <c r="G57" s="15">
        <v>89.0</v>
      </c>
      <c r="H57" s="15">
        <v>106.0</v>
      </c>
      <c r="I57" s="15">
        <v>107.0</v>
      </c>
      <c r="J57" s="15">
        <v>103.0</v>
      </c>
      <c r="K57" s="15">
        <v>117.0</v>
      </c>
      <c r="L57" s="15">
        <v>103.0</v>
      </c>
      <c r="M57" s="16">
        <v>116.0</v>
      </c>
      <c r="N57" s="16">
        <v>102.0</v>
      </c>
      <c r="O57" s="15">
        <f t="shared" si="1"/>
        <v>104.4915148</v>
      </c>
      <c r="P57" s="15">
        <f t="shared" si="2"/>
        <v>112.4239569</v>
      </c>
      <c r="Q57" s="15">
        <f t="shared" si="3"/>
        <v>102.2990654</v>
      </c>
      <c r="R57" s="15">
        <f t="shared" si="4"/>
        <v>111.9773727</v>
      </c>
    </row>
    <row r="58">
      <c r="A58" s="10">
        <v>608324.0</v>
      </c>
      <c r="B58" s="11" t="s">
        <v>74</v>
      </c>
      <c r="C58" s="12">
        <v>911.0</v>
      </c>
      <c r="D58" s="10">
        <v>380.0</v>
      </c>
      <c r="E58" s="13">
        <v>163.0</v>
      </c>
      <c r="F58" s="14">
        <v>-0.061</v>
      </c>
      <c r="G58" s="15">
        <v>113.0</v>
      </c>
      <c r="H58" s="15">
        <v>121.0</v>
      </c>
      <c r="I58" s="15">
        <v>110.0</v>
      </c>
      <c r="J58" s="15">
        <v>117.0</v>
      </c>
      <c r="K58" s="15">
        <v>103.0</v>
      </c>
      <c r="L58" s="15">
        <v>104.0</v>
      </c>
      <c r="M58" s="16">
        <v>115.0</v>
      </c>
      <c r="N58" s="16">
        <v>131.0</v>
      </c>
      <c r="O58" s="15">
        <f t="shared" si="1"/>
        <v>114.5926773</v>
      </c>
      <c r="P58" s="15">
        <f t="shared" si="2"/>
        <v>101.9655172</v>
      </c>
      <c r="Q58" s="15">
        <f t="shared" si="3"/>
        <v>102.7394958</v>
      </c>
      <c r="R58" s="15">
        <f t="shared" si="4"/>
        <v>110.423341</v>
      </c>
    </row>
    <row r="59">
      <c r="A59" s="10">
        <v>657757.0</v>
      </c>
      <c r="B59" s="11" t="s">
        <v>75</v>
      </c>
      <c r="C59" s="12">
        <v>1448.0</v>
      </c>
      <c r="D59" s="10">
        <v>646.0</v>
      </c>
      <c r="E59" s="13">
        <v>252.0</v>
      </c>
      <c r="F59" s="14">
        <v>-0.016</v>
      </c>
      <c r="G59" s="15">
        <v>73.0</v>
      </c>
      <c r="H59" s="15">
        <v>87.0</v>
      </c>
      <c r="I59" s="15">
        <v>99.0</v>
      </c>
      <c r="J59" s="15">
        <v>88.0</v>
      </c>
      <c r="K59" s="15">
        <v>112.0</v>
      </c>
      <c r="L59" s="15">
        <v>114.0</v>
      </c>
      <c r="M59" s="16">
        <v>115.0</v>
      </c>
      <c r="N59" s="16">
        <v>107.0</v>
      </c>
      <c r="O59" s="15">
        <f t="shared" si="1"/>
        <v>89.81385281</v>
      </c>
      <c r="P59" s="15">
        <f t="shared" si="2"/>
        <v>109.1631206</v>
      </c>
      <c r="Q59" s="15">
        <f t="shared" si="3"/>
        <v>110.7889908</v>
      </c>
      <c r="R59" s="15">
        <f t="shared" si="4"/>
        <v>111.7532468</v>
      </c>
    </row>
    <row r="60">
      <c r="A60" s="10">
        <v>502671.0</v>
      </c>
      <c r="B60" s="11" t="s">
        <v>76</v>
      </c>
      <c r="C60" s="12">
        <v>1390.0</v>
      </c>
      <c r="D60" s="10">
        <v>668.0</v>
      </c>
      <c r="E60" s="13">
        <v>273.0</v>
      </c>
      <c r="F60" s="14">
        <v>-0.038</v>
      </c>
      <c r="G60" s="15">
        <v>100.0</v>
      </c>
      <c r="H60" s="15">
        <v>107.0</v>
      </c>
      <c r="I60" s="15">
        <v>98.0</v>
      </c>
      <c r="J60" s="15">
        <v>108.0</v>
      </c>
      <c r="K60" s="15">
        <v>107.0</v>
      </c>
      <c r="L60" s="15">
        <v>106.0</v>
      </c>
      <c r="M60" s="16">
        <v>115.0</v>
      </c>
      <c r="N60" s="16">
        <v>112.0</v>
      </c>
      <c r="O60" s="15">
        <f t="shared" si="1"/>
        <v>105.4357542</v>
      </c>
      <c r="P60" s="15">
        <f t="shared" si="2"/>
        <v>105.3870968</v>
      </c>
      <c r="Q60" s="15">
        <f t="shared" si="3"/>
        <v>104.7068966</v>
      </c>
      <c r="R60" s="15">
        <f t="shared" si="4"/>
        <v>111.6480447</v>
      </c>
    </row>
    <row r="61">
      <c r="A61" s="10">
        <v>701538.0</v>
      </c>
      <c r="B61" s="11" t="s">
        <v>77</v>
      </c>
      <c r="C61" s="12">
        <v>925.0</v>
      </c>
      <c r="D61" s="10">
        <v>539.0</v>
      </c>
      <c r="E61" s="13">
        <v>188.0</v>
      </c>
      <c r="F61" s="14">
        <v>0.131</v>
      </c>
      <c r="G61" s="15">
        <v>101.0</v>
      </c>
      <c r="H61" s="15">
        <v>79.0</v>
      </c>
      <c r="I61" s="15">
        <v>125.0</v>
      </c>
      <c r="J61" s="15">
        <v>71.0</v>
      </c>
      <c r="K61" s="15">
        <v>97.0</v>
      </c>
      <c r="L61" s="15">
        <v>120.0</v>
      </c>
      <c r="M61" s="16">
        <v>115.0</v>
      </c>
      <c r="N61" s="16">
        <v>99.0</v>
      </c>
      <c r="O61" s="15">
        <f t="shared" si="1"/>
        <v>85.33962264</v>
      </c>
      <c r="P61" s="15">
        <f t="shared" si="2"/>
        <v>97.81190798</v>
      </c>
      <c r="Q61" s="15">
        <f t="shared" si="3"/>
        <v>114.2965779</v>
      </c>
      <c r="R61" s="15">
        <f t="shared" si="4"/>
        <v>110.4716981</v>
      </c>
    </row>
    <row r="62">
      <c r="A62" s="10">
        <v>676059.0</v>
      </c>
      <c r="B62" s="11" t="s">
        <v>78</v>
      </c>
      <c r="C62" s="12">
        <v>688.0</v>
      </c>
      <c r="D62" s="10">
        <v>340.0</v>
      </c>
      <c r="E62" s="13">
        <v>122.0</v>
      </c>
      <c r="F62" s="14">
        <v>-0.027</v>
      </c>
      <c r="G62" s="15">
        <v>116.0</v>
      </c>
      <c r="H62" s="15">
        <v>116.0</v>
      </c>
      <c r="I62" s="15">
        <v>98.0</v>
      </c>
      <c r="J62" s="15">
        <v>117.0</v>
      </c>
      <c r="K62" s="15">
        <v>92.0</v>
      </c>
      <c r="L62" s="15">
        <v>110.0</v>
      </c>
      <c r="M62" s="16">
        <v>115.0</v>
      </c>
      <c r="N62" s="16">
        <v>111.0</v>
      </c>
      <c r="O62" s="15">
        <f t="shared" si="1"/>
        <v>110.1176471</v>
      </c>
      <c r="P62" s="15">
        <f t="shared" si="2"/>
        <v>94.96296296</v>
      </c>
      <c r="Q62" s="15">
        <f t="shared" si="3"/>
        <v>106.1928934</v>
      </c>
      <c r="R62" s="15">
        <f t="shared" si="4"/>
        <v>109.4852941</v>
      </c>
    </row>
    <row r="63">
      <c r="A63" s="10">
        <v>663728.0</v>
      </c>
      <c r="B63" s="11" t="s">
        <v>79</v>
      </c>
      <c r="C63" s="12">
        <v>1664.0</v>
      </c>
      <c r="D63" s="10">
        <v>848.0</v>
      </c>
      <c r="E63" s="13">
        <v>244.0</v>
      </c>
      <c r="F63" s="14">
        <v>0.039</v>
      </c>
      <c r="G63" s="15">
        <v>115.0</v>
      </c>
      <c r="H63" s="15">
        <v>94.0</v>
      </c>
      <c r="I63" s="15">
        <v>105.0</v>
      </c>
      <c r="J63" s="15">
        <v>93.0</v>
      </c>
      <c r="K63" s="15">
        <v>87.0</v>
      </c>
      <c r="L63" s="15">
        <v>126.0</v>
      </c>
      <c r="M63" s="16">
        <v>114.0</v>
      </c>
      <c r="N63" s="16">
        <v>127.0</v>
      </c>
      <c r="O63" s="15">
        <f t="shared" si="1"/>
        <v>95.1627907</v>
      </c>
      <c r="P63" s="15">
        <f t="shared" si="2"/>
        <v>89.48091603</v>
      </c>
      <c r="Q63" s="15">
        <f t="shared" si="3"/>
        <v>119.8871473</v>
      </c>
      <c r="R63" s="15">
        <f t="shared" si="4"/>
        <v>111.2868217</v>
      </c>
    </row>
    <row r="64">
      <c r="A64" s="10">
        <v>553993.0</v>
      </c>
      <c r="B64" s="11" t="s">
        <v>80</v>
      </c>
      <c r="C64" s="12">
        <v>1542.0</v>
      </c>
      <c r="D64" s="10">
        <v>782.0</v>
      </c>
      <c r="E64" s="13">
        <v>248.0</v>
      </c>
      <c r="F64" s="14">
        <v>0.007</v>
      </c>
      <c r="G64" s="15">
        <v>104.0</v>
      </c>
      <c r="H64" s="15">
        <v>107.0</v>
      </c>
      <c r="I64" s="15">
        <v>114.0</v>
      </c>
      <c r="J64" s="15">
        <v>102.0</v>
      </c>
      <c r="K64" s="15">
        <v>88.0</v>
      </c>
      <c r="L64" s="15">
        <v>117.0</v>
      </c>
      <c r="M64" s="16">
        <v>114.0</v>
      </c>
      <c r="N64" s="16">
        <v>125.0</v>
      </c>
      <c r="O64" s="15">
        <f t="shared" si="1"/>
        <v>105.5581874</v>
      </c>
      <c r="P64" s="15">
        <f t="shared" si="2"/>
        <v>90.44399185</v>
      </c>
      <c r="Q64" s="15">
        <f t="shared" si="3"/>
        <v>113.0526316</v>
      </c>
      <c r="R64" s="15">
        <f t="shared" si="4"/>
        <v>111.1163749</v>
      </c>
    </row>
    <row r="65">
      <c r="A65" s="10">
        <v>657656.0</v>
      </c>
      <c r="B65" s="11" t="s">
        <v>81</v>
      </c>
      <c r="C65" s="12">
        <v>983.0</v>
      </c>
      <c r="D65" s="10">
        <v>443.0</v>
      </c>
      <c r="E65" s="13">
        <v>151.0</v>
      </c>
      <c r="F65" s="14">
        <v>-0.067</v>
      </c>
      <c r="G65" s="15">
        <v>107.0</v>
      </c>
      <c r="H65" s="15">
        <v>111.0</v>
      </c>
      <c r="I65" s="15">
        <v>91.0</v>
      </c>
      <c r="J65" s="15">
        <v>115.0</v>
      </c>
      <c r="K65" s="15">
        <v>81.0</v>
      </c>
      <c r="L65" s="15">
        <v>119.0</v>
      </c>
      <c r="M65" s="16">
        <v>114.0</v>
      </c>
      <c r="N65" s="16">
        <v>121.0</v>
      </c>
      <c r="O65" s="15">
        <f t="shared" si="1"/>
        <v>107.8185105</v>
      </c>
      <c r="P65" s="15">
        <f t="shared" si="2"/>
        <v>86.90979782</v>
      </c>
      <c r="Q65" s="15">
        <f t="shared" si="3"/>
        <v>112.6946903</v>
      </c>
      <c r="R65" s="15">
        <f t="shared" si="4"/>
        <v>109.9508315</v>
      </c>
    </row>
    <row r="66">
      <c r="A66" s="10">
        <v>521692.0</v>
      </c>
      <c r="B66" s="11" t="s">
        <v>82</v>
      </c>
      <c r="C66" s="12">
        <v>1337.0</v>
      </c>
      <c r="D66" s="10">
        <v>776.0</v>
      </c>
      <c r="E66" s="13">
        <v>281.0</v>
      </c>
      <c r="F66" s="14">
        <v>0.11</v>
      </c>
      <c r="G66" s="15">
        <v>86.0</v>
      </c>
      <c r="H66" s="15">
        <v>64.0</v>
      </c>
      <c r="I66" s="15">
        <v>111.0</v>
      </c>
      <c r="J66" s="15">
        <v>63.0</v>
      </c>
      <c r="K66" s="15">
        <v>109.0</v>
      </c>
      <c r="L66" s="15">
        <v>118.0</v>
      </c>
      <c r="M66" s="16">
        <v>114.0</v>
      </c>
      <c r="N66" s="16">
        <v>91.0</v>
      </c>
      <c r="O66" s="15">
        <f t="shared" si="1"/>
        <v>72.29015544</v>
      </c>
      <c r="P66" s="15">
        <f t="shared" si="2"/>
        <v>107.1557377</v>
      </c>
      <c r="Q66" s="15">
        <f t="shared" si="3"/>
        <v>114.2078652</v>
      </c>
      <c r="R66" s="15">
        <f t="shared" si="4"/>
        <v>110.7760507</v>
      </c>
    </row>
    <row r="67">
      <c r="A67" s="10">
        <v>621493.0</v>
      </c>
      <c r="B67" s="11" t="s">
        <v>83</v>
      </c>
      <c r="C67" s="12">
        <v>1687.0</v>
      </c>
      <c r="D67" s="10">
        <v>654.0</v>
      </c>
      <c r="E67" s="13">
        <v>257.0</v>
      </c>
      <c r="F67" s="14">
        <v>-0.127</v>
      </c>
      <c r="G67" s="15">
        <v>89.0</v>
      </c>
      <c r="H67" s="15">
        <v>117.0</v>
      </c>
      <c r="I67" s="15">
        <v>80.0</v>
      </c>
      <c r="J67" s="15">
        <v>125.0</v>
      </c>
      <c r="K67" s="15">
        <v>97.0</v>
      </c>
      <c r="L67" s="15">
        <v>108.0</v>
      </c>
      <c r="M67" s="16">
        <v>114.0</v>
      </c>
      <c r="N67" s="16">
        <v>112.0</v>
      </c>
      <c r="O67" s="15">
        <f t="shared" si="1"/>
        <v>113.7417345</v>
      </c>
      <c r="P67" s="15">
        <f t="shared" si="2"/>
        <v>97.70257611</v>
      </c>
      <c r="Q67" s="15">
        <f t="shared" si="3"/>
        <v>106.1927711</v>
      </c>
      <c r="R67" s="15">
        <f t="shared" si="4"/>
        <v>111.3167226</v>
      </c>
    </row>
    <row r="68">
      <c r="A68" s="10">
        <v>545341.0</v>
      </c>
      <c r="B68" s="11" t="s">
        <v>84</v>
      </c>
      <c r="C68" s="12">
        <v>646.0</v>
      </c>
      <c r="D68" s="10">
        <v>316.0</v>
      </c>
      <c r="E68" s="13">
        <v>126.0</v>
      </c>
      <c r="F68" s="14">
        <v>-0.006</v>
      </c>
      <c r="G68" s="15">
        <v>83.0</v>
      </c>
      <c r="H68" s="15">
        <v>80.0</v>
      </c>
      <c r="I68" s="15">
        <v>82.0</v>
      </c>
      <c r="J68" s="15">
        <v>87.0</v>
      </c>
      <c r="K68" s="15">
        <v>113.0</v>
      </c>
      <c r="L68" s="15">
        <v>112.0</v>
      </c>
      <c r="M68" s="16">
        <v>114.0</v>
      </c>
      <c r="N68" s="16">
        <v>104.0</v>
      </c>
      <c r="O68" s="15">
        <f t="shared" si="1"/>
        <v>87.64818356</v>
      </c>
      <c r="P68" s="15">
        <f t="shared" si="2"/>
        <v>107.9612403</v>
      </c>
      <c r="Q68" s="15">
        <f t="shared" si="3"/>
        <v>107.5223881</v>
      </c>
      <c r="R68" s="15">
        <f t="shared" si="4"/>
        <v>108.6462715</v>
      </c>
    </row>
    <row r="69">
      <c r="A69" s="10">
        <v>642133.0</v>
      </c>
      <c r="B69" s="11" t="s">
        <v>85</v>
      </c>
      <c r="C69" s="12">
        <v>727.0</v>
      </c>
      <c r="D69" s="10">
        <v>322.0</v>
      </c>
      <c r="E69" s="13">
        <v>126.0</v>
      </c>
      <c r="F69" s="14">
        <v>-0.03</v>
      </c>
      <c r="G69" s="15">
        <v>78.0</v>
      </c>
      <c r="H69" s="15">
        <v>82.0</v>
      </c>
      <c r="I69" s="15">
        <v>87.0</v>
      </c>
      <c r="J69" s="15">
        <v>87.0</v>
      </c>
      <c r="K69" s="15">
        <v>99.0</v>
      </c>
      <c r="L69" s="15">
        <v>121.0</v>
      </c>
      <c r="M69" s="16">
        <v>114.0</v>
      </c>
      <c r="N69" s="16">
        <v>94.0</v>
      </c>
      <c r="O69" s="15">
        <f t="shared" si="1"/>
        <v>88.38864241</v>
      </c>
      <c r="P69" s="15">
        <f t="shared" si="2"/>
        <v>99.38314176</v>
      </c>
      <c r="Q69" s="15">
        <f t="shared" si="3"/>
        <v>113.1641791</v>
      </c>
      <c r="R69" s="15">
        <f t="shared" si="4"/>
        <v>109.0310559</v>
      </c>
    </row>
    <row r="70">
      <c r="A70" s="10">
        <v>665833.0</v>
      </c>
      <c r="B70" s="11" t="s">
        <v>86</v>
      </c>
      <c r="C70" s="12">
        <v>1475.0</v>
      </c>
      <c r="D70" s="10">
        <v>585.0</v>
      </c>
      <c r="E70" s="13">
        <v>190.0</v>
      </c>
      <c r="F70" s="14">
        <v>-0.071</v>
      </c>
      <c r="G70" s="15">
        <v>82.0</v>
      </c>
      <c r="H70" s="15">
        <v>89.0</v>
      </c>
      <c r="I70" s="15">
        <v>36.0</v>
      </c>
      <c r="J70" s="15">
        <v>108.0</v>
      </c>
      <c r="K70" s="15">
        <v>90.0</v>
      </c>
      <c r="L70" s="15">
        <v>129.0</v>
      </c>
      <c r="M70" s="16">
        <v>113.0</v>
      </c>
      <c r="N70" s="16">
        <v>104.0</v>
      </c>
      <c r="O70" s="15">
        <f t="shared" si="1"/>
        <v>91.34666667</v>
      </c>
      <c r="P70" s="15">
        <f t="shared" si="2"/>
        <v>92.5477707</v>
      </c>
      <c r="Q70" s="15">
        <f t="shared" si="3"/>
        <v>120.7924528</v>
      </c>
      <c r="R70" s="15">
        <f t="shared" si="4"/>
        <v>110.2266667</v>
      </c>
    </row>
    <row r="71">
      <c r="A71" s="10">
        <v>665862.0</v>
      </c>
      <c r="B71" s="11" t="s">
        <v>87</v>
      </c>
      <c r="C71" s="12">
        <v>1131.0</v>
      </c>
      <c r="D71" s="10">
        <v>520.0</v>
      </c>
      <c r="E71" s="13">
        <v>162.0</v>
      </c>
      <c r="F71" s="14">
        <v>0.005</v>
      </c>
      <c r="G71" s="15">
        <v>112.0</v>
      </c>
      <c r="H71" s="15">
        <v>98.0</v>
      </c>
      <c r="I71" s="15">
        <v>102.0</v>
      </c>
      <c r="J71" s="15">
        <v>97.0</v>
      </c>
      <c r="K71" s="15">
        <v>88.0</v>
      </c>
      <c r="L71" s="15">
        <v>122.0</v>
      </c>
      <c r="M71" s="16">
        <v>113.0</v>
      </c>
      <c r="N71" s="16">
        <v>113.0</v>
      </c>
      <c r="O71" s="15">
        <f t="shared" si="1"/>
        <v>98.52253429</v>
      </c>
      <c r="P71" s="15">
        <f t="shared" si="2"/>
        <v>91.33333333</v>
      </c>
      <c r="Q71" s="15">
        <f t="shared" si="3"/>
        <v>115.0379747</v>
      </c>
      <c r="R71" s="15">
        <f t="shared" si="4"/>
        <v>109.6035271</v>
      </c>
    </row>
    <row r="72">
      <c r="A72" s="10">
        <v>668804.0</v>
      </c>
      <c r="B72" s="11" t="s">
        <v>88</v>
      </c>
      <c r="C72" s="12">
        <v>1514.0</v>
      </c>
      <c r="D72" s="10">
        <v>752.0</v>
      </c>
      <c r="E72" s="13">
        <v>249.0</v>
      </c>
      <c r="F72" s="14">
        <v>0.016</v>
      </c>
      <c r="G72" s="15">
        <v>126.0</v>
      </c>
      <c r="H72" s="15">
        <v>112.0</v>
      </c>
      <c r="I72" s="15">
        <v>102.0</v>
      </c>
      <c r="J72" s="15">
        <v>111.0</v>
      </c>
      <c r="K72" s="15">
        <v>83.0</v>
      </c>
      <c r="L72" s="15">
        <v>116.0</v>
      </c>
      <c r="M72" s="16">
        <v>113.0</v>
      </c>
      <c r="N72" s="16">
        <v>96.0</v>
      </c>
      <c r="O72" s="15">
        <f t="shared" si="1"/>
        <v>109.492163</v>
      </c>
      <c r="P72" s="15">
        <f t="shared" si="2"/>
        <v>86.57142857</v>
      </c>
      <c r="Q72" s="15">
        <f t="shared" si="3"/>
        <v>112.2962963</v>
      </c>
      <c r="R72" s="15">
        <f t="shared" si="4"/>
        <v>110.2831766</v>
      </c>
    </row>
    <row r="73">
      <c r="A73" s="10">
        <v>701350.0</v>
      </c>
      <c r="B73" s="11" t="s">
        <v>89</v>
      </c>
      <c r="C73" s="12">
        <v>503.0</v>
      </c>
      <c r="D73" s="10">
        <v>191.0</v>
      </c>
      <c r="E73" s="13">
        <v>79.0</v>
      </c>
      <c r="F73" s="14">
        <v>-0.094</v>
      </c>
      <c r="G73" s="15">
        <v>93.0</v>
      </c>
      <c r="H73" s="15">
        <v>110.0</v>
      </c>
      <c r="I73" s="15">
        <v>65.0</v>
      </c>
      <c r="J73" s="15">
        <v>123.0</v>
      </c>
      <c r="K73" s="15">
        <v>104.0</v>
      </c>
      <c r="L73" s="15">
        <v>106.0</v>
      </c>
      <c r="M73" s="16">
        <v>112.0</v>
      </c>
      <c r="N73" s="16">
        <v>112.0</v>
      </c>
      <c r="O73" s="15">
        <f t="shared" si="1"/>
        <v>105.5703212</v>
      </c>
      <c r="P73" s="15">
        <f t="shared" si="2"/>
        <v>101.9539642</v>
      </c>
      <c r="Q73" s="15">
        <f t="shared" si="3"/>
        <v>103.0779221</v>
      </c>
      <c r="R73" s="15">
        <f t="shared" si="4"/>
        <v>106.6843854</v>
      </c>
    </row>
    <row r="74">
      <c r="A74" s="10">
        <v>668939.0</v>
      </c>
      <c r="B74" s="11" t="s">
        <v>90</v>
      </c>
      <c r="C74" s="12">
        <v>1149.0</v>
      </c>
      <c r="D74" s="10">
        <v>469.0</v>
      </c>
      <c r="E74" s="13">
        <v>198.0</v>
      </c>
      <c r="F74" s="14">
        <v>-0.071</v>
      </c>
      <c r="G74" s="15">
        <v>97.0</v>
      </c>
      <c r="H74" s="15">
        <v>114.0</v>
      </c>
      <c r="I74" s="15">
        <v>92.0</v>
      </c>
      <c r="J74" s="15">
        <v>116.0</v>
      </c>
      <c r="K74" s="15">
        <v>120.0</v>
      </c>
      <c r="L74" s="15">
        <v>97.0</v>
      </c>
      <c r="M74" s="16">
        <v>112.0</v>
      </c>
      <c r="N74" s="16">
        <v>100.0</v>
      </c>
      <c r="O74" s="15">
        <f t="shared" si="1"/>
        <v>110.3847644</v>
      </c>
      <c r="P74" s="15">
        <f t="shared" si="2"/>
        <v>114.0209268</v>
      </c>
      <c r="Q74" s="15">
        <f t="shared" si="3"/>
        <v>97.82417582</v>
      </c>
      <c r="R74" s="15">
        <f t="shared" si="4"/>
        <v>108.9012266</v>
      </c>
    </row>
    <row r="75">
      <c r="A75" s="10">
        <v>664040.0</v>
      </c>
      <c r="B75" s="11" t="s">
        <v>91</v>
      </c>
      <c r="C75" s="12">
        <v>1283.0</v>
      </c>
      <c r="D75" s="10">
        <v>699.0</v>
      </c>
      <c r="E75" s="13">
        <v>232.0</v>
      </c>
      <c r="F75" s="14">
        <v>0.062</v>
      </c>
      <c r="G75" s="15">
        <v>125.0</v>
      </c>
      <c r="H75" s="15">
        <v>105.0</v>
      </c>
      <c r="I75" s="15">
        <v>128.0</v>
      </c>
      <c r="J75" s="15">
        <v>94.0</v>
      </c>
      <c r="K75" s="15">
        <v>82.0</v>
      </c>
      <c r="L75" s="15">
        <v>117.0</v>
      </c>
      <c r="M75" s="16">
        <v>112.0</v>
      </c>
      <c r="N75" s="16">
        <v>114.0</v>
      </c>
      <c r="O75" s="15">
        <f t="shared" si="1"/>
        <v>103.8116459</v>
      </c>
      <c r="P75" s="15">
        <f t="shared" si="2"/>
        <v>86.00444939</v>
      </c>
      <c r="Q75" s="15">
        <f t="shared" si="3"/>
        <v>112.8469055</v>
      </c>
      <c r="R75" s="15">
        <f t="shared" si="4"/>
        <v>109.1479501</v>
      </c>
    </row>
    <row r="76">
      <c r="A76" s="10">
        <v>669221.0</v>
      </c>
      <c r="B76" s="11" t="s">
        <v>92</v>
      </c>
      <c r="C76" s="12">
        <v>896.0</v>
      </c>
      <c r="D76" s="10">
        <v>448.0</v>
      </c>
      <c r="E76" s="13">
        <v>128.0</v>
      </c>
      <c r="F76" s="14">
        <v>-0.02</v>
      </c>
      <c r="G76" s="15">
        <v>100.0</v>
      </c>
      <c r="H76" s="15">
        <v>98.0</v>
      </c>
      <c r="I76" s="15">
        <v>85.0</v>
      </c>
      <c r="J76" s="15">
        <v>105.0</v>
      </c>
      <c r="K76" s="15">
        <v>80.0</v>
      </c>
      <c r="L76" s="15">
        <v>126.0</v>
      </c>
      <c r="M76" s="16">
        <v>112.0</v>
      </c>
      <c r="N76" s="16">
        <v>114.0</v>
      </c>
      <c r="O76" s="15">
        <f t="shared" si="1"/>
        <v>98.61728395</v>
      </c>
      <c r="P76" s="15">
        <f t="shared" si="2"/>
        <v>86.17283951</v>
      </c>
      <c r="Q76" s="15">
        <f t="shared" si="3"/>
        <v>116.3940887</v>
      </c>
      <c r="R76" s="15">
        <f t="shared" si="4"/>
        <v>108.2962963</v>
      </c>
    </row>
    <row r="77">
      <c r="A77" s="10">
        <v>646240.0</v>
      </c>
      <c r="B77" s="11" t="s">
        <v>93</v>
      </c>
      <c r="C77" s="12">
        <v>1832.0</v>
      </c>
      <c r="D77" s="10">
        <v>888.0</v>
      </c>
      <c r="E77" s="13">
        <v>254.0</v>
      </c>
      <c r="F77" s="14">
        <v>0.016</v>
      </c>
      <c r="G77" s="15">
        <v>126.0</v>
      </c>
      <c r="H77" s="15">
        <v>108.0</v>
      </c>
      <c r="I77" s="15">
        <v>109.0</v>
      </c>
      <c r="J77" s="15">
        <v>105.0</v>
      </c>
      <c r="K77" s="15">
        <v>84.0</v>
      </c>
      <c r="L77" s="15">
        <v>118.0</v>
      </c>
      <c r="M77" s="16">
        <v>111.0</v>
      </c>
      <c r="N77" s="16">
        <v>111.0</v>
      </c>
      <c r="O77" s="15">
        <f t="shared" si="1"/>
        <v>106.5663082</v>
      </c>
      <c r="P77" s="15">
        <f t="shared" si="2"/>
        <v>86.94117647</v>
      </c>
      <c r="Q77" s="15">
        <f t="shared" si="3"/>
        <v>113.8966565</v>
      </c>
      <c r="R77" s="15">
        <f t="shared" si="4"/>
        <v>109.0286738</v>
      </c>
    </row>
    <row r="78">
      <c r="A78" s="10">
        <v>656811.0</v>
      </c>
      <c r="B78" s="11" t="s">
        <v>94</v>
      </c>
      <c r="C78" s="12">
        <v>1234.0</v>
      </c>
      <c r="D78" s="10">
        <v>561.0</v>
      </c>
      <c r="E78" s="13">
        <v>220.0</v>
      </c>
      <c r="F78" s="14">
        <v>-0.02</v>
      </c>
      <c r="G78" s="15">
        <v>100.0</v>
      </c>
      <c r="H78" s="15">
        <v>104.0</v>
      </c>
      <c r="I78" s="15">
        <v>102.0</v>
      </c>
      <c r="J78" s="15">
        <v>103.0</v>
      </c>
      <c r="K78" s="15">
        <v>110.0</v>
      </c>
      <c r="L78" s="15">
        <v>104.0</v>
      </c>
      <c r="M78" s="16">
        <v>111.0</v>
      </c>
      <c r="N78" s="16">
        <v>117.0</v>
      </c>
      <c r="O78" s="15">
        <f t="shared" si="1"/>
        <v>103.0208078</v>
      </c>
      <c r="P78" s="15">
        <f t="shared" si="2"/>
        <v>107.3718791</v>
      </c>
      <c r="Q78" s="15">
        <f t="shared" si="3"/>
        <v>102.9830508</v>
      </c>
      <c r="R78" s="15">
        <f t="shared" si="4"/>
        <v>108.3072215</v>
      </c>
    </row>
    <row r="79">
      <c r="A79" s="10">
        <v>663586.0</v>
      </c>
      <c r="B79" s="11" t="s">
        <v>95</v>
      </c>
      <c r="C79" s="12">
        <v>1620.0</v>
      </c>
      <c r="D79" s="10">
        <v>822.0</v>
      </c>
      <c r="E79" s="13">
        <v>265.0</v>
      </c>
      <c r="F79" s="14">
        <v>0.008</v>
      </c>
      <c r="G79" s="15">
        <v>113.0</v>
      </c>
      <c r="H79" s="15">
        <v>102.0</v>
      </c>
      <c r="I79" s="15">
        <v>111.0</v>
      </c>
      <c r="J79" s="15">
        <v>97.0</v>
      </c>
      <c r="K79" s="15">
        <v>82.0</v>
      </c>
      <c r="L79" s="15">
        <v>120.0</v>
      </c>
      <c r="M79" s="16">
        <v>111.0</v>
      </c>
      <c r="N79" s="16">
        <v>107.0</v>
      </c>
      <c r="O79" s="15">
        <f t="shared" si="1"/>
        <v>101.6039604</v>
      </c>
      <c r="P79" s="15">
        <f t="shared" si="2"/>
        <v>85.52250489</v>
      </c>
      <c r="Q79" s="15">
        <f t="shared" si="3"/>
        <v>115.5882353</v>
      </c>
      <c r="R79" s="15">
        <f t="shared" si="4"/>
        <v>108.8217822</v>
      </c>
    </row>
    <row r="80">
      <c r="A80" s="10">
        <v>668227.0</v>
      </c>
      <c r="B80" s="11" t="s">
        <v>96</v>
      </c>
      <c r="C80" s="12">
        <v>1710.0</v>
      </c>
      <c r="D80" s="10">
        <v>742.0</v>
      </c>
      <c r="E80" s="13">
        <v>239.0</v>
      </c>
      <c r="F80" s="14">
        <v>-0.055</v>
      </c>
      <c r="G80" s="15">
        <v>94.0</v>
      </c>
      <c r="H80" s="15">
        <v>108.0</v>
      </c>
      <c r="I80" s="15">
        <v>98.0</v>
      </c>
      <c r="J80" s="15">
        <v>109.0</v>
      </c>
      <c r="K80" s="15">
        <v>87.0</v>
      </c>
      <c r="L80" s="15">
        <v>115.0</v>
      </c>
      <c r="M80" s="16">
        <v>111.0</v>
      </c>
      <c r="N80" s="16">
        <v>118.0</v>
      </c>
      <c r="O80" s="15">
        <f t="shared" si="1"/>
        <v>106.4834123</v>
      </c>
      <c r="P80" s="15">
        <f t="shared" si="2"/>
        <v>89.76008493</v>
      </c>
      <c r="Q80" s="15">
        <f t="shared" si="3"/>
        <v>111.4171975</v>
      </c>
      <c r="R80" s="15">
        <f t="shared" si="4"/>
        <v>108.9146919</v>
      </c>
    </row>
    <row r="81">
      <c r="A81" s="10">
        <v>664034.0</v>
      </c>
      <c r="B81" s="11" t="s">
        <v>97</v>
      </c>
      <c r="C81" s="12">
        <v>1341.0</v>
      </c>
      <c r="D81" s="10">
        <v>691.0</v>
      </c>
      <c r="E81" s="13">
        <v>265.0</v>
      </c>
      <c r="F81" s="14">
        <v>0.027</v>
      </c>
      <c r="G81" s="15">
        <v>111.0</v>
      </c>
      <c r="H81" s="15">
        <v>99.0</v>
      </c>
      <c r="I81" s="15">
        <v>107.0</v>
      </c>
      <c r="J81" s="15">
        <v>97.0</v>
      </c>
      <c r="K81" s="15">
        <v>106.0</v>
      </c>
      <c r="L81" s="15">
        <v>106.0</v>
      </c>
      <c r="M81" s="16">
        <v>111.0</v>
      </c>
      <c r="N81" s="16">
        <v>97.0</v>
      </c>
      <c r="O81" s="15">
        <f t="shared" si="1"/>
        <v>99.22975302</v>
      </c>
      <c r="P81" s="15">
        <f t="shared" si="2"/>
        <v>104.6531987</v>
      </c>
      <c r="Q81" s="15">
        <f t="shared" si="3"/>
        <v>104.6764706</v>
      </c>
      <c r="R81" s="15">
        <f t="shared" si="4"/>
        <v>108.4727168</v>
      </c>
    </row>
    <row r="82">
      <c r="A82" s="10">
        <v>621020.0</v>
      </c>
      <c r="B82" s="11" t="s">
        <v>98</v>
      </c>
      <c r="C82" s="12">
        <v>1547.0</v>
      </c>
      <c r="D82" s="10">
        <v>761.0</v>
      </c>
      <c r="E82" s="13">
        <v>267.0</v>
      </c>
      <c r="F82" s="14">
        <v>-0.003</v>
      </c>
      <c r="G82" s="15">
        <v>125.0</v>
      </c>
      <c r="H82" s="15">
        <v>117.0</v>
      </c>
      <c r="I82" s="15">
        <v>114.0</v>
      </c>
      <c r="J82" s="15">
        <v>112.0</v>
      </c>
      <c r="K82" s="15">
        <v>83.0</v>
      </c>
      <c r="L82" s="15">
        <v>111.0</v>
      </c>
      <c r="M82" s="16">
        <v>110.0</v>
      </c>
      <c r="N82" s="16">
        <v>105.0</v>
      </c>
      <c r="O82" s="15">
        <f t="shared" si="1"/>
        <v>113.5074474</v>
      </c>
      <c r="P82" s="15">
        <f t="shared" si="2"/>
        <v>86.53798127</v>
      </c>
      <c r="Q82" s="15">
        <f t="shared" si="3"/>
        <v>108.5877193</v>
      </c>
      <c r="R82" s="15">
        <f t="shared" si="4"/>
        <v>107.9455573</v>
      </c>
    </row>
    <row r="83">
      <c r="A83" s="10">
        <v>518692.0</v>
      </c>
      <c r="B83" s="11" t="s">
        <v>99</v>
      </c>
      <c r="C83" s="12">
        <v>1362.0</v>
      </c>
      <c r="D83" s="10">
        <v>711.0</v>
      </c>
      <c r="E83" s="13">
        <v>239.0</v>
      </c>
      <c r="F83" s="14">
        <v>0.035</v>
      </c>
      <c r="G83" s="15">
        <v>120.0</v>
      </c>
      <c r="H83" s="15">
        <v>110.0</v>
      </c>
      <c r="I83" s="15">
        <v>118.0</v>
      </c>
      <c r="J83" s="15">
        <v>103.0</v>
      </c>
      <c r="K83" s="15">
        <v>91.0</v>
      </c>
      <c r="L83" s="15">
        <v>110.0</v>
      </c>
      <c r="M83" s="16">
        <v>110.0</v>
      </c>
      <c r="N83" s="16">
        <v>115.0</v>
      </c>
      <c r="O83" s="15">
        <f t="shared" si="1"/>
        <v>107.7298524</v>
      </c>
      <c r="P83" s="15">
        <f t="shared" si="2"/>
        <v>92.97585071</v>
      </c>
      <c r="Q83" s="15">
        <f t="shared" si="3"/>
        <v>107.611465</v>
      </c>
      <c r="R83" s="15">
        <f t="shared" si="4"/>
        <v>107.7298524</v>
      </c>
    </row>
    <row r="84">
      <c r="A84" s="10">
        <v>682177.0</v>
      </c>
      <c r="B84" s="11" t="s">
        <v>100</v>
      </c>
      <c r="C84" s="12">
        <v>909.0</v>
      </c>
      <c r="D84" s="10">
        <v>422.0</v>
      </c>
      <c r="E84" s="13">
        <v>154.0</v>
      </c>
      <c r="F84" s="14">
        <v>-0.002</v>
      </c>
      <c r="G84" s="15">
        <v>108.0</v>
      </c>
      <c r="H84" s="15">
        <v>102.0</v>
      </c>
      <c r="I84" s="15">
        <v>94.0</v>
      </c>
      <c r="J84" s="15">
        <v>104.0</v>
      </c>
      <c r="K84" s="15">
        <v>97.0</v>
      </c>
      <c r="L84" s="15">
        <v>110.0</v>
      </c>
      <c r="M84" s="16">
        <v>110.0</v>
      </c>
      <c r="N84" s="16">
        <v>95.0</v>
      </c>
      <c r="O84" s="15">
        <f t="shared" si="1"/>
        <v>101.3888464</v>
      </c>
      <c r="P84" s="15">
        <f t="shared" si="2"/>
        <v>97.96463023</v>
      </c>
      <c r="Q84" s="15">
        <f t="shared" si="3"/>
        <v>106.7248908</v>
      </c>
      <c r="R84" s="15">
        <f t="shared" si="4"/>
        <v>106.9442322</v>
      </c>
    </row>
    <row r="85">
      <c r="A85" s="10">
        <v>660162.0</v>
      </c>
      <c r="B85" s="11" t="s">
        <v>101</v>
      </c>
      <c r="C85" s="12">
        <v>493.0</v>
      </c>
      <c r="D85" s="10">
        <v>221.0</v>
      </c>
      <c r="E85" s="13">
        <v>85.0</v>
      </c>
      <c r="F85" s="14">
        <v>-0.012</v>
      </c>
      <c r="G85" s="15">
        <v>117.0</v>
      </c>
      <c r="H85" s="15">
        <v>114.0</v>
      </c>
      <c r="I85" s="15">
        <v>103.0</v>
      </c>
      <c r="J85" s="15">
        <v>112.0</v>
      </c>
      <c r="K85" s="15">
        <v>94.0</v>
      </c>
      <c r="L85" s="15">
        <v>106.0</v>
      </c>
      <c r="M85" s="16">
        <v>110.0</v>
      </c>
      <c r="N85" s="16">
        <v>112.0</v>
      </c>
      <c r="O85" s="15">
        <f t="shared" si="1"/>
        <v>107.7290034</v>
      </c>
      <c r="P85" s="15">
        <f t="shared" si="2"/>
        <v>96.85035629</v>
      </c>
      <c r="Q85" s="15">
        <f t="shared" si="3"/>
        <v>103.1875</v>
      </c>
      <c r="R85" s="15">
        <f t="shared" si="4"/>
        <v>105.5207167</v>
      </c>
    </row>
    <row r="86">
      <c r="A86" s="10">
        <v>693304.0</v>
      </c>
      <c r="B86" s="11" t="s">
        <v>102</v>
      </c>
      <c r="C86" s="12">
        <v>470.0</v>
      </c>
      <c r="D86" s="10">
        <v>261.0</v>
      </c>
      <c r="E86" s="13">
        <v>111.0</v>
      </c>
      <c r="F86" s="14">
        <v>0.073</v>
      </c>
      <c r="G86" s="15">
        <v>133.0</v>
      </c>
      <c r="H86" s="15">
        <v>118.0</v>
      </c>
      <c r="I86" s="15">
        <v>135.0</v>
      </c>
      <c r="J86" s="15">
        <v>104.0</v>
      </c>
      <c r="K86" s="15">
        <v>101.0</v>
      </c>
      <c r="L86" s="15">
        <v>100.0</v>
      </c>
      <c r="M86" s="16">
        <v>110.0</v>
      </c>
      <c r="N86" s="16">
        <v>104.0</v>
      </c>
      <c r="O86" s="15">
        <f t="shared" si="1"/>
        <v>109.7241379</v>
      </c>
      <c r="P86" s="15">
        <f t="shared" si="2"/>
        <v>100.5661605</v>
      </c>
      <c r="Q86" s="15">
        <f t="shared" si="3"/>
        <v>100</v>
      </c>
      <c r="R86" s="15">
        <f t="shared" si="4"/>
        <v>105.4022989</v>
      </c>
    </row>
    <row r="87">
      <c r="A87" s="10">
        <v>695506.0</v>
      </c>
      <c r="B87" s="11" t="s">
        <v>103</v>
      </c>
      <c r="C87" s="12">
        <v>482.0</v>
      </c>
      <c r="D87" s="10">
        <v>260.0</v>
      </c>
      <c r="E87" s="13">
        <v>99.0</v>
      </c>
      <c r="F87" s="14">
        <v>0.074</v>
      </c>
      <c r="G87" s="15">
        <v>80.0</v>
      </c>
      <c r="H87" s="15">
        <v>66.0</v>
      </c>
      <c r="I87" s="15">
        <v>85.0</v>
      </c>
      <c r="J87" s="15">
        <v>74.0</v>
      </c>
      <c r="K87" s="15">
        <v>108.0</v>
      </c>
      <c r="L87" s="15">
        <v>115.0</v>
      </c>
      <c r="M87" s="16">
        <v>110.0</v>
      </c>
      <c r="N87" s="16">
        <v>58.0</v>
      </c>
      <c r="O87" s="15">
        <f t="shared" si="1"/>
        <v>81.41950113</v>
      </c>
      <c r="P87" s="15">
        <f t="shared" si="2"/>
        <v>104.5217391</v>
      </c>
      <c r="Q87" s="15">
        <f t="shared" si="3"/>
        <v>108.5344828</v>
      </c>
      <c r="R87" s="15">
        <f t="shared" si="4"/>
        <v>105.4648526</v>
      </c>
    </row>
    <row r="88">
      <c r="A88" s="10">
        <v>672515.0</v>
      </c>
      <c r="B88" s="11" t="s">
        <v>104</v>
      </c>
      <c r="C88" s="12">
        <v>785.0</v>
      </c>
      <c r="D88" s="10">
        <v>361.0</v>
      </c>
      <c r="E88" s="13">
        <v>142.0</v>
      </c>
      <c r="F88" s="14">
        <v>-0.054</v>
      </c>
      <c r="G88" s="15">
        <v>84.0</v>
      </c>
      <c r="H88" s="15">
        <v>102.0</v>
      </c>
      <c r="I88" s="15">
        <v>100.0</v>
      </c>
      <c r="J88" s="15">
        <v>102.0</v>
      </c>
      <c r="K88" s="15">
        <v>108.0</v>
      </c>
      <c r="L88" s="15">
        <v>104.0</v>
      </c>
      <c r="M88" s="16">
        <v>110.0</v>
      </c>
      <c r="N88" s="16">
        <v>107.0</v>
      </c>
      <c r="O88" s="15">
        <f t="shared" si="1"/>
        <v>101.3248945</v>
      </c>
      <c r="P88" s="15">
        <f t="shared" si="2"/>
        <v>105.1479501</v>
      </c>
      <c r="Q88" s="15">
        <f t="shared" si="3"/>
        <v>102.6175115</v>
      </c>
      <c r="R88" s="15">
        <f t="shared" si="4"/>
        <v>106.6244726</v>
      </c>
    </row>
    <row r="89">
      <c r="A89" s="10">
        <v>665019.0</v>
      </c>
      <c r="B89" s="11" t="s">
        <v>105</v>
      </c>
      <c r="C89" s="12">
        <v>678.0</v>
      </c>
      <c r="D89" s="10">
        <v>337.0</v>
      </c>
      <c r="E89" s="13">
        <v>108.0</v>
      </c>
      <c r="F89" s="14">
        <v>0.022</v>
      </c>
      <c r="G89" s="15">
        <v>103.0</v>
      </c>
      <c r="H89" s="15">
        <v>89.0</v>
      </c>
      <c r="I89" s="15">
        <v>112.0</v>
      </c>
      <c r="J89" s="15">
        <v>84.0</v>
      </c>
      <c r="K89" s="15">
        <v>94.0</v>
      </c>
      <c r="L89" s="15">
        <v>117.0</v>
      </c>
      <c r="M89" s="16">
        <v>109.0</v>
      </c>
      <c r="N89" s="16">
        <v>99.0</v>
      </c>
      <c r="O89" s="15">
        <f t="shared" si="1"/>
        <v>93.08163265</v>
      </c>
      <c r="P89" s="15">
        <f t="shared" si="2"/>
        <v>96.23463687</v>
      </c>
      <c r="Q89" s="15">
        <f t="shared" si="3"/>
        <v>110.0327869</v>
      </c>
      <c r="R89" s="15">
        <f t="shared" si="4"/>
        <v>105.6604824</v>
      </c>
    </row>
    <row r="90">
      <c r="A90" s="10">
        <v>673237.0</v>
      </c>
      <c r="B90" s="11" t="s">
        <v>106</v>
      </c>
      <c r="C90" s="12">
        <v>1096.0</v>
      </c>
      <c r="D90" s="10">
        <v>647.0</v>
      </c>
      <c r="E90" s="13">
        <v>262.0</v>
      </c>
      <c r="F90" s="14">
        <v>0.146</v>
      </c>
      <c r="G90" s="15">
        <v>95.0</v>
      </c>
      <c r="H90" s="15">
        <v>64.0</v>
      </c>
      <c r="I90" s="15">
        <v>117.0</v>
      </c>
      <c r="J90" s="15">
        <v>64.0</v>
      </c>
      <c r="K90" s="15">
        <v>110.0</v>
      </c>
      <c r="L90" s="15">
        <v>112.0</v>
      </c>
      <c r="M90" s="16">
        <v>109.0</v>
      </c>
      <c r="N90" s="16">
        <v>91.0</v>
      </c>
      <c r="O90" s="15">
        <f t="shared" si="1"/>
        <v>73.62566845</v>
      </c>
      <c r="P90" s="15">
        <f t="shared" si="2"/>
        <v>107.6387249</v>
      </c>
      <c r="Q90" s="15">
        <f t="shared" si="3"/>
        <v>109.3293769</v>
      </c>
      <c r="R90" s="15">
        <f t="shared" si="4"/>
        <v>106.5935829</v>
      </c>
    </row>
    <row r="91">
      <c r="A91" s="10">
        <v>683734.0</v>
      </c>
      <c r="B91" s="11" t="s">
        <v>107</v>
      </c>
      <c r="C91" s="12">
        <v>813.0</v>
      </c>
      <c r="D91" s="10">
        <v>408.0</v>
      </c>
      <c r="E91" s="13">
        <v>155.0</v>
      </c>
      <c r="F91" s="14">
        <v>0.023</v>
      </c>
      <c r="G91" s="15">
        <v>87.0</v>
      </c>
      <c r="H91" s="15">
        <v>91.0</v>
      </c>
      <c r="I91" s="15">
        <v>117.0</v>
      </c>
      <c r="J91" s="15">
        <v>86.0</v>
      </c>
      <c r="K91" s="15">
        <v>97.0</v>
      </c>
      <c r="L91" s="15">
        <v>112.0</v>
      </c>
      <c r="M91" s="16">
        <v>109.0</v>
      </c>
      <c r="N91" s="16">
        <v>85.0</v>
      </c>
      <c r="O91" s="15">
        <f t="shared" si="1"/>
        <v>93.96784831</v>
      </c>
      <c r="P91" s="15">
        <f t="shared" si="2"/>
        <v>97.98684211</v>
      </c>
      <c r="Q91" s="15">
        <f t="shared" si="3"/>
        <v>108.0869565</v>
      </c>
      <c r="R91" s="15">
        <f t="shared" si="4"/>
        <v>106.0321517</v>
      </c>
    </row>
    <row r="92">
      <c r="A92" s="10">
        <v>693307.0</v>
      </c>
      <c r="B92" s="11" t="s">
        <v>108</v>
      </c>
      <c r="C92" s="12">
        <v>945.0</v>
      </c>
      <c r="D92" s="10">
        <v>484.0</v>
      </c>
      <c r="E92" s="13">
        <v>187.0</v>
      </c>
      <c r="F92" s="14">
        <v>0.007</v>
      </c>
      <c r="G92" s="15">
        <v>92.0</v>
      </c>
      <c r="H92" s="15">
        <v>99.0</v>
      </c>
      <c r="I92" s="15">
        <v>113.0</v>
      </c>
      <c r="J92" s="15">
        <v>93.0</v>
      </c>
      <c r="K92" s="15">
        <v>91.0</v>
      </c>
      <c r="L92" s="15">
        <v>111.0</v>
      </c>
      <c r="M92" s="16">
        <v>109.0</v>
      </c>
      <c r="N92" s="16">
        <v>104.0</v>
      </c>
      <c r="O92" s="15">
        <f t="shared" si="1"/>
        <v>99.29739777</v>
      </c>
      <c r="P92" s="15">
        <f t="shared" si="2"/>
        <v>93.63157895</v>
      </c>
      <c r="Q92" s="15">
        <f t="shared" si="3"/>
        <v>107.851145</v>
      </c>
      <c r="R92" s="15">
        <f t="shared" si="4"/>
        <v>106.3234201</v>
      </c>
    </row>
    <row r="93">
      <c r="A93" s="10">
        <v>672580.0</v>
      </c>
      <c r="B93" s="11" t="s">
        <v>109</v>
      </c>
      <c r="C93" s="12">
        <v>1460.0</v>
      </c>
      <c r="D93" s="10">
        <v>597.0</v>
      </c>
      <c r="E93" s="13">
        <v>302.0</v>
      </c>
      <c r="F93" s="14">
        <v>-0.083</v>
      </c>
      <c r="G93" s="15">
        <v>89.0</v>
      </c>
      <c r="H93" s="15">
        <v>105.0</v>
      </c>
      <c r="I93" s="15">
        <v>81.0</v>
      </c>
      <c r="J93" s="15">
        <v>113.0</v>
      </c>
      <c r="K93" s="15">
        <v>129.0</v>
      </c>
      <c r="L93" s="15">
        <v>95.0</v>
      </c>
      <c r="M93" s="16">
        <v>109.0</v>
      </c>
      <c r="N93" s="16">
        <v>115.0</v>
      </c>
      <c r="O93" s="15">
        <f t="shared" si="1"/>
        <v>103.9247312</v>
      </c>
      <c r="P93" s="15">
        <f t="shared" si="2"/>
        <v>121.7227102</v>
      </c>
      <c r="Q93" s="15">
        <f t="shared" si="3"/>
        <v>95.99469496</v>
      </c>
      <c r="R93" s="15">
        <f t="shared" si="4"/>
        <v>107.0645161</v>
      </c>
    </row>
    <row r="94">
      <c r="A94" s="10">
        <v>676475.0</v>
      </c>
      <c r="B94" s="11" t="s">
        <v>110</v>
      </c>
      <c r="C94" s="12">
        <v>1141.0</v>
      </c>
      <c r="D94" s="10">
        <v>576.0</v>
      </c>
      <c r="E94" s="13">
        <v>251.0</v>
      </c>
      <c r="F94" s="14">
        <v>0.033</v>
      </c>
      <c r="G94" s="15">
        <v>95.0</v>
      </c>
      <c r="H94" s="15">
        <v>87.0</v>
      </c>
      <c r="I94" s="15">
        <v>104.0</v>
      </c>
      <c r="J94" s="15">
        <v>85.0</v>
      </c>
      <c r="K94" s="15">
        <v>116.0</v>
      </c>
      <c r="L94" s="15">
        <v>103.0</v>
      </c>
      <c r="M94" s="16">
        <v>109.0</v>
      </c>
      <c r="N94" s="16">
        <v>110.0</v>
      </c>
      <c r="O94" s="15">
        <f t="shared" si="1"/>
        <v>90.37443219</v>
      </c>
      <c r="P94" s="15">
        <f t="shared" si="2"/>
        <v>111.8762887</v>
      </c>
      <c r="Q94" s="15">
        <f t="shared" si="3"/>
        <v>102.309816</v>
      </c>
      <c r="R94" s="15">
        <f t="shared" si="4"/>
        <v>106.6638546</v>
      </c>
    </row>
    <row r="95">
      <c r="A95" s="10">
        <v>606192.0</v>
      </c>
      <c r="B95" s="11" t="s">
        <v>111</v>
      </c>
      <c r="C95" s="12">
        <v>1192.0</v>
      </c>
      <c r="D95" s="10">
        <v>599.0</v>
      </c>
      <c r="E95" s="13">
        <v>218.0</v>
      </c>
      <c r="F95" s="14">
        <v>-0.007</v>
      </c>
      <c r="G95" s="15">
        <v>108.0</v>
      </c>
      <c r="H95" s="15">
        <v>110.0</v>
      </c>
      <c r="I95" s="15">
        <v>110.0</v>
      </c>
      <c r="J95" s="15">
        <v>106.0</v>
      </c>
      <c r="K95" s="15">
        <v>89.0</v>
      </c>
      <c r="L95" s="15">
        <v>108.0</v>
      </c>
      <c r="M95" s="16">
        <v>109.0</v>
      </c>
      <c r="N95" s="16">
        <v>109.0</v>
      </c>
      <c r="O95" s="15">
        <f t="shared" si="1"/>
        <v>107.4874372</v>
      </c>
      <c r="P95" s="15">
        <f t="shared" si="2"/>
        <v>91.7534418</v>
      </c>
      <c r="Q95" s="15">
        <f t="shared" si="3"/>
        <v>105.9522184</v>
      </c>
      <c r="R95" s="15">
        <f t="shared" si="4"/>
        <v>106.7386935</v>
      </c>
    </row>
    <row r="96">
      <c r="A96" s="10">
        <v>681351.0</v>
      </c>
      <c r="B96" s="11" t="s">
        <v>112</v>
      </c>
      <c r="C96" s="12">
        <v>1173.0</v>
      </c>
      <c r="D96" s="10">
        <v>603.0</v>
      </c>
      <c r="E96" s="13">
        <v>183.0</v>
      </c>
      <c r="F96" s="14">
        <v>0.022</v>
      </c>
      <c r="G96" s="15">
        <v>105.0</v>
      </c>
      <c r="H96" s="15">
        <v>98.0</v>
      </c>
      <c r="I96" s="15">
        <v>104.0</v>
      </c>
      <c r="J96" s="15">
        <v>97.0</v>
      </c>
      <c r="K96" s="15">
        <v>77.0</v>
      </c>
      <c r="L96" s="15">
        <v>123.0</v>
      </c>
      <c r="M96" s="16">
        <v>109.0</v>
      </c>
      <c r="N96" s="16">
        <v>98.0</v>
      </c>
      <c r="O96" s="15">
        <f t="shared" si="1"/>
        <v>98.50858233</v>
      </c>
      <c r="P96" s="15">
        <f t="shared" si="2"/>
        <v>82.72851806</v>
      </c>
      <c r="Q96" s="15">
        <f t="shared" si="3"/>
        <v>116.3139535</v>
      </c>
      <c r="R96" s="15">
        <f t="shared" si="4"/>
        <v>106.7113795</v>
      </c>
    </row>
    <row r="97">
      <c r="A97" s="10">
        <v>666397.0</v>
      </c>
      <c r="B97" s="11" t="s">
        <v>113</v>
      </c>
      <c r="C97" s="12">
        <v>440.0</v>
      </c>
      <c r="D97" s="10">
        <v>187.0</v>
      </c>
      <c r="E97" s="13">
        <v>63.0</v>
      </c>
      <c r="F97" s="14">
        <v>-0.067</v>
      </c>
      <c r="G97" s="15">
        <v>111.0</v>
      </c>
      <c r="H97" s="15">
        <v>111.0</v>
      </c>
      <c r="I97" s="15">
        <v>84.0</v>
      </c>
      <c r="J97" s="15">
        <v>115.0</v>
      </c>
      <c r="K97" s="15">
        <v>86.0</v>
      </c>
      <c r="L97" s="15">
        <v>111.0</v>
      </c>
      <c r="M97" s="16">
        <v>108.0</v>
      </c>
      <c r="N97" s="16">
        <v>89.0</v>
      </c>
      <c r="O97" s="15">
        <f t="shared" si="1"/>
        <v>105.7619048</v>
      </c>
      <c r="P97" s="15">
        <f t="shared" si="2"/>
        <v>93.23514212</v>
      </c>
      <c r="Q97" s="15">
        <f t="shared" si="3"/>
        <v>105.0217391</v>
      </c>
      <c r="R97" s="15">
        <f t="shared" si="4"/>
        <v>104.1904762</v>
      </c>
    </row>
    <row r="98">
      <c r="A98" s="10">
        <v>681481.0</v>
      </c>
      <c r="B98" s="11" t="s">
        <v>114</v>
      </c>
      <c r="C98" s="12">
        <v>1045.0</v>
      </c>
      <c r="D98" s="10">
        <v>576.0</v>
      </c>
      <c r="E98" s="13">
        <v>205.0</v>
      </c>
      <c r="F98" s="14">
        <v>0.076</v>
      </c>
      <c r="G98" s="15">
        <v>102.0</v>
      </c>
      <c r="H98" s="15">
        <v>80.0</v>
      </c>
      <c r="I98" s="15">
        <v>108.0</v>
      </c>
      <c r="J98" s="15">
        <v>78.0</v>
      </c>
      <c r="K98" s="15">
        <v>96.0</v>
      </c>
      <c r="L98" s="15">
        <v>115.0</v>
      </c>
      <c r="M98" s="16">
        <v>108.0</v>
      </c>
      <c r="N98" s="16">
        <v>104.0</v>
      </c>
      <c r="O98" s="15">
        <f t="shared" si="1"/>
        <v>85.53633218</v>
      </c>
      <c r="P98" s="15">
        <f t="shared" si="2"/>
        <v>97.03092784</v>
      </c>
      <c r="Q98" s="15">
        <f t="shared" si="3"/>
        <v>110.9821429</v>
      </c>
      <c r="R98" s="15">
        <f t="shared" si="4"/>
        <v>105.7854671</v>
      </c>
    </row>
    <row r="99">
      <c r="A99" s="10">
        <v>671277.0</v>
      </c>
      <c r="B99" s="11" t="s">
        <v>115</v>
      </c>
      <c r="C99" s="12">
        <v>1155.0</v>
      </c>
      <c r="D99" s="10">
        <v>611.0</v>
      </c>
      <c r="E99" s="13">
        <v>260.0</v>
      </c>
      <c r="F99" s="14">
        <v>0.072</v>
      </c>
      <c r="G99" s="15">
        <v>81.0</v>
      </c>
      <c r="H99" s="15">
        <v>75.0</v>
      </c>
      <c r="I99" s="15">
        <v>113.0</v>
      </c>
      <c r="J99" s="15">
        <v>72.0</v>
      </c>
      <c r="K99" s="15">
        <v>122.0</v>
      </c>
      <c r="L99" s="15">
        <v>104.0</v>
      </c>
      <c r="M99" s="16">
        <v>108.0</v>
      </c>
      <c r="N99" s="16">
        <v>91.0</v>
      </c>
      <c r="O99" s="15">
        <f t="shared" si="1"/>
        <v>81.43086817</v>
      </c>
      <c r="P99" s="15">
        <f t="shared" si="2"/>
        <v>116.5745993</v>
      </c>
      <c r="Q99" s="15">
        <f t="shared" si="3"/>
        <v>103.1044776</v>
      </c>
      <c r="R99" s="15">
        <f t="shared" si="4"/>
        <v>105.9421222</v>
      </c>
    </row>
    <row r="100">
      <c r="A100" s="10">
        <v>593871.0</v>
      </c>
      <c r="B100" s="11" t="s">
        <v>116</v>
      </c>
      <c r="C100" s="12">
        <v>1067.0</v>
      </c>
      <c r="D100" s="10">
        <v>497.0</v>
      </c>
      <c r="E100" s="13">
        <v>228.0</v>
      </c>
      <c r="F100" s="14">
        <v>0.001</v>
      </c>
      <c r="G100" s="15">
        <v>112.0</v>
      </c>
      <c r="H100" s="15">
        <v>99.0</v>
      </c>
      <c r="I100" s="15">
        <v>108.0</v>
      </c>
      <c r="J100" s="15">
        <v>96.0</v>
      </c>
      <c r="K100" s="15">
        <v>120.0</v>
      </c>
      <c r="L100" s="15">
        <v>98.0</v>
      </c>
      <c r="M100" s="16">
        <v>108.0</v>
      </c>
      <c r="N100" s="16">
        <v>104.0</v>
      </c>
      <c r="O100" s="15">
        <f t="shared" si="1"/>
        <v>99.2726653</v>
      </c>
      <c r="P100" s="15">
        <f t="shared" si="2"/>
        <v>114.2611191</v>
      </c>
      <c r="Q100" s="15">
        <f t="shared" si="3"/>
        <v>98.4950495</v>
      </c>
      <c r="R100" s="15">
        <f t="shared" si="4"/>
        <v>105.8186776</v>
      </c>
    </row>
    <row r="101">
      <c r="A101" s="10">
        <v>672695.0</v>
      </c>
      <c r="B101" s="11" t="s">
        <v>117</v>
      </c>
      <c r="C101" s="12">
        <v>1774.0</v>
      </c>
      <c r="D101" s="10">
        <v>690.0</v>
      </c>
      <c r="E101" s="13">
        <v>307.0</v>
      </c>
      <c r="F101" s="14">
        <v>-0.109</v>
      </c>
      <c r="G101" s="15">
        <v>97.0</v>
      </c>
      <c r="H101" s="15">
        <v>123.0</v>
      </c>
      <c r="I101" s="15">
        <v>94.0</v>
      </c>
      <c r="J101" s="15">
        <v>127.0</v>
      </c>
      <c r="K101" s="15">
        <v>132.0</v>
      </c>
      <c r="L101" s="15">
        <v>84.0</v>
      </c>
      <c r="M101" s="16">
        <v>108.0</v>
      </c>
      <c r="N101" s="16">
        <v>113.0</v>
      </c>
      <c r="O101" s="15">
        <f t="shared" si="1"/>
        <v>118.7681693</v>
      </c>
      <c r="P101" s="15">
        <f t="shared" si="2"/>
        <v>124.8089888</v>
      </c>
      <c r="Q101" s="15">
        <f t="shared" si="3"/>
        <v>87.14136126</v>
      </c>
      <c r="R101" s="15">
        <f t="shared" si="4"/>
        <v>106.5280589</v>
      </c>
    </row>
    <row r="102">
      <c r="A102" s="10">
        <v>605141.0</v>
      </c>
      <c r="B102" s="11" t="s">
        <v>118</v>
      </c>
      <c r="C102" s="12">
        <v>1421.0</v>
      </c>
      <c r="D102" s="10">
        <v>606.0</v>
      </c>
      <c r="E102" s="13">
        <v>307.0</v>
      </c>
      <c r="F102" s="14">
        <v>-0.047</v>
      </c>
      <c r="G102" s="15">
        <v>97.0</v>
      </c>
      <c r="H102" s="15">
        <v>118.0</v>
      </c>
      <c r="I102" s="15">
        <v>106.0</v>
      </c>
      <c r="J102" s="15">
        <v>115.0</v>
      </c>
      <c r="K102" s="15">
        <v>128.0</v>
      </c>
      <c r="L102" s="15">
        <v>89.0</v>
      </c>
      <c r="M102" s="16">
        <v>107.0</v>
      </c>
      <c r="N102" s="16">
        <v>102.0</v>
      </c>
      <c r="O102" s="15">
        <f t="shared" si="1"/>
        <v>114.0461285</v>
      </c>
      <c r="P102" s="15">
        <f t="shared" si="2"/>
        <v>121.0521092</v>
      </c>
      <c r="Q102" s="15">
        <f t="shared" si="3"/>
        <v>91.15968586</v>
      </c>
      <c r="R102" s="15">
        <f t="shared" si="4"/>
        <v>105.4623833</v>
      </c>
    </row>
    <row r="103">
      <c r="A103" s="10">
        <v>671218.0</v>
      </c>
      <c r="B103" s="11" t="s">
        <v>119</v>
      </c>
      <c r="C103" s="12">
        <v>1600.0</v>
      </c>
      <c r="D103" s="10">
        <v>778.0</v>
      </c>
      <c r="E103" s="13">
        <v>272.0</v>
      </c>
      <c r="F103" s="14">
        <v>-0.012</v>
      </c>
      <c r="G103" s="15">
        <v>102.0</v>
      </c>
      <c r="H103" s="15">
        <v>100.0</v>
      </c>
      <c r="I103" s="15">
        <v>98.0</v>
      </c>
      <c r="J103" s="15">
        <v>100.0</v>
      </c>
      <c r="K103" s="15">
        <v>92.0</v>
      </c>
      <c r="L103" s="15">
        <v>110.0</v>
      </c>
      <c r="M103" s="16">
        <v>107.0</v>
      </c>
      <c r="N103" s="16">
        <v>108.0</v>
      </c>
      <c r="O103" s="15">
        <f t="shared" si="1"/>
        <v>100</v>
      </c>
      <c r="P103" s="15">
        <f t="shared" si="2"/>
        <v>93.63599182</v>
      </c>
      <c r="Q103" s="15">
        <f t="shared" si="3"/>
        <v>107.8386167</v>
      </c>
      <c r="R103" s="15">
        <f t="shared" si="4"/>
        <v>105.6</v>
      </c>
    </row>
    <row r="104">
      <c r="A104" s="10">
        <v>457705.0</v>
      </c>
      <c r="B104" s="11" t="s">
        <v>120</v>
      </c>
      <c r="C104" s="12">
        <v>1416.0</v>
      </c>
      <c r="D104" s="10">
        <v>670.0</v>
      </c>
      <c r="E104" s="13">
        <v>229.0</v>
      </c>
      <c r="F104" s="14">
        <v>-0.035</v>
      </c>
      <c r="G104" s="15">
        <v>124.0</v>
      </c>
      <c r="H104" s="15">
        <v>126.0</v>
      </c>
      <c r="I104" s="15">
        <v>115.0</v>
      </c>
      <c r="J104" s="15">
        <v>120.0</v>
      </c>
      <c r="K104" s="15">
        <v>92.0</v>
      </c>
      <c r="L104" s="15">
        <v>99.0</v>
      </c>
      <c r="M104" s="16">
        <v>107.0</v>
      </c>
      <c r="N104" s="16">
        <v>104.0</v>
      </c>
      <c r="O104" s="15">
        <f t="shared" si="1"/>
        <v>120.2731278</v>
      </c>
      <c r="P104" s="15">
        <f t="shared" si="2"/>
        <v>93.83908046</v>
      </c>
      <c r="Q104" s="15">
        <f t="shared" si="3"/>
        <v>99.24671053</v>
      </c>
      <c r="R104" s="15">
        <f t="shared" si="4"/>
        <v>105.4581498</v>
      </c>
    </row>
    <row r="105">
      <c r="A105" s="10">
        <v>689414.0</v>
      </c>
      <c r="B105" s="11" t="s">
        <v>121</v>
      </c>
      <c r="C105" s="12">
        <v>753.0</v>
      </c>
      <c r="D105" s="10">
        <v>282.0</v>
      </c>
      <c r="E105" s="13">
        <v>140.0</v>
      </c>
      <c r="F105" s="14">
        <v>-0.117</v>
      </c>
      <c r="G105" s="15">
        <v>93.0</v>
      </c>
      <c r="H105" s="15">
        <v>129.0</v>
      </c>
      <c r="I105" s="15">
        <v>99.0</v>
      </c>
      <c r="J105" s="15">
        <v>130.0</v>
      </c>
      <c r="K105" s="15">
        <v>128.0</v>
      </c>
      <c r="L105" s="15">
        <v>84.0</v>
      </c>
      <c r="M105" s="16">
        <v>107.0</v>
      </c>
      <c r="N105" s="16">
        <v>117.0</v>
      </c>
      <c r="O105" s="15">
        <f t="shared" si="1"/>
        <v>118.9392888</v>
      </c>
      <c r="P105" s="15">
        <f t="shared" si="2"/>
        <v>116.3817427</v>
      </c>
      <c r="Q105" s="15">
        <f t="shared" si="3"/>
        <v>89.58139535</v>
      </c>
      <c r="R105" s="15">
        <f t="shared" si="4"/>
        <v>104.5715525</v>
      </c>
    </row>
    <row r="106">
      <c r="A106" s="10">
        <v>691016.0</v>
      </c>
      <c r="B106" s="11" t="s">
        <v>122</v>
      </c>
      <c r="C106" s="12">
        <v>1431.0</v>
      </c>
      <c r="D106" s="10">
        <v>701.0</v>
      </c>
      <c r="E106" s="13">
        <v>261.0</v>
      </c>
      <c r="F106" s="14">
        <v>0.019</v>
      </c>
      <c r="G106" s="15">
        <v>103.0</v>
      </c>
      <c r="H106" s="15">
        <v>91.0</v>
      </c>
      <c r="I106" s="15">
        <v>86.0</v>
      </c>
      <c r="J106" s="15">
        <v>96.0</v>
      </c>
      <c r="K106" s="15">
        <v>94.0</v>
      </c>
      <c r="L106" s="15">
        <v>112.0</v>
      </c>
      <c r="M106" s="16">
        <v>107.0</v>
      </c>
      <c r="N106" s="16">
        <v>111.0</v>
      </c>
      <c r="O106" s="15">
        <f t="shared" si="1"/>
        <v>92.96613872</v>
      </c>
      <c r="P106" s="15">
        <f t="shared" si="2"/>
        <v>95.3318535</v>
      </c>
      <c r="Q106" s="15">
        <f t="shared" si="3"/>
        <v>109.3214286</v>
      </c>
      <c r="R106" s="15">
        <f t="shared" si="4"/>
        <v>105.470781</v>
      </c>
    </row>
    <row r="107">
      <c r="A107" s="10">
        <v>686469.0</v>
      </c>
      <c r="B107" s="11" t="s">
        <v>123</v>
      </c>
      <c r="C107" s="12">
        <v>1500.0</v>
      </c>
      <c r="D107" s="10">
        <v>733.0</v>
      </c>
      <c r="E107" s="13">
        <v>304.0</v>
      </c>
      <c r="F107" s="14">
        <v>0.019</v>
      </c>
      <c r="G107" s="15">
        <v>87.0</v>
      </c>
      <c r="H107" s="15">
        <v>86.0</v>
      </c>
      <c r="I107" s="15">
        <v>100.0</v>
      </c>
      <c r="J107" s="15">
        <v>86.0</v>
      </c>
      <c r="K107" s="15">
        <v>121.0</v>
      </c>
      <c r="L107" s="15">
        <v>101.0</v>
      </c>
      <c r="M107" s="16">
        <v>107.0</v>
      </c>
      <c r="N107" s="16">
        <v>106.0</v>
      </c>
      <c r="O107" s="15">
        <f t="shared" si="1"/>
        <v>88.94736842</v>
      </c>
      <c r="P107" s="15">
        <f t="shared" si="2"/>
        <v>116.4983923</v>
      </c>
      <c r="Q107" s="15">
        <f t="shared" si="3"/>
        <v>100.8021108</v>
      </c>
      <c r="R107" s="15">
        <f t="shared" si="4"/>
        <v>105.5263158</v>
      </c>
    </row>
    <row r="108">
      <c r="A108" s="10">
        <v>607043.0</v>
      </c>
      <c r="B108" s="11" t="s">
        <v>124</v>
      </c>
      <c r="C108" s="12">
        <v>1492.0</v>
      </c>
      <c r="D108" s="10">
        <v>717.0</v>
      </c>
      <c r="E108" s="13">
        <v>275.0</v>
      </c>
      <c r="F108" s="14">
        <v>-0.03</v>
      </c>
      <c r="G108" s="15">
        <v>106.0</v>
      </c>
      <c r="H108" s="15">
        <v>111.0</v>
      </c>
      <c r="I108" s="15">
        <v>107.0</v>
      </c>
      <c r="J108" s="15">
        <v>109.0</v>
      </c>
      <c r="K108" s="15">
        <v>105.0</v>
      </c>
      <c r="L108" s="15">
        <v>99.0</v>
      </c>
      <c r="M108" s="16">
        <v>107.0</v>
      </c>
      <c r="N108" s="16">
        <v>112.0</v>
      </c>
      <c r="O108" s="15">
        <f t="shared" si="1"/>
        <v>108.6744186</v>
      </c>
      <c r="P108" s="15">
        <f t="shared" si="2"/>
        <v>103.9094875</v>
      </c>
      <c r="Q108" s="15">
        <f t="shared" si="3"/>
        <v>99.21428571</v>
      </c>
      <c r="R108" s="15">
        <f t="shared" si="4"/>
        <v>105.5200846</v>
      </c>
    </row>
    <row r="109">
      <c r="A109" s="10">
        <v>681624.0</v>
      </c>
      <c r="B109" s="11" t="s">
        <v>125</v>
      </c>
      <c r="C109" s="12">
        <v>1377.0</v>
      </c>
      <c r="D109" s="10">
        <v>762.0</v>
      </c>
      <c r="E109" s="13">
        <v>274.0</v>
      </c>
      <c r="F109" s="14">
        <v>0.047</v>
      </c>
      <c r="G109" s="15">
        <v>101.0</v>
      </c>
      <c r="H109" s="15">
        <v>92.0</v>
      </c>
      <c r="I109" s="15">
        <v>109.0</v>
      </c>
      <c r="J109" s="15">
        <v>88.0</v>
      </c>
      <c r="K109" s="15">
        <v>107.0</v>
      </c>
      <c r="L109" s="15">
        <v>104.0</v>
      </c>
      <c r="M109" s="16">
        <v>107.0</v>
      </c>
      <c r="N109" s="16">
        <v>113.0</v>
      </c>
      <c r="O109" s="15">
        <f t="shared" si="1"/>
        <v>93.80078784</v>
      </c>
      <c r="P109" s="15">
        <f t="shared" si="2"/>
        <v>105.5446985</v>
      </c>
      <c r="Q109" s="15">
        <f t="shared" si="3"/>
        <v>103.1404011</v>
      </c>
      <c r="R109" s="15">
        <f t="shared" si="4"/>
        <v>105.4243106</v>
      </c>
    </row>
    <row r="110">
      <c r="A110" s="10">
        <v>701305.0</v>
      </c>
      <c r="B110" s="11" t="s">
        <v>126</v>
      </c>
      <c r="C110" s="12">
        <v>480.0</v>
      </c>
      <c r="D110" s="10">
        <v>212.0</v>
      </c>
      <c r="E110" s="13">
        <v>61.0</v>
      </c>
      <c r="F110" s="14">
        <v>-0.066</v>
      </c>
      <c r="G110" s="15">
        <v>116.0</v>
      </c>
      <c r="H110" s="15">
        <v>119.0</v>
      </c>
      <c r="I110" s="15">
        <v>95.0</v>
      </c>
      <c r="J110" s="15">
        <v>120.0</v>
      </c>
      <c r="K110" s="15">
        <v>77.0</v>
      </c>
      <c r="L110" s="15">
        <v>113.0</v>
      </c>
      <c r="M110" s="16">
        <v>107.0</v>
      </c>
      <c r="N110" s="16">
        <v>102.0</v>
      </c>
      <c r="O110" s="15">
        <f t="shared" si="1"/>
        <v>110.3636364</v>
      </c>
      <c r="P110" s="15">
        <f t="shared" si="2"/>
        <v>88.16504854</v>
      </c>
      <c r="Q110" s="15">
        <f t="shared" si="3"/>
        <v>105.8308824</v>
      </c>
      <c r="R110" s="15">
        <f t="shared" si="4"/>
        <v>103.8181818</v>
      </c>
    </row>
    <row r="111">
      <c r="A111" s="10">
        <v>656305.0</v>
      </c>
      <c r="B111" s="11" t="s">
        <v>127</v>
      </c>
      <c r="C111" s="12">
        <v>1274.0</v>
      </c>
      <c r="D111" s="10">
        <v>525.0</v>
      </c>
      <c r="E111" s="13">
        <v>189.0</v>
      </c>
      <c r="F111" s="14">
        <v>-0.067</v>
      </c>
      <c r="G111" s="15">
        <v>114.0</v>
      </c>
      <c r="H111" s="15">
        <v>119.0</v>
      </c>
      <c r="I111" s="15">
        <v>98.0</v>
      </c>
      <c r="J111" s="15">
        <v>118.0</v>
      </c>
      <c r="K111" s="15">
        <v>93.0</v>
      </c>
      <c r="L111" s="15">
        <v>102.0</v>
      </c>
      <c r="M111" s="16">
        <v>107.0</v>
      </c>
      <c r="N111" s="16">
        <v>111.0</v>
      </c>
      <c r="O111" s="15">
        <f t="shared" si="1"/>
        <v>114.4599761</v>
      </c>
      <c r="P111" s="15">
        <f t="shared" si="2"/>
        <v>94.93103448</v>
      </c>
      <c r="Q111" s="15">
        <f t="shared" si="3"/>
        <v>101.4318182</v>
      </c>
      <c r="R111" s="15">
        <f t="shared" si="4"/>
        <v>105.3273596</v>
      </c>
    </row>
    <row r="112">
      <c r="A112" s="10">
        <v>660821.0</v>
      </c>
      <c r="B112" s="11" t="s">
        <v>128</v>
      </c>
      <c r="C112" s="12">
        <v>1139.0</v>
      </c>
      <c r="D112" s="10">
        <v>572.0</v>
      </c>
      <c r="E112" s="13">
        <v>205.0</v>
      </c>
      <c r="F112" s="14">
        <v>0.032</v>
      </c>
      <c r="G112" s="15">
        <v>109.0</v>
      </c>
      <c r="H112" s="15">
        <v>85.0</v>
      </c>
      <c r="I112" s="15">
        <v>103.0</v>
      </c>
      <c r="J112" s="15">
        <v>84.0</v>
      </c>
      <c r="K112" s="15">
        <v>106.0</v>
      </c>
      <c r="L112" s="15">
        <v>109.0</v>
      </c>
      <c r="M112" s="16">
        <v>107.0</v>
      </c>
      <c r="N112" s="16">
        <v>98.0</v>
      </c>
      <c r="O112" s="15">
        <f t="shared" si="1"/>
        <v>88.89863548</v>
      </c>
      <c r="P112" s="15">
        <f t="shared" si="2"/>
        <v>104.4455959</v>
      </c>
      <c r="Q112" s="15">
        <f t="shared" si="3"/>
        <v>106.5892857</v>
      </c>
      <c r="R112" s="15">
        <f t="shared" si="4"/>
        <v>105.1806368</v>
      </c>
    </row>
    <row r="113">
      <c r="A113" s="10">
        <v>678882.0</v>
      </c>
      <c r="B113" s="11" t="s">
        <v>129</v>
      </c>
      <c r="C113" s="12">
        <v>1230.0</v>
      </c>
      <c r="D113" s="10">
        <v>741.0</v>
      </c>
      <c r="E113" s="13">
        <v>255.0</v>
      </c>
      <c r="F113" s="14">
        <v>0.11</v>
      </c>
      <c r="G113" s="15">
        <v>91.0</v>
      </c>
      <c r="H113" s="15">
        <v>82.0</v>
      </c>
      <c r="I113" s="15">
        <v>125.0</v>
      </c>
      <c r="J113" s="15">
        <v>73.0</v>
      </c>
      <c r="K113" s="15">
        <v>107.0</v>
      </c>
      <c r="L113" s="15">
        <v>107.0</v>
      </c>
      <c r="M113" s="16">
        <v>107.0</v>
      </c>
      <c r="N113" s="16">
        <v>107.0</v>
      </c>
      <c r="O113" s="15">
        <f t="shared" si="1"/>
        <v>86.41717791</v>
      </c>
      <c r="P113" s="15">
        <f t="shared" si="2"/>
        <v>105.512221</v>
      </c>
      <c r="Q113" s="15">
        <f t="shared" si="3"/>
        <v>105.4090909</v>
      </c>
      <c r="R113" s="15">
        <f t="shared" si="4"/>
        <v>105.2822086</v>
      </c>
    </row>
    <row r="114">
      <c r="A114" s="10">
        <v>671289.0</v>
      </c>
      <c r="B114" s="11" t="s">
        <v>130</v>
      </c>
      <c r="C114" s="12">
        <v>734.0</v>
      </c>
      <c r="D114" s="10">
        <v>340.0</v>
      </c>
      <c r="E114" s="13">
        <v>147.0</v>
      </c>
      <c r="F114" s="14">
        <v>-0.034</v>
      </c>
      <c r="G114" s="15">
        <v>105.0</v>
      </c>
      <c r="H114" s="15">
        <v>118.0</v>
      </c>
      <c r="I114" s="15">
        <v>105.0</v>
      </c>
      <c r="J114" s="15">
        <v>115.0</v>
      </c>
      <c r="K114" s="15">
        <v>118.0</v>
      </c>
      <c r="L114" s="15">
        <v>91.0</v>
      </c>
      <c r="M114" s="16">
        <v>107.0</v>
      </c>
      <c r="N114" s="16">
        <v>118.0</v>
      </c>
      <c r="O114" s="15">
        <f t="shared" si="1"/>
        <v>111.6507937</v>
      </c>
      <c r="P114" s="15">
        <f t="shared" si="2"/>
        <v>111.3333333</v>
      </c>
      <c r="Q114" s="15">
        <f t="shared" si="3"/>
        <v>94.04054054</v>
      </c>
      <c r="R114" s="15">
        <f t="shared" si="4"/>
        <v>104.5308642</v>
      </c>
    </row>
    <row r="115">
      <c r="A115" s="10">
        <v>642708.0</v>
      </c>
      <c r="B115" s="11" t="s">
        <v>131</v>
      </c>
      <c r="C115" s="12">
        <v>485.0</v>
      </c>
      <c r="D115" s="10">
        <v>267.0</v>
      </c>
      <c r="E115" s="13">
        <v>116.0</v>
      </c>
      <c r="F115" s="14">
        <v>0.074</v>
      </c>
      <c r="G115" s="15">
        <v>90.0</v>
      </c>
      <c r="H115" s="15">
        <v>91.0</v>
      </c>
      <c r="I115" s="15">
        <v>124.0</v>
      </c>
      <c r="J115" s="15">
        <v>81.0</v>
      </c>
      <c r="K115" s="15">
        <v>120.0</v>
      </c>
      <c r="L115" s="15">
        <v>98.0</v>
      </c>
      <c r="M115" s="16">
        <v>107.0</v>
      </c>
      <c r="N115" s="16">
        <v>97.0</v>
      </c>
      <c r="O115" s="15">
        <f t="shared" si="1"/>
        <v>95.06779661</v>
      </c>
      <c r="P115" s="15">
        <f t="shared" si="2"/>
        <v>111.4346895</v>
      </c>
      <c r="Q115" s="15">
        <f t="shared" si="3"/>
        <v>98.78534031</v>
      </c>
      <c r="R115" s="15">
        <f t="shared" si="4"/>
        <v>103.8361582</v>
      </c>
    </row>
    <row r="116">
      <c r="A116" s="10">
        <v>572191.0</v>
      </c>
      <c r="B116" s="11" t="s">
        <v>132</v>
      </c>
      <c r="C116" s="12">
        <v>765.0</v>
      </c>
      <c r="D116" s="10">
        <v>379.0</v>
      </c>
      <c r="E116" s="13">
        <v>110.0</v>
      </c>
      <c r="F116" s="14">
        <v>-0.024</v>
      </c>
      <c r="G116" s="15">
        <v>110.0</v>
      </c>
      <c r="H116" s="15">
        <v>112.0</v>
      </c>
      <c r="I116" s="15">
        <v>94.0</v>
      </c>
      <c r="J116" s="15">
        <v>114.0</v>
      </c>
      <c r="K116" s="15">
        <v>70.0</v>
      </c>
      <c r="L116" s="15">
        <v>120.0</v>
      </c>
      <c r="M116" s="16">
        <v>107.0</v>
      </c>
      <c r="N116" s="16">
        <v>96.0</v>
      </c>
      <c r="O116" s="15">
        <f t="shared" si="1"/>
        <v>107.8798283</v>
      </c>
      <c r="P116" s="15">
        <f t="shared" si="2"/>
        <v>80.3626943</v>
      </c>
      <c r="Q116" s="15">
        <f t="shared" si="3"/>
        <v>111.8918919</v>
      </c>
      <c r="R116" s="15">
        <f t="shared" si="4"/>
        <v>104.5965665</v>
      </c>
    </row>
    <row r="117">
      <c r="A117" s="10">
        <v>670623.0</v>
      </c>
      <c r="B117" s="11" t="s">
        <v>133</v>
      </c>
      <c r="C117" s="12">
        <v>1774.0</v>
      </c>
      <c r="D117" s="10">
        <v>721.0</v>
      </c>
      <c r="E117" s="13">
        <v>281.0</v>
      </c>
      <c r="F117" s="14">
        <v>-0.072</v>
      </c>
      <c r="G117" s="15">
        <v>99.0</v>
      </c>
      <c r="H117" s="15">
        <v>117.0</v>
      </c>
      <c r="I117" s="15">
        <v>96.0</v>
      </c>
      <c r="J117" s="15">
        <v>117.0</v>
      </c>
      <c r="K117" s="15">
        <v>114.0</v>
      </c>
      <c r="L117" s="15">
        <v>93.0</v>
      </c>
      <c r="M117" s="16">
        <v>106.0</v>
      </c>
      <c r="N117" s="16">
        <v>119.0</v>
      </c>
      <c r="O117" s="15">
        <f t="shared" si="1"/>
        <v>113.8721251</v>
      </c>
      <c r="P117" s="15">
        <f t="shared" si="2"/>
        <v>110.9598263</v>
      </c>
      <c r="Q117" s="15">
        <f t="shared" si="3"/>
        <v>94.4747191</v>
      </c>
      <c r="R117" s="15">
        <f t="shared" si="4"/>
        <v>104.8960442</v>
      </c>
    </row>
    <row r="118">
      <c r="A118" s="10">
        <v>593428.0</v>
      </c>
      <c r="B118" s="11" t="s">
        <v>134</v>
      </c>
      <c r="C118" s="12">
        <v>1458.0</v>
      </c>
      <c r="D118" s="10">
        <v>588.0</v>
      </c>
      <c r="E118" s="13">
        <v>274.0</v>
      </c>
      <c r="F118" s="14">
        <v>-0.086</v>
      </c>
      <c r="G118" s="15">
        <v>90.0</v>
      </c>
      <c r="H118" s="15">
        <v>108.0</v>
      </c>
      <c r="I118" s="15">
        <v>87.0</v>
      </c>
      <c r="J118" s="15">
        <v>114.0</v>
      </c>
      <c r="K118" s="15">
        <v>118.0</v>
      </c>
      <c r="L118" s="15">
        <v>95.0</v>
      </c>
      <c r="M118" s="16">
        <v>106.0</v>
      </c>
      <c r="N118" s="16">
        <v>101.0</v>
      </c>
      <c r="O118" s="15">
        <f t="shared" si="1"/>
        <v>106.277718</v>
      </c>
      <c r="P118" s="15">
        <f t="shared" si="2"/>
        <v>113.4314721</v>
      </c>
      <c r="Q118" s="15">
        <f t="shared" si="3"/>
        <v>96.07449857</v>
      </c>
      <c r="R118" s="15">
        <f t="shared" si="4"/>
        <v>104.7082885</v>
      </c>
    </row>
    <row r="119">
      <c r="A119" s="10">
        <v>666134.0</v>
      </c>
      <c r="B119" s="11" t="s">
        <v>135</v>
      </c>
      <c r="C119" s="12">
        <v>1105.0</v>
      </c>
      <c r="D119" s="10">
        <v>492.0</v>
      </c>
      <c r="E119" s="13">
        <v>162.0</v>
      </c>
      <c r="F119" s="14">
        <v>-0.052</v>
      </c>
      <c r="G119" s="15">
        <v>93.0</v>
      </c>
      <c r="H119" s="15">
        <v>93.0</v>
      </c>
      <c r="I119" s="15">
        <v>82.0</v>
      </c>
      <c r="J119" s="15">
        <v>100.0</v>
      </c>
      <c r="K119" s="15">
        <v>107.0</v>
      </c>
      <c r="L119" s="15">
        <v>106.0</v>
      </c>
      <c r="M119" s="16">
        <v>106.0</v>
      </c>
      <c r="N119" s="16">
        <v>97.0</v>
      </c>
      <c r="O119" s="15">
        <f t="shared" si="1"/>
        <v>94.86046512</v>
      </c>
      <c r="P119" s="15">
        <f t="shared" si="2"/>
        <v>104.9768786</v>
      </c>
      <c r="Q119" s="15">
        <f t="shared" si="3"/>
        <v>104.1012658</v>
      </c>
      <c r="R119" s="15">
        <f t="shared" si="4"/>
        <v>104.4053156</v>
      </c>
    </row>
    <row r="120">
      <c r="A120" s="10">
        <v>702616.0</v>
      </c>
      <c r="B120" s="11" t="s">
        <v>136</v>
      </c>
      <c r="C120" s="12">
        <v>1362.0</v>
      </c>
      <c r="D120" s="10">
        <v>692.0</v>
      </c>
      <c r="E120" s="13">
        <v>254.0</v>
      </c>
      <c r="F120" s="14">
        <v>0.015</v>
      </c>
      <c r="G120" s="15">
        <v>115.0</v>
      </c>
      <c r="H120" s="15">
        <v>106.0</v>
      </c>
      <c r="I120" s="15">
        <v>112.0</v>
      </c>
      <c r="J120" s="15">
        <v>101.0</v>
      </c>
      <c r="K120" s="15">
        <v>88.0</v>
      </c>
      <c r="L120" s="15">
        <v>108.0</v>
      </c>
      <c r="M120" s="16">
        <v>106.0</v>
      </c>
      <c r="N120" s="16">
        <v>106.0</v>
      </c>
      <c r="O120" s="15">
        <f t="shared" si="1"/>
        <v>104.6379115</v>
      </c>
      <c r="P120" s="15">
        <f t="shared" si="2"/>
        <v>90.69058296</v>
      </c>
      <c r="Q120" s="15">
        <f t="shared" si="3"/>
        <v>106.1762918</v>
      </c>
      <c r="R120" s="15">
        <f t="shared" si="4"/>
        <v>104.6379115</v>
      </c>
    </row>
    <row r="121">
      <c r="A121" s="10">
        <v>683146.0</v>
      </c>
      <c r="B121" s="11" t="s">
        <v>137</v>
      </c>
      <c r="C121" s="12">
        <v>972.0</v>
      </c>
      <c r="D121" s="10">
        <v>467.0</v>
      </c>
      <c r="E121" s="13">
        <v>162.0</v>
      </c>
      <c r="F121" s="14">
        <v>-0.024</v>
      </c>
      <c r="G121" s="15">
        <v>105.0</v>
      </c>
      <c r="H121" s="15">
        <v>97.0</v>
      </c>
      <c r="I121" s="15">
        <v>95.0</v>
      </c>
      <c r="J121" s="15">
        <v>99.0</v>
      </c>
      <c r="K121" s="15">
        <v>104.0</v>
      </c>
      <c r="L121" s="15">
        <v>105.0</v>
      </c>
      <c r="M121" s="16">
        <v>106.0</v>
      </c>
      <c r="N121" s="16">
        <v>97.0</v>
      </c>
      <c r="O121" s="15">
        <f t="shared" si="1"/>
        <v>97.87463557</v>
      </c>
      <c r="P121" s="15">
        <f t="shared" si="2"/>
        <v>102.8005997</v>
      </c>
      <c r="Q121" s="15">
        <f t="shared" si="3"/>
        <v>103.4177215</v>
      </c>
      <c r="R121" s="15">
        <f t="shared" si="4"/>
        <v>104.2507289</v>
      </c>
    </row>
    <row r="122">
      <c r="A122" s="10">
        <v>669720.0</v>
      </c>
      <c r="B122" s="11" t="s">
        <v>138</v>
      </c>
      <c r="C122" s="12">
        <v>705.0</v>
      </c>
      <c r="D122" s="10">
        <v>380.0</v>
      </c>
      <c r="E122" s="13">
        <v>128.0</v>
      </c>
      <c r="F122" s="14">
        <v>0.051</v>
      </c>
      <c r="G122" s="15">
        <v>94.0</v>
      </c>
      <c r="H122" s="15">
        <v>83.0</v>
      </c>
      <c r="I122" s="15">
        <v>106.0</v>
      </c>
      <c r="J122" s="15">
        <v>82.0</v>
      </c>
      <c r="K122" s="15">
        <v>93.0</v>
      </c>
      <c r="L122" s="15">
        <v>115.0</v>
      </c>
      <c r="M122" s="16">
        <v>106.0</v>
      </c>
      <c r="N122" s="16">
        <v>113.0</v>
      </c>
      <c r="O122" s="15">
        <f t="shared" si="1"/>
        <v>89.15384615</v>
      </c>
      <c r="P122" s="15">
        <f t="shared" si="2"/>
        <v>95.4137931</v>
      </c>
      <c r="Q122" s="15">
        <f t="shared" si="3"/>
        <v>109.4581281</v>
      </c>
      <c r="R122" s="15">
        <f t="shared" si="4"/>
        <v>103.8280543</v>
      </c>
    </row>
    <row r="123">
      <c r="A123" s="10">
        <v>592885.0</v>
      </c>
      <c r="B123" s="11" t="s">
        <v>139</v>
      </c>
      <c r="C123" s="12">
        <v>1539.0</v>
      </c>
      <c r="D123" s="10">
        <v>697.0</v>
      </c>
      <c r="E123" s="13">
        <v>239.0</v>
      </c>
      <c r="F123" s="14">
        <v>-0.026</v>
      </c>
      <c r="G123" s="15">
        <v>103.0</v>
      </c>
      <c r="H123" s="15">
        <v>104.0</v>
      </c>
      <c r="I123" s="15">
        <v>100.0</v>
      </c>
      <c r="J123" s="15">
        <v>103.0</v>
      </c>
      <c r="K123" s="15">
        <v>91.0</v>
      </c>
      <c r="L123" s="15">
        <v>108.0</v>
      </c>
      <c r="M123" s="16">
        <v>106.0</v>
      </c>
      <c r="N123" s="16">
        <v>111.0</v>
      </c>
      <c r="O123" s="15">
        <f t="shared" si="1"/>
        <v>103.1748324</v>
      </c>
      <c r="P123" s="15">
        <f t="shared" si="2"/>
        <v>93.00668896</v>
      </c>
      <c r="Q123" s="15">
        <f t="shared" si="3"/>
        <v>106.089172</v>
      </c>
      <c r="R123" s="15">
        <f t="shared" si="4"/>
        <v>104.7622486</v>
      </c>
    </row>
    <row r="124">
      <c r="A124" s="10">
        <v>664761.0</v>
      </c>
      <c r="B124" s="11" t="s">
        <v>140</v>
      </c>
      <c r="C124" s="12">
        <v>1344.0</v>
      </c>
      <c r="D124" s="10">
        <v>646.0</v>
      </c>
      <c r="E124" s="13">
        <v>291.0</v>
      </c>
      <c r="F124" s="14">
        <v>-0.026</v>
      </c>
      <c r="G124" s="15">
        <v>104.0</v>
      </c>
      <c r="H124" s="15">
        <v>104.0</v>
      </c>
      <c r="I124" s="15">
        <v>91.0</v>
      </c>
      <c r="J124" s="15">
        <v>108.0</v>
      </c>
      <c r="K124" s="15">
        <v>115.0</v>
      </c>
      <c r="L124" s="15">
        <v>96.0</v>
      </c>
      <c r="M124" s="16">
        <v>106.0</v>
      </c>
      <c r="N124" s="16">
        <v>105.0</v>
      </c>
      <c r="O124" s="15">
        <f t="shared" si="1"/>
        <v>103.0825688</v>
      </c>
      <c r="P124" s="15">
        <f t="shared" si="2"/>
        <v>111.4539007</v>
      </c>
      <c r="Q124" s="15">
        <f t="shared" si="3"/>
        <v>96.81967213</v>
      </c>
      <c r="R124" s="15">
        <f t="shared" si="4"/>
        <v>104.6238532</v>
      </c>
    </row>
    <row r="125">
      <c r="A125" s="10">
        <v>701358.0</v>
      </c>
      <c r="B125" s="11" t="s">
        <v>141</v>
      </c>
      <c r="C125" s="12">
        <v>1296.0</v>
      </c>
      <c r="D125" s="10">
        <v>644.0</v>
      </c>
      <c r="E125" s="13">
        <v>203.0</v>
      </c>
      <c r="F125" s="14">
        <v>-0.022</v>
      </c>
      <c r="G125" s="15">
        <v>95.0</v>
      </c>
      <c r="H125" s="15">
        <v>104.0</v>
      </c>
      <c r="I125" s="15">
        <v>94.0</v>
      </c>
      <c r="J125" s="15">
        <v>107.0</v>
      </c>
      <c r="K125" s="15">
        <v>91.0</v>
      </c>
      <c r="L125" s="15">
        <v>109.0</v>
      </c>
      <c r="M125" s="16">
        <v>106.0</v>
      </c>
      <c r="N125" s="16">
        <v>114.0</v>
      </c>
      <c r="O125" s="15">
        <f t="shared" si="1"/>
        <v>103.0566038</v>
      </c>
      <c r="P125" s="15">
        <f t="shared" si="2"/>
        <v>93.13270142</v>
      </c>
      <c r="Q125" s="15">
        <f t="shared" si="3"/>
        <v>106.5719424</v>
      </c>
      <c r="R125" s="15">
        <f t="shared" si="4"/>
        <v>104.5849057</v>
      </c>
    </row>
    <row r="126">
      <c r="A126" s="10">
        <v>666139.0</v>
      </c>
      <c r="B126" s="11" t="s">
        <v>142</v>
      </c>
      <c r="C126" s="12">
        <v>869.0</v>
      </c>
      <c r="D126" s="10">
        <v>452.0</v>
      </c>
      <c r="E126" s="13">
        <v>144.0</v>
      </c>
      <c r="F126" s="14">
        <v>0.025</v>
      </c>
      <c r="G126" s="15">
        <v>92.0</v>
      </c>
      <c r="H126" s="15">
        <v>88.0</v>
      </c>
      <c r="I126" s="15">
        <v>111.0</v>
      </c>
      <c r="J126" s="15">
        <v>84.0</v>
      </c>
      <c r="K126" s="15">
        <v>113.0</v>
      </c>
      <c r="L126" s="15">
        <v>103.0</v>
      </c>
      <c r="M126" s="16">
        <v>106.0</v>
      </c>
      <c r="N126" s="16">
        <v>101.0</v>
      </c>
      <c r="O126" s="15">
        <f t="shared" si="1"/>
        <v>91.78250591</v>
      </c>
      <c r="P126" s="15">
        <f t="shared" si="2"/>
        <v>109.0122699</v>
      </c>
      <c r="Q126" s="15">
        <f t="shared" si="3"/>
        <v>101.9726027</v>
      </c>
      <c r="R126" s="15">
        <f t="shared" si="4"/>
        <v>104.108747</v>
      </c>
    </row>
    <row r="127">
      <c r="A127" s="10">
        <v>596142.0</v>
      </c>
      <c r="B127" s="11" t="s">
        <v>143</v>
      </c>
      <c r="C127" s="12">
        <v>411.0</v>
      </c>
      <c r="D127" s="10">
        <v>174.0</v>
      </c>
      <c r="E127" s="13">
        <v>64.0</v>
      </c>
      <c r="F127" s="14">
        <v>-0.078</v>
      </c>
      <c r="G127" s="15">
        <v>86.0</v>
      </c>
      <c r="H127" s="15">
        <v>94.0</v>
      </c>
      <c r="I127" s="15">
        <v>77.0</v>
      </c>
      <c r="J127" s="15">
        <v>103.0</v>
      </c>
      <c r="K127" s="15">
        <v>96.0</v>
      </c>
      <c r="L127" s="15">
        <v>110.0</v>
      </c>
      <c r="M127" s="16">
        <v>106.0</v>
      </c>
      <c r="N127" s="16">
        <v>108.0</v>
      </c>
      <c r="O127" s="15">
        <f t="shared" si="1"/>
        <v>96.95930949</v>
      </c>
      <c r="P127" s="15">
        <f t="shared" si="2"/>
        <v>98.13903743</v>
      </c>
      <c r="Q127" s="15">
        <f t="shared" si="3"/>
        <v>104.6043165</v>
      </c>
      <c r="R127" s="15">
        <f t="shared" si="4"/>
        <v>103.0406905</v>
      </c>
    </row>
    <row r="128">
      <c r="A128" s="10">
        <v>643217.0</v>
      </c>
      <c r="B128" s="11" t="s">
        <v>144</v>
      </c>
      <c r="C128" s="12">
        <v>980.0</v>
      </c>
      <c r="D128" s="10">
        <v>487.0</v>
      </c>
      <c r="E128" s="13">
        <v>203.0</v>
      </c>
      <c r="F128" s="14">
        <v>0.04</v>
      </c>
      <c r="G128" s="15">
        <v>116.0</v>
      </c>
      <c r="H128" s="15">
        <v>102.0</v>
      </c>
      <c r="I128" s="15">
        <v>110.0</v>
      </c>
      <c r="J128" s="15">
        <v>98.0</v>
      </c>
      <c r="K128" s="15">
        <v>101.0</v>
      </c>
      <c r="L128" s="15">
        <v>102.0</v>
      </c>
      <c r="M128" s="16">
        <v>106.0</v>
      </c>
      <c r="N128" s="16">
        <v>99.0</v>
      </c>
      <c r="O128" s="15">
        <f t="shared" si="1"/>
        <v>101.4202899</v>
      </c>
      <c r="P128" s="15">
        <f t="shared" si="2"/>
        <v>100.7088792</v>
      </c>
      <c r="Q128" s="15">
        <f t="shared" si="3"/>
        <v>101.4604317</v>
      </c>
      <c r="R128" s="15">
        <f t="shared" si="4"/>
        <v>104.2608696</v>
      </c>
    </row>
    <row r="129">
      <c r="A129" s="10">
        <v>676694.0</v>
      </c>
      <c r="B129" s="11" t="s">
        <v>145</v>
      </c>
      <c r="C129" s="12">
        <v>1149.0</v>
      </c>
      <c r="D129" s="10">
        <v>543.0</v>
      </c>
      <c r="E129" s="13">
        <v>235.0</v>
      </c>
      <c r="F129" s="14">
        <v>-0.015</v>
      </c>
      <c r="G129" s="15">
        <v>119.0</v>
      </c>
      <c r="H129" s="15">
        <v>115.0</v>
      </c>
      <c r="I129" s="15">
        <v>103.0</v>
      </c>
      <c r="J129" s="15">
        <v>114.0</v>
      </c>
      <c r="K129" s="15">
        <v>108.0</v>
      </c>
      <c r="L129" s="15">
        <v>95.0</v>
      </c>
      <c r="M129" s="16">
        <v>106.0</v>
      </c>
      <c r="N129" s="16">
        <v>114.0</v>
      </c>
      <c r="O129" s="15">
        <f t="shared" si="1"/>
        <v>111.1265332</v>
      </c>
      <c r="P129" s="15">
        <f t="shared" si="2"/>
        <v>105.846568</v>
      </c>
      <c r="Q129" s="15">
        <f t="shared" si="3"/>
        <v>96.20967742</v>
      </c>
      <c r="R129" s="15">
        <f t="shared" si="4"/>
        <v>104.4506133</v>
      </c>
    </row>
    <row r="130">
      <c r="A130" s="10">
        <v>663697.0</v>
      </c>
      <c r="B130" s="11" t="s">
        <v>146</v>
      </c>
      <c r="C130" s="12">
        <v>1608.0</v>
      </c>
      <c r="D130" s="10">
        <v>666.0</v>
      </c>
      <c r="E130" s="13">
        <v>281.0</v>
      </c>
      <c r="F130" s="14">
        <v>-0.112</v>
      </c>
      <c r="G130" s="15">
        <v>94.0</v>
      </c>
      <c r="H130" s="15">
        <v>118.0</v>
      </c>
      <c r="I130" s="15">
        <v>91.0</v>
      </c>
      <c r="J130" s="15">
        <v>123.0</v>
      </c>
      <c r="K130" s="15">
        <v>113.0</v>
      </c>
      <c r="L130" s="15">
        <v>92.0</v>
      </c>
      <c r="M130" s="16">
        <v>105.0</v>
      </c>
      <c r="N130" s="16">
        <v>106.0</v>
      </c>
      <c r="O130" s="15">
        <f t="shared" si="1"/>
        <v>114.4143426</v>
      </c>
      <c r="P130" s="15">
        <f t="shared" si="2"/>
        <v>109.9976905</v>
      </c>
      <c r="Q130" s="15">
        <f t="shared" si="3"/>
        <v>93.68539326</v>
      </c>
      <c r="R130" s="15">
        <f t="shared" si="4"/>
        <v>104.0039841</v>
      </c>
    </row>
    <row r="131">
      <c r="A131" s="10">
        <v>700932.0</v>
      </c>
      <c r="B131" s="11" t="s">
        <v>147</v>
      </c>
      <c r="C131" s="12">
        <v>1147.0</v>
      </c>
      <c r="D131" s="10">
        <v>542.0</v>
      </c>
      <c r="E131" s="13">
        <v>194.0</v>
      </c>
      <c r="F131" s="14">
        <v>-0.005</v>
      </c>
      <c r="G131" s="15">
        <v>94.0</v>
      </c>
      <c r="H131" s="15">
        <v>101.0</v>
      </c>
      <c r="I131" s="15">
        <v>103.0</v>
      </c>
      <c r="J131" s="15">
        <v>100.0</v>
      </c>
      <c r="K131" s="15">
        <v>90.0</v>
      </c>
      <c r="L131" s="15">
        <v>109.0</v>
      </c>
      <c r="M131" s="16">
        <v>105.0</v>
      </c>
      <c r="N131" s="16">
        <v>105.0</v>
      </c>
      <c r="O131" s="15">
        <f t="shared" si="1"/>
        <v>100.741435</v>
      </c>
      <c r="P131" s="15">
        <f t="shared" si="2"/>
        <v>92.69541779</v>
      </c>
      <c r="Q131" s="15">
        <f t="shared" si="3"/>
        <v>106.4907063</v>
      </c>
      <c r="R131" s="15">
        <f t="shared" si="4"/>
        <v>103.7071752</v>
      </c>
    </row>
    <row r="132">
      <c r="A132" s="10">
        <v>608701.0</v>
      </c>
      <c r="B132" s="11" t="s">
        <v>148</v>
      </c>
      <c r="C132" s="12">
        <v>521.0</v>
      </c>
      <c r="D132" s="10">
        <v>207.0</v>
      </c>
      <c r="E132" s="13">
        <v>75.0</v>
      </c>
      <c r="F132" s="14">
        <v>-0.076</v>
      </c>
      <c r="G132" s="15">
        <v>102.0</v>
      </c>
      <c r="H132" s="15">
        <v>115.0</v>
      </c>
      <c r="I132" s="15">
        <v>88.0</v>
      </c>
      <c r="J132" s="15">
        <v>120.0</v>
      </c>
      <c r="K132" s="15">
        <v>79.0</v>
      </c>
      <c r="L132" s="15">
        <v>109.0</v>
      </c>
      <c r="M132" s="16">
        <v>105.0</v>
      </c>
      <c r="N132" s="16">
        <v>116.0</v>
      </c>
      <c r="O132" s="15">
        <f t="shared" si="1"/>
        <v>108.485342</v>
      </c>
      <c r="P132" s="15">
        <f t="shared" si="2"/>
        <v>89.31941032</v>
      </c>
      <c r="Q132" s="15">
        <f t="shared" si="3"/>
        <v>104.5</v>
      </c>
      <c r="R132" s="15">
        <f t="shared" si="4"/>
        <v>102.8284473</v>
      </c>
    </row>
    <row r="133">
      <c r="A133" s="10">
        <v>641343.0</v>
      </c>
      <c r="B133" s="11" t="s">
        <v>149</v>
      </c>
      <c r="C133" s="12">
        <v>586.0</v>
      </c>
      <c r="D133" s="10">
        <v>253.0</v>
      </c>
      <c r="E133" s="13">
        <v>78.0</v>
      </c>
      <c r="F133" s="14">
        <v>-0.049</v>
      </c>
      <c r="G133" s="15">
        <v>120.0</v>
      </c>
      <c r="H133" s="15">
        <v>112.0</v>
      </c>
      <c r="I133" s="15">
        <v>87.0</v>
      </c>
      <c r="J133" s="15">
        <v>116.0</v>
      </c>
      <c r="K133" s="15">
        <v>76.0</v>
      </c>
      <c r="L133" s="15">
        <v>113.0</v>
      </c>
      <c r="M133" s="16">
        <v>105.0</v>
      </c>
      <c r="N133" s="16">
        <v>93.0</v>
      </c>
      <c r="O133" s="15">
        <f t="shared" si="1"/>
        <v>107.1318458</v>
      </c>
      <c r="P133" s="15">
        <f t="shared" si="2"/>
        <v>86.59602649</v>
      </c>
      <c r="Q133" s="15">
        <f t="shared" si="3"/>
        <v>106.627451</v>
      </c>
      <c r="R133" s="15">
        <f t="shared" si="4"/>
        <v>102.9716024</v>
      </c>
    </row>
    <row r="134">
      <c r="A134" s="10">
        <v>682829.0</v>
      </c>
      <c r="B134" s="11" t="s">
        <v>150</v>
      </c>
      <c r="C134" s="12">
        <v>1540.0</v>
      </c>
      <c r="D134" s="10">
        <v>698.0</v>
      </c>
      <c r="E134" s="13">
        <v>264.0</v>
      </c>
      <c r="F134" s="14">
        <v>-0.023</v>
      </c>
      <c r="G134" s="15">
        <v>91.0</v>
      </c>
      <c r="H134" s="15">
        <v>86.0</v>
      </c>
      <c r="I134" s="15">
        <v>69.0</v>
      </c>
      <c r="J134" s="15">
        <v>97.0</v>
      </c>
      <c r="K134" s="15">
        <v>100.0</v>
      </c>
      <c r="L134" s="15">
        <v>110.0</v>
      </c>
      <c r="M134" s="16">
        <v>105.0</v>
      </c>
      <c r="N134" s="16">
        <v>115.0</v>
      </c>
      <c r="O134" s="15">
        <f t="shared" si="1"/>
        <v>88.88659794</v>
      </c>
      <c r="P134" s="15">
        <f t="shared" si="2"/>
        <v>100</v>
      </c>
      <c r="Q134" s="15">
        <f t="shared" si="3"/>
        <v>107.7876106</v>
      </c>
      <c r="R134" s="15">
        <f t="shared" si="4"/>
        <v>103.9690722</v>
      </c>
    </row>
    <row r="135">
      <c r="A135" s="10">
        <v>686611.0</v>
      </c>
      <c r="B135" s="11" t="s">
        <v>151</v>
      </c>
      <c r="C135" s="12">
        <v>618.0</v>
      </c>
      <c r="D135" s="10">
        <v>289.0</v>
      </c>
      <c r="E135" s="13">
        <v>110.0</v>
      </c>
      <c r="F135" s="14">
        <v>0.001</v>
      </c>
      <c r="G135" s="15">
        <v>98.0</v>
      </c>
      <c r="H135" s="15">
        <v>100.0</v>
      </c>
      <c r="I135" s="15">
        <v>100.0</v>
      </c>
      <c r="J135" s="15">
        <v>100.0</v>
      </c>
      <c r="K135" s="15">
        <v>80.0</v>
      </c>
      <c r="L135" s="15">
        <v>113.0</v>
      </c>
      <c r="M135" s="16">
        <v>105.0</v>
      </c>
      <c r="N135" s="16">
        <v>89.0</v>
      </c>
      <c r="O135" s="15">
        <f t="shared" si="1"/>
        <v>100</v>
      </c>
      <c r="P135" s="15">
        <f t="shared" si="2"/>
        <v>88.1799591</v>
      </c>
      <c r="Q135" s="15">
        <f t="shared" si="3"/>
        <v>107.7297297</v>
      </c>
      <c r="R135" s="15">
        <f t="shared" si="4"/>
        <v>103.0353635</v>
      </c>
    </row>
    <row r="136">
      <c r="A136" s="10">
        <v>543760.0</v>
      </c>
      <c r="B136" s="11" t="s">
        <v>152</v>
      </c>
      <c r="C136" s="12">
        <v>1557.0</v>
      </c>
      <c r="D136" s="10">
        <v>761.0</v>
      </c>
      <c r="E136" s="13">
        <v>280.0</v>
      </c>
      <c r="F136" s="14">
        <v>0.01</v>
      </c>
      <c r="G136" s="15">
        <v>131.0</v>
      </c>
      <c r="H136" s="15">
        <v>118.0</v>
      </c>
      <c r="I136" s="15">
        <v>126.0</v>
      </c>
      <c r="J136" s="15">
        <v>107.0</v>
      </c>
      <c r="K136" s="15">
        <v>98.0</v>
      </c>
      <c r="L136" s="15">
        <v>98.0</v>
      </c>
      <c r="M136" s="16">
        <v>105.0</v>
      </c>
      <c r="N136" s="16">
        <v>100.0</v>
      </c>
      <c r="O136" s="15">
        <f t="shared" si="1"/>
        <v>114.3208993</v>
      </c>
      <c r="P136" s="15">
        <f t="shared" si="2"/>
        <v>98.41623309</v>
      </c>
      <c r="Q136" s="15">
        <f t="shared" si="3"/>
        <v>98.42253521</v>
      </c>
      <c r="R136" s="15">
        <f t="shared" si="4"/>
        <v>103.9780276</v>
      </c>
    </row>
    <row r="137">
      <c r="A137" s="10">
        <v>691718.0</v>
      </c>
      <c r="B137" s="11" t="s">
        <v>153</v>
      </c>
      <c r="C137" s="12">
        <v>1415.0</v>
      </c>
      <c r="D137" s="10">
        <v>878.0</v>
      </c>
      <c r="E137" s="13">
        <v>287.0</v>
      </c>
      <c r="F137" s="14">
        <v>0.184</v>
      </c>
      <c r="G137" s="15">
        <v>94.0</v>
      </c>
      <c r="H137" s="15">
        <v>66.0</v>
      </c>
      <c r="I137" s="15">
        <v>131.0</v>
      </c>
      <c r="J137" s="15">
        <v>59.0</v>
      </c>
      <c r="K137" s="15">
        <v>94.0</v>
      </c>
      <c r="L137" s="15">
        <v>118.0</v>
      </c>
      <c r="M137" s="16">
        <v>105.0</v>
      </c>
      <c r="N137" s="16">
        <v>111.0</v>
      </c>
      <c r="O137" s="15">
        <f t="shared" si="1"/>
        <v>73.49311295</v>
      </c>
      <c r="P137" s="15">
        <f t="shared" si="2"/>
        <v>95.11317254</v>
      </c>
      <c r="Q137" s="15">
        <f t="shared" si="3"/>
        <v>114.2707182</v>
      </c>
      <c r="R137" s="15">
        <f t="shared" si="4"/>
        <v>103.8980716</v>
      </c>
    </row>
    <row r="138">
      <c r="A138" s="10">
        <v>668904.0</v>
      </c>
      <c r="B138" s="11" t="s">
        <v>154</v>
      </c>
      <c r="C138" s="12">
        <v>576.0</v>
      </c>
      <c r="D138" s="10">
        <v>286.0</v>
      </c>
      <c r="E138" s="13">
        <v>118.0</v>
      </c>
      <c r="F138" s="14">
        <v>0.019</v>
      </c>
      <c r="G138" s="15">
        <v>115.0</v>
      </c>
      <c r="H138" s="15">
        <v>106.0</v>
      </c>
      <c r="I138" s="15">
        <v>115.0</v>
      </c>
      <c r="J138" s="15">
        <v>100.0</v>
      </c>
      <c r="K138" s="15">
        <v>116.0</v>
      </c>
      <c r="L138" s="15">
        <v>94.0</v>
      </c>
      <c r="M138" s="16">
        <v>105.0</v>
      </c>
      <c r="N138" s="16">
        <v>80.0</v>
      </c>
      <c r="O138" s="15">
        <f t="shared" si="1"/>
        <v>103.5409836</v>
      </c>
      <c r="P138" s="15">
        <f t="shared" si="2"/>
        <v>109.4156379</v>
      </c>
      <c r="Q138" s="15">
        <f t="shared" si="3"/>
        <v>96.33160622</v>
      </c>
      <c r="R138" s="15">
        <f t="shared" si="4"/>
        <v>102.9508197</v>
      </c>
    </row>
    <row r="139">
      <c r="A139" s="10">
        <v>661388.0</v>
      </c>
      <c r="B139" s="11" t="s">
        <v>155</v>
      </c>
      <c r="C139" s="12">
        <v>1484.0</v>
      </c>
      <c r="D139" s="10">
        <v>678.0</v>
      </c>
      <c r="E139" s="13">
        <v>260.0</v>
      </c>
      <c r="F139" s="14">
        <v>-0.03</v>
      </c>
      <c r="G139" s="15">
        <v>112.0</v>
      </c>
      <c r="H139" s="15">
        <v>123.0</v>
      </c>
      <c r="I139" s="15">
        <v>115.0</v>
      </c>
      <c r="J139" s="15">
        <v>116.0</v>
      </c>
      <c r="K139" s="15">
        <v>102.0</v>
      </c>
      <c r="L139" s="15">
        <v>93.0</v>
      </c>
      <c r="M139" s="16">
        <v>105.0</v>
      </c>
      <c r="N139" s="16">
        <v>103.0</v>
      </c>
      <c r="O139" s="15">
        <f t="shared" si="1"/>
        <v>118.1167728</v>
      </c>
      <c r="P139" s="15">
        <f t="shared" si="2"/>
        <v>101.5444191</v>
      </c>
      <c r="Q139" s="15">
        <f t="shared" si="3"/>
        <v>94.56716418</v>
      </c>
      <c r="R139" s="15">
        <f t="shared" si="4"/>
        <v>103.9384289</v>
      </c>
    </row>
    <row r="140">
      <c r="A140" s="10">
        <v>695734.0</v>
      </c>
      <c r="B140" s="11" t="s">
        <v>156</v>
      </c>
      <c r="C140" s="12">
        <v>436.0</v>
      </c>
      <c r="D140" s="10">
        <v>211.0</v>
      </c>
      <c r="E140" s="13">
        <v>94.0</v>
      </c>
      <c r="F140" s="14">
        <v>0.016</v>
      </c>
      <c r="G140" s="15">
        <v>121.0</v>
      </c>
      <c r="H140" s="15">
        <v>103.0</v>
      </c>
      <c r="I140" s="15">
        <v>108.0</v>
      </c>
      <c r="J140" s="15">
        <v>100.0</v>
      </c>
      <c r="K140" s="15">
        <v>113.0</v>
      </c>
      <c r="L140" s="15">
        <v>96.0</v>
      </c>
      <c r="M140" s="16">
        <v>105.0</v>
      </c>
      <c r="N140" s="16">
        <v>85.0</v>
      </c>
      <c r="O140" s="15">
        <f t="shared" si="1"/>
        <v>101.5645933</v>
      </c>
      <c r="P140" s="15">
        <f t="shared" si="2"/>
        <v>106.6739659</v>
      </c>
      <c r="Q140" s="15">
        <f t="shared" si="3"/>
        <v>97.77514793</v>
      </c>
      <c r="R140" s="15">
        <f t="shared" si="4"/>
        <v>102.6076555</v>
      </c>
    </row>
    <row r="141">
      <c r="A141" s="10">
        <v>665161.0</v>
      </c>
      <c r="B141" s="11" t="s">
        <v>157</v>
      </c>
      <c r="C141" s="12">
        <v>1180.0</v>
      </c>
      <c r="D141" s="10">
        <v>590.0</v>
      </c>
      <c r="E141" s="13">
        <v>265.0</v>
      </c>
      <c r="F141" s="14">
        <v>0.041</v>
      </c>
      <c r="G141" s="15">
        <v>86.0</v>
      </c>
      <c r="H141" s="15">
        <v>88.0</v>
      </c>
      <c r="I141" s="15">
        <v>104.0</v>
      </c>
      <c r="J141" s="15">
        <v>87.0</v>
      </c>
      <c r="K141" s="15">
        <v>117.0</v>
      </c>
      <c r="L141" s="15">
        <v>99.0</v>
      </c>
      <c r="M141" s="16">
        <v>105.0</v>
      </c>
      <c r="N141" s="16">
        <v>123.0</v>
      </c>
      <c r="O141" s="15">
        <f t="shared" si="1"/>
        <v>91.03797468</v>
      </c>
      <c r="P141" s="15">
        <f t="shared" si="2"/>
        <v>112.6962025</v>
      </c>
      <c r="Q141" s="15">
        <f t="shared" si="3"/>
        <v>99.22058824</v>
      </c>
      <c r="R141" s="15">
        <f t="shared" si="4"/>
        <v>103.7341772</v>
      </c>
    </row>
    <row r="142">
      <c r="A142" s="10">
        <v>656555.0</v>
      </c>
      <c r="B142" s="11" t="s">
        <v>158</v>
      </c>
      <c r="C142" s="12">
        <v>1370.0</v>
      </c>
      <c r="D142" s="10">
        <v>556.0</v>
      </c>
      <c r="E142" s="13">
        <v>187.0</v>
      </c>
      <c r="F142" s="14">
        <v>-0.098</v>
      </c>
      <c r="G142" s="15">
        <v>104.0</v>
      </c>
      <c r="H142" s="15">
        <v>122.0</v>
      </c>
      <c r="I142" s="15">
        <v>92.0</v>
      </c>
      <c r="J142" s="15">
        <v>125.0</v>
      </c>
      <c r="K142" s="15">
        <v>81.0</v>
      </c>
      <c r="L142" s="15">
        <v>103.0</v>
      </c>
      <c r="M142" s="16">
        <v>104.0</v>
      </c>
      <c r="N142" s="16">
        <v>112.0</v>
      </c>
      <c r="O142" s="15">
        <f t="shared" si="1"/>
        <v>117.0282486</v>
      </c>
      <c r="P142" s="15">
        <f t="shared" si="2"/>
        <v>86.02645503</v>
      </c>
      <c r="Q142" s="15">
        <f t="shared" si="3"/>
        <v>102.1412214</v>
      </c>
      <c r="R142" s="15">
        <f t="shared" si="4"/>
        <v>103.0960452</v>
      </c>
    </row>
    <row r="143">
      <c r="A143" s="10">
        <v>681393.0</v>
      </c>
      <c r="B143" s="11" t="s">
        <v>159</v>
      </c>
      <c r="C143" s="12">
        <v>995.0</v>
      </c>
      <c r="D143" s="10">
        <v>549.0</v>
      </c>
      <c r="E143" s="13">
        <v>181.0</v>
      </c>
      <c r="F143" s="14">
        <v>0.057</v>
      </c>
      <c r="G143" s="15">
        <v>117.0</v>
      </c>
      <c r="H143" s="15">
        <v>103.0</v>
      </c>
      <c r="I143" s="15">
        <v>124.0</v>
      </c>
      <c r="J143" s="15">
        <v>94.0</v>
      </c>
      <c r="K143" s="15">
        <v>88.0</v>
      </c>
      <c r="L143" s="15">
        <v>108.0</v>
      </c>
      <c r="M143" s="16">
        <v>104.0</v>
      </c>
      <c r="N143" s="16">
        <v>95.0</v>
      </c>
      <c r="O143" s="15">
        <f t="shared" si="1"/>
        <v>102.1397849</v>
      </c>
      <c r="P143" s="15">
        <f t="shared" si="2"/>
        <v>91.20427236</v>
      </c>
      <c r="Q143" s="15">
        <f t="shared" si="3"/>
        <v>105.65625</v>
      </c>
      <c r="R143" s="15">
        <f t="shared" si="4"/>
        <v>102.8530466</v>
      </c>
    </row>
    <row r="144">
      <c r="A144" s="10">
        <v>687597.0</v>
      </c>
      <c r="B144" s="11" t="s">
        <v>160</v>
      </c>
      <c r="C144" s="12">
        <v>1341.0</v>
      </c>
      <c r="D144" s="10">
        <v>644.0</v>
      </c>
      <c r="E144" s="13">
        <v>218.0</v>
      </c>
      <c r="F144" s="14">
        <v>-0.022</v>
      </c>
      <c r="G144" s="15">
        <v>100.0</v>
      </c>
      <c r="H144" s="15">
        <v>97.0</v>
      </c>
      <c r="I144" s="15">
        <v>95.0</v>
      </c>
      <c r="J144" s="15">
        <v>99.0</v>
      </c>
      <c r="K144" s="15">
        <v>90.0</v>
      </c>
      <c r="L144" s="15">
        <v>110.0</v>
      </c>
      <c r="M144" s="16">
        <v>104.0</v>
      </c>
      <c r="N144" s="16">
        <v>106.0</v>
      </c>
      <c r="O144" s="15">
        <f t="shared" si="1"/>
        <v>97.68925905</v>
      </c>
      <c r="P144" s="15">
        <f t="shared" si="2"/>
        <v>92.36966825</v>
      </c>
      <c r="Q144" s="15">
        <f t="shared" si="3"/>
        <v>107.440273</v>
      </c>
      <c r="R144" s="15">
        <f t="shared" si="4"/>
        <v>103.0809879</v>
      </c>
    </row>
    <row r="145">
      <c r="A145" s="10">
        <v>694671.0</v>
      </c>
      <c r="B145" s="11" t="s">
        <v>161</v>
      </c>
      <c r="C145" s="12">
        <v>1312.0</v>
      </c>
      <c r="D145" s="10">
        <v>592.0</v>
      </c>
      <c r="E145" s="13">
        <v>209.0</v>
      </c>
      <c r="F145" s="14">
        <v>-0.03</v>
      </c>
      <c r="G145" s="15">
        <v>102.0</v>
      </c>
      <c r="H145" s="15">
        <v>101.0</v>
      </c>
      <c r="I145" s="15">
        <v>88.0</v>
      </c>
      <c r="J145" s="15">
        <v>105.0</v>
      </c>
      <c r="K145" s="15">
        <v>95.0</v>
      </c>
      <c r="L145" s="15">
        <v>106.0</v>
      </c>
      <c r="M145" s="16">
        <v>104.0</v>
      </c>
      <c r="N145" s="16">
        <v>104.0</v>
      </c>
      <c r="O145" s="15">
        <f t="shared" si="1"/>
        <v>100.7663551</v>
      </c>
      <c r="P145" s="15">
        <f t="shared" si="2"/>
        <v>96.26262626</v>
      </c>
      <c r="Q145" s="15">
        <f t="shared" si="3"/>
        <v>104.415493</v>
      </c>
      <c r="R145" s="15">
        <f t="shared" si="4"/>
        <v>103.0654206</v>
      </c>
    </row>
    <row r="146">
      <c r="A146" s="10">
        <v>669016.0</v>
      </c>
      <c r="B146" s="11" t="s">
        <v>162</v>
      </c>
      <c r="C146" s="12">
        <v>896.0</v>
      </c>
      <c r="D146" s="10">
        <v>424.0</v>
      </c>
      <c r="E146" s="13">
        <v>147.0</v>
      </c>
      <c r="F146" s="14">
        <v>-0.011</v>
      </c>
      <c r="G146" s="15">
        <v>104.0</v>
      </c>
      <c r="H146" s="15">
        <v>98.0</v>
      </c>
      <c r="I146" s="15">
        <v>79.0</v>
      </c>
      <c r="J146" s="15">
        <v>105.0</v>
      </c>
      <c r="K146" s="15">
        <v>98.0</v>
      </c>
      <c r="L146" s="15">
        <v>105.0</v>
      </c>
      <c r="M146" s="16">
        <v>104.0</v>
      </c>
      <c r="N146" s="16">
        <v>100.0</v>
      </c>
      <c r="O146" s="15">
        <f t="shared" si="1"/>
        <v>98.61728395</v>
      </c>
      <c r="P146" s="15">
        <f t="shared" si="2"/>
        <v>98.64102564</v>
      </c>
      <c r="Q146" s="15">
        <f t="shared" si="3"/>
        <v>103.3108108</v>
      </c>
      <c r="R146" s="15">
        <f t="shared" si="4"/>
        <v>102.7654321</v>
      </c>
    </row>
    <row r="147">
      <c r="A147" s="10">
        <v>678246.0</v>
      </c>
      <c r="B147" s="11" t="s">
        <v>163</v>
      </c>
      <c r="C147" s="12">
        <v>1578.0</v>
      </c>
      <c r="D147" s="10">
        <v>747.0</v>
      </c>
      <c r="E147" s="13">
        <v>274.0</v>
      </c>
      <c r="F147" s="14">
        <v>-0.028</v>
      </c>
      <c r="G147" s="15">
        <v>128.0</v>
      </c>
      <c r="H147" s="15">
        <v>129.0</v>
      </c>
      <c r="I147" s="15">
        <v>119.0</v>
      </c>
      <c r="J147" s="15">
        <v>122.0</v>
      </c>
      <c r="K147" s="15">
        <v>103.0</v>
      </c>
      <c r="L147" s="15">
        <v>89.0</v>
      </c>
      <c r="M147" s="16">
        <v>104.0</v>
      </c>
      <c r="N147" s="16">
        <v>100.0</v>
      </c>
      <c r="O147" s="15">
        <f t="shared" si="1"/>
        <v>123.1354904</v>
      </c>
      <c r="P147" s="15">
        <f t="shared" si="2"/>
        <v>102.3664203</v>
      </c>
      <c r="Q147" s="15">
        <f t="shared" si="3"/>
        <v>91.36389685</v>
      </c>
      <c r="R147" s="15">
        <f t="shared" si="4"/>
        <v>103.1911021</v>
      </c>
    </row>
    <row r="148">
      <c r="A148" s="10">
        <v>668930.0</v>
      </c>
      <c r="B148" s="11" t="s">
        <v>164</v>
      </c>
      <c r="C148" s="12">
        <v>1577.0</v>
      </c>
      <c r="D148" s="10">
        <v>733.0</v>
      </c>
      <c r="E148" s="13">
        <v>267.0</v>
      </c>
      <c r="F148" s="14">
        <v>-0.036</v>
      </c>
      <c r="G148" s="15">
        <v>98.0</v>
      </c>
      <c r="H148" s="15">
        <v>108.0</v>
      </c>
      <c r="I148" s="15">
        <v>101.0</v>
      </c>
      <c r="J148" s="15">
        <v>108.0</v>
      </c>
      <c r="K148" s="15">
        <v>96.0</v>
      </c>
      <c r="L148" s="15">
        <v>101.0</v>
      </c>
      <c r="M148" s="16">
        <v>104.0</v>
      </c>
      <c r="N148" s="16">
        <v>104.0</v>
      </c>
      <c r="O148" s="15">
        <f t="shared" si="1"/>
        <v>106.3813859</v>
      </c>
      <c r="P148" s="15">
        <f t="shared" si="2"/>
        <v>96.85744909</v>
      </c>
      <c r="Q148" s="15">
        <f t="shared" si="3"/>
        <v>100.7807018</v>
      </c>
      <c r="R148" s="15">
        <f t="shared" si="4"/>
        <v>103.190693</v>
      </c>
    </row>
    <row r="149">
      <c r="A149" s="10">
        <v>605137.0</v>
      </c>
      <c r="B149" s="11" t="s">
        <v>165</v>
      </c>
      <c r="C149" s="12">
        <v>1243.0</v>
      </c>
      <c r="D149" s="10">
        <v>579.0</v>
      </c>
      <c r="E149" s="13">
        <v>231.0</v>
      </c>
      <c r="F149" s="14">
        <v>0.003</v>
      </c>
      <c r="G149" s="15">
        <v>107.0</v>
      </c>
      <c r="H149" s="15">
        <v>104.0</v>
      </c>
      <c r="I149" s="15">
        <v>102.0</v>
      </c>
      <c r="J149" s="15">
        <v>103.0</v>
      </c>
      <c r="K149" s="15">
        <v>107.0</v>
      </c>
      <c r="L149" s="15">
        <v>98.0</v>
      </c>
      <c r="M149" s="16">
        <v>104.0</v>
      </c>
      <c r="N149" s="16">
        <v>88.0</v>
      </c>
      <c r="O149" s="15">
        <f t="shared" si="1"/>
        <v>103.0261716</v>
      </c>
      <c r="P149" s="15">
        <f t="shared" si="2"/>
        <v>105.2028241</v>
      </c>
      <c r="Q149" s="15">
        <f t="shared" si="3"/>
        <v>98.49019608</v>
      </c>
      <c r="R149" s="15">
        <f t="shared" si="4"/>
        <v>103.0261716</v>
      </c>
    </row>
    <row r="150">
      <c r="A150" s="10">
        <v>592206.0</v>
      </c>
      <c r="B150" s="11" t="s">
        <v>166</v>
      </c>
      <c r="C150" s="12">
        <v>1417.0</v>
      </c>
      <c r="D150" s="10">
        <v>821.0</v>
      </c>
      <c r="E150" s="13">
        <v>286.0</v>
      </c>
      <c r="F150" s="14">
        <v>0.099</v>
      </c>
      <c r="G150" s="15">
        <v>98.0</v>
      </c>
      <c r="H150" s="15">
        <v>76.0</v>
      </c>
      <c r="I150" s="15">
        <v>108.0</v>
      </c>
      <c r="J150" s="15">
        <v>76.0</v>
      </c>
      <c r="K150" s="15">
        <v>104.0</v>
      </c>
      <c r="L150" s="15">
        <v>108.0</v>
      </c>
      <c r="M150" s="16">
        <v>104.0</v>
      </c>
      <c r="N150" s="16">
        <v>101.0</v>
      </c>
      <c r="O150" s="15">
        <f t="shared" si="1"/>
        <v>81.28343423</v>
      </c>
      <c r="P150" s="15">
        <f t="shared" si="2"/>
        <v>103.2164545</v>
      </c>
      <c r="Q150" s="15">
        <f t="shared" si="3"/>
        <v>106.3379501</v>
      </c>
      <c r="R150" s="15">
        <f t="shared" si="4"/>
        <v>103.1194276</v>
      </c>
    </row>
    <row r="151">
      <c r="A151" s="10">
        <v>596019.0</v>
      </c>
      <c r="B151" s="11" t="s">
        <v>167</v>
      </c>
      <c r="C151" s="12">
        <v>1733.0</v>
      </c>
      <c r="D151" s="10">
        <v>846.0</v>
      </c>
      <c r="E151" s="13">
        <v>311.0</v>
      </c>
      <c r="F151" s="14">
        <v>0.012</v>
      </c>
      <c r="G151" s="15">
        <v>96.0</v>
      </c>
      <c r="H151" s="15">
        <v>95.0</v>
      </c>
      <c r="I151" s="15">
        <v>112.0</v>
      </c>
      <c r="J151" s="15">
        <v>91.0</v>
      </c>
      <c r="K151" s="15">
        <v>106.0</v>
      </c>
      <c r="L151" s="15">
        <v>101.0</v>
      </c>
      <c r="M151" s="16">
        <v>104.0</v>
      </c>
      <c r="N151" s="16">
        <v>106.0</v>
      </c>
      <c r="O151" s="15">
        <f t="shared" si="1"/>
        <v>95.93764651</v>
      </c>
      <c r="P151" s="15">
        <f t="shared" si="2"/>
        <v>104.8527725</v>
      </c>
      <c r="Q151" s="15">
        <f t="shared" si="3"/>
        <v>100.8056995</v>
      </c>
      <c r="R151" s="15">
        <f t="shared" si="4"/>
        <v>103.2498828</v>
      </c>
    </row>
    <row r="152">
      <c r="A152" s="10">
        <v>673962.0</v>
      </c>
      <c r="B152" s="11" t="s">
        <v>168</v>
      </c>
      <c r="C152" s="12">
        <v>1085.0</v>
      </c>
      <c r="D152" s="10">
        <v>564.0</v>
      </c>
      <c r="E152" s="13">
        <v>206.0</v>
      </c>
      <c r="F152" s="14">
        <v>0.031</v>
      </c>
      <c r="G152" s="15">
        <v>87.0</v>
      </c>
      <c r="H152" s="15">
        <v>86.0</v>
      </c>
      <c r="I152" s="15">
        <v>98.0</v>
      </c>
      <c r="J152" s="15">
        <v>88.0</v>
      </c>
      <c r="K152" s="15">
        <v>101.0</v>
      </c>
      <c r="L152" s="15">
        <v>107.0</v>
      </c>
      <c r="M152" s="16">
        <v>103.0</v>
      </c>
      <c r="N152" s="16">
        <v>92.0</v>
      </c>
      <c r="O152" s="15">
        <f t="shared" si="1"/>
        <v>89.77104377</v>
      </c>
      <c r="P152" s="15">
        <f t="shared" si="2"/>
        <v>100.7382199</v>
      </c>
      <c r="Q152" s="15">
        <f t="shared" si="3"/>
        <v>105.1316726</v>
      </c>
      <c r="R152" s="15">
        <f t="shared" si="4"/>
        <v>102.1919192</v>
      </c>
    </row>
    <row r="153">
      <c r="A153" s="10">
        <v>669477.0</v>
      </c>
      <c r="B153" s="11" t="s">
        <v>169</v>
      </c>
      <c r="C153" s="12">
        <v>488.0</v>
      </c>
      <c r="D153" s="10">
        <v>236.0</v>
      </c>
      <c r="E153" s="13">
        <v>86.0</v>
      </c>
      <c r="F153" s="14">
        <v>-0.003</v>
      </c>
      <c r="G153" s="15">
        <v>107.0</v>
      </c>
      <c r="H153" s="15">
        <v>104.0</v>
      </c>
      <c r="I153" s="15">
        <v>113.0</v>
      </c>
      <c r="J153" s="15">
        <v>99.0</v>
      </c>
      <c r="K153" s="15">
        <v>88.0</v>
      </c>
      <c r="L153" s="15">
        <v>106.0</v>
      </c>
      <c r="M153" s="16">
        <v>103.0</v>
      </c>
      <c r="N153" s="16">
        <v>103.0</v>
      </c>
      <c r="O153" s="15">
        <f t="shared" si="1"/>
        <v>102.1981982</v>
      </c>
      <c r="P153" s="15">
        <f t="shared" si="2"/>
        <v>93.50458716</v>
      </c>
      <c r="Q153" s="15">
        <f t="shared" si="3"/>
        <v>103.2049689</v>
      </c>
      <c r="R153" s="15">
        <f t="shared" si="4"/>
        <v>101.6486486</v>
      </c>
    </row>
    <row r="154">
      <c r="A154" s="10">
        <v>671213.0</v>
      </c>
      <c r="B154" s="11" t="s">
        <v>170</v>
      </c>
      <c r="C154" s="12">
        <v>437.0</v>
      </c>
      <c r="D154" s="10">
        <v>212.0</v>
      </c>
      <c r="E154" s="13">
        <v>72.0</v>
      </c>
      <c r="F154" s="14">
        <v>-0.014</v>
      </c>
      <c r="G154" s="15">
        <v>122.0</v>
      </c>
      <c r="H154" s="15">
        <v>113.0</v>
      </c>
      <c r="I154" s="15">
        <v>98.0</v>
      </c>
      <c r="J154" s="15">
        <v>112.0</v>
      </c>
      <c r="K154" s="15">
        <v>89.0</v>
      </c>
      <c r="L154" s="15">
        <v>103.0</v>
      </c>
      <c r="M154" s="16">
        <v>103.0</v>
      </c>
      <c r="N154" s="16">
        <v>81.0</v>
      </c>
      <c r="O154" s="15">
        <f t="shared" si="1"/>
        <v>106.7873357</v>
      </c>
      <c r="P154" s="15">
        <f t="shared" si="2"/>
        <v>94.33980583</v>
      </c>
      <c r="Q154" s="15">
        <f t="shared" si="3"/>
        <v>101.4693878</v>
      </c>
      <c r="R154" s="15">
        <f t="shared" si="4"/>
        <v>101.5663082</v>
      </c>
    </row>
    <row r="155">
      <c r="A155" s="10">
        <v>608070.0</v>
      </c>
      <c r="B155" s="11" t="s">
        <v>171</v>
      </c>
      <c r="C155" s="12">
        <v>1519.0</v>
      </c>
      <c r="D155" s="10">
        <v>715.0</v>
      </c>
      <c r="E155" s="13">
        <v>306.0</v>
      </c>
      <c r="F155" s="14">
        <v>0.008</v>
      </c>
      <c r="G155" s="15">
        <v>99.0</v>
      </c>
      <c r="H155" s="15">
        <v>97.0</v>
      </c>
      <c r="I155" s="15">
        <v>116.0</v>
      </c>
      <c r="J155" s="15">
        <v>92.0</v>
      </c>
      <c r="K155" s="15">
        <v>115.0</v>
      </c>
      <c r="L155" s="15">
        <v>96.0</v>
      </c>
      <c r="M155" s="16">
        <v>103.0</v>
      </c>
      <c r="N155" s="16">
        <v>117.0</v>
      </c>
      <c r="O155" s="15">
        <f t="shared" si="1"/>
        <v>97.62532569</v>
      </c>
      <c r="P155" s="15">
        <f t="shared" si="2"/>
        <v>111.7213115</v>
      </c>
      <c r="Q155" s="15">
        <f t="shared" si="3"/>
        <v>96.78740157</v>
      </c>
      <c r="R155" s="15">
        <f t="shared" si="4"/>
        <v>102.3746743</v>
      </c>
    </row>
    <row r="156">
      <c r="A156" s="10">
        <v>694384.0</v>
      </c>
      <c r="B156" s="11" t="s">
        <v>172</v>
      </c>
      <c r="C156" s="12">
        <v>1506.0</v>
      </c>
      <c r="D156" s="10">
        <v>665.0</v>
      </c>
      <c r="E156" s="13">
        <v>298.0</v>
      </c>
      <c r="F156" s="14">
        <v>-0.028</v>
      </c>
      <c r="G156" s="15">
        <v>99.0</v>
      </c>
      <c r="H156" s="15">
        <v>104.0</v>
      </c>
      <c r="I156" s="15">
        <v>99.0</v>
      </c>
      <c r="J156" s="15">
        <v>104.0</v>
      </c>
      <c r="K156" s="15">
        <v>126.0</v>
      </c>
      <c r="L156" s="15">
        <v>90.0</v>
      </c>
      <c r="M156" s="16">
        <v>103.0</v>
      </c>
      <c r="N156" s="16">
        <v>108.0</v>
      </c>
      <c r="O156" s="15">
        <f t="shared" si="1"/>
        <v>103.1605456</v>
      </c>
      <c r="P156" s="15">
        <f t="shared" si="2"/>
        <v>119.9884393</v>
      </c>
      <c r="Q156" s="15">
        <f t="shared" si="3"/>
        <v>92.01072386</v>
      </c>
      <c r="R156" s="15">
        <f t="shared" si="4"/>
        <v>102.3704092</v>
      </c>
    </row>
    <row r="157">
      <c r="A157" s="10">
        <v>683002.0</v>
      </c>
      <c r="B157" s="11" t="s">
        <v>173</v>
      </c>
      <c r="C157" s="12">
        <v>1401.0</v>
      </c>
      <c r="D157" s="10">
        <v>666.0</v>
      </c>
      <c r="E157" s="13">
        <v>244.0</v>
      </c>
      <c r="F157" s="14">
        <v>-0.007</v>
      </c>
      <c r="G157" s="15">
        <v>94.0</v>
      </c>
      <c r="H157" s="15">
        <v>97.0</v>
      </c>
      <c r="I157" s="15">
        <v>101.0</v>
      </c>
      <c r="J157" s="15">
        <v>96.0</v>
      </c>
      <c r="K157" s="15">
        <v>102.0</v>
      </c>
      <c r="L157" s="15">
        <v>103.0</v>
      </c>
      <c r="M157" s="16">
        <v>103.0</v>
      </c>
      <c r="N157" s="16">
        <v>114.0</v>
      </c>
      <c r="O157" s="15">
        <f t="shared" si="1"/>
        <v>97.6662965</v>
      </c>
      <c r="P157" s="15">
        <f t="shared" si="2"/>
        <v>101.5381062</v>
      </c>
      <c r="Q157" s="15">
        <f t="shared" si="3"/>
        <v>102.2946708</v>
      </c>
      <c r="R157" s="15">
        <f t="shared" si="4"/>
        <v>102.3337035</v>
      </c>
    </row>
    <row r="158">
      <c r="A158" s="10">
        <v>669357.0</v>
      </c>
      <c r="B158" s="11" t="s">
        <v>174</v>
      </c>
      <c r="C158" s="12">
        <v>881.0</v>
      </c>
      <c r="D158" s="10">
        <v>418.0</v>
      </c>
      <c r="E158" s="13">
        <v>130.0</v>
      </c>
      <c r="F158" s="14">
        <v>0.007</v>
      </c>
      <c r="G158" s="15">
        <v>109.0</v>
      </c>
      <c r="H158" s="15">
        <v>94.0</v>
      </c>
      <c r="I158" s="15">
        <v>100.0</v>
      </c>
      <c r="J158" s="15">
        <v>94.0</v>
      </c>
      <c r="K158" s="15">
        <v>76.0</v>
      </c>
      <c r="L158" s="15">
        <v>119.0</v>
      </c>
      <c r="M158" s="16">
        <v>103.0</v>
      </c>
      <c r="N158" s="16">
        <v>96.0</v>
      </c>
      <c r="O158" s="15">
        <f t="shared" si="1"/>
        <v>95.8735363</v>
      </c>
      <c r="P158" s="15">
        <f t="shared" si="2"/>
        <v>83.76699029</v>
      </c>
      <c r="Q158" s="15">
        <f t="shared" si="3"/>
        <v>112.0487805</v>
      </c>
      <c r="R158" s="15">
        <f t="shared" si="4"/>
        <v>102.0632319</v>
      </c>
    </row>
    <row r="159">
      <c r="A159" s="10">
        <v>605170.0</v>
      </c>
      <c r="B159" s="11" t="s">
        <v>175</v>
      </c>
      <c r="C159" s="12">
        <v>853.0</v>
      </c>
      <c r="D159" s="10">
        <v>418.0</v>
      </c>
      <c r="E159" s="13">
        <v>178.0</v>
      </c>
      <c r="F159" s="14">
        <v>-0.006</v>
      </c>
      <c r="G159" s="15">
        <v>122.0</v>
      </c>
      <c r="H159" s="15">
        <v>104.0</v>
      </c>
      <c r="I159" s="15">
        <v>92.0</v>
      </c>
      <c r="J159" s="15">
        <v>107.0</v>
      </c>
      <c r="K159" s="15">
        <v>107.0</v>
      </c>
      <c r="L159" s="15">
        <v>97.0</v>
      </c>
      <c r="M159" s="16">
        <v>103.0</v>
      </c>
      <c r="N159" s="16">
        <v>103.0</v>
      </c>
      <c r="O159" s="15">
        <f t="shared" si="1"/>
        <v>102.7230646</v>
      </c>
      <c r="P159" s="15">
        <f t="shared" si="2"/>
        <v>104.7346278</v>
      </c>
      <c r="Q159" s="15">
        <f t="shared" si="3"/>
        <v>97.88932806</v>
      </c>
      <c r="R159" s="15">
        <f t="shared" si="4"/>
        <v>102.0422985</v>
      </c>
    </row>
    <row r="160">
      <c r="A160" s="10">
        <v>669127.0</v>
      </c>
      <c r="B160" s="11" t="s">
        <v>176</v>
      </c>
      <c r="C160" s="12">
        <v>1016.0</v>
      </c>
      <c r="D160" s="10">
        <v>494.0</v>
      </c>
      <c r="E160" s="13">
        <v>194.0</v>
      </c>
      <c r="F160" s="14">
        <v>0.022</v>
      </c>
      <c r="G160" s="15">
        <v>104.0</v>
      </c>
      <c r="H160" s="15">
        <v>89.0</v>
      </c>
      <c r="I160" s="15">
        <v>96.0</v>
      </c>
      <c r="J160" s="15">
        <v>91.0</v>
      </c>
      <c r="K160" s="15">
        <v>111.0</v>
      </c>
      <c r="L160" s="15">
        <v>100.0</v>
      </c>
      <c r="M160" s="16">
        <v>103.0</v>
      </c>
      <c r="N160" s="16">
        <v>98.0</v>
      </c>
      <c r="O160" s="15">
        <f t="shared" si="1"/>
        <v>92.10734463</v>
      </c>
      <c r="P160" s="15">
        <f t="shared" si="2"/>
        <v>107.8299712</v>
      </c>
      <c r="Q160" s="15">
        <f t="shared" si="3"/>
        <v>100</v>
      </c>
      <c r="R160" s="15">
        <f t="shared" si="4"/>
        <v>102.1525424</v>
      </c>
    </row>
    <row r="161">
      <c r="A161" s="10">
        <v>647304.0</v>
      </c>
      <c r="B161" s="11" t="s">
        <v>177</v>
      </c>
      <c r="C161" s="12">
        <v>1196.0</v>
      </c>
      <c r="D161" s="10">
        <v>642.0</v>
      </c>
      <c r="E161" s="13">
        <v>285.0</v>
      </c>
      <c r="F161" s="14">
        <v>0.095</v>
      </c>
      <c r="G161" s="15">
        <v>101.0</v>
      </c>
      <c r="H161" s="15">
        <v>82.0</v>
      </c>
      <c r="I161" s="15">
        <v>112.0</v>
      </c>
      <c r="J161" s="15">
        <v>78.0</v>
      </c>
      <c r="K161" s="15">
        <v>118.0</v>
      </c>
      <c r="L161" s="15">
        <v>99.0</v>
      </c>
      <c r="M161" s="16">
        <v>103.0</v>
      </c>
      <c r="N161" s="16">
        <v>110.0</v>
      </c>
      <c r="O161" s="15">
        <f t="shared" si="1"/>
        <v>86.5112782</v>
      </c>
      <c r="P161" s="15">
        <f t="shared" si="2"/>
        <v>113.7244656</v>
      </c>
      <c r="Q161" s="15">
        <f t="shared" si="3"/>
        <v>99.20833333</v>
      </c>
      <c r="R161" s="15">
        <f t="shared" si="4"/>
        <v>102.2481203</v>
      </c>
    </row>
    <row r="162">
      <c r="A162" s="10">
        <v>624424.0</v>
      </c>
      <c r="B162" s="11" t="s">
        <v>178</v>
      </c>
      <c r="C162" s="12">
        <v>1215.0</v>
      </c>
      <c r="D162" s="10">
        <v>534.0</v>
      </c>
      <c r="E162" s="13">
        <v>189.0</v>
      </c>
      <c r="F162" s="14">
        <v>-0.033</v>
      </c>
      <c r="G162" s="15">
        <v>106.0</v>
      </c>
      <c r="H162" s="15">
        <v>106.0</v>
      </c>
      <c r="I162" s="15">
        <v>89.0</v>
      </c>
      <c r="J162" s="15">
        <v>110.0</v>
      </c>
      <c r="K162" s="15">
        <v>96.0</v>
      </c>
      <c r="L162" s="15">
        <v>102.0</v>
      </c>
      <c r="M162" s="16">
        <v>103.0</v>
      </c>
      <c r="N162" s="16">
        <v>91.0</v>
      </c>
      <c r="O162" s="15">
        <f t="shared" si="1"/>
        <v>104.5139319</v>
      </c>
      <c r="P162" s="15">
        <f t="shared" si="2"/>
        <v>97.08991826</v>
      </c>
      <c r="Q162" s="15">
        <f t="shared" si="3"/>
        <v>101.4318182</v>
      </c>
      <c r="R162" s="15">
        <f t="shared" si="4"/>
        <v>102.2569659</v>
      </c>
    </row>
    <row r="163">
      <c r="A163" s="10">
        <v>677594.0</v>
      </c>
      <c r="B163" s="11" t="s">
        <v>179</v>
      </c>
      <c r="C163" s="12">
        <v>1503.0</v>
      </c>
      <c r="D163" s="10">
        <v>838.0</v>
      </c>
      <c r="E163" s="13">
        <v>301.0</v>
      </c>
      <c r="F163" s="14">
        <v>0.063</v>
      </c>
      <c r="G163" s="15">
        <v>110.0</v>
      </c>
      <c r="H163" s="15">
        <v>99.0</v>
      </c>
      <c r="I163" s="15">
        <v>114.0</v>
      </c>
      <c r="J163" s="15">
        <v>94.0</v>
      </c>
      <c r="K163" s="15">
        <v>91.0</v>
      </c>
      <c r="L163" s="15">
        <v>106.0</v>
      </c>
      <c r="M163" s="16">
        <v>103.0</v>
      </c>
      <c r="N163" s="16">
        <v>103.0</v>
      </c>
      <c r="O163" s="15">
        <f t="shared" si="1"/>
        <v>99.21019443</v>
      </c>
      <c r="P163" s="15">
        <f t="shared" si="2"/>
        <v>92.73410405</v>
      </c>
      <c r="Q163" s="15">
        <f t="shared" si="3"/>
        <v>104.8031915</v>
      </c>
      <c r="R163" s="15">
        <f t="shared" si="4"/>
        <v>102.3694167</v>
      </c>
    </row>
    <row r="164">
      <c r="A164" s="10">
        <v>663624.0</v>
      </c>
      <c r="B164" s="11" t="s">
        <v>180</v>
      </c>
      <c r="C164" s="12">
        <v>760.0</v>
      </c>
      <c r="D164" s="10">
        <v>443.0</v>
      </c>
      <c r="E164" s="13">
        <v>143.0</v>
      </c>
      <c r="F164" s="14">
        <v>0.081</v>
      </c>
      <c r="G164" s="15">
        <v>90.0</v>
      </c>
      <c r="H164" s="15">
        <v>85.0</v>
      </c>
      <c r="I164" s="15">
        <v>121.0</v>
      </c>
      <c r="J164" s="15">
        <v>78.0</v>
      </c>
      <c r="K164" s="15">
        <v>103.0</v>
      </c>
      <c r="L164" s="15">
        <v>105.0</v>
      </c>
      <c r="M164" s="16">
        <v>103.0</v>
      </c>
      <c r="N164" s="16">
        <v>85.0</v>
      </c>
      <c r="O164" s="15">
        <f t="shared" si="1"/>
        <v>90.17241379</v>
      </c>
      <c r="P164" s="15">
        <f t="shared" si="2"/>
        <v>102.066874</v>
      </c>
      <c r="Q164" s="15">
        <f t="shared" si="3"/>
        <v>103.2798165</v>
      </c>
      <c r="R164" s="15">
        <f t="shared" si="4"/>
        <v>101.9655172</v>
      </c>
    </row>
    <row r="165">
      <c r="A165" s="10">
        <v>642715.0</v>
      </c>
      <c r="B165" s="11" t="s">
        <v>181</v>
      </c>
      <c r="C165" s="12">
        <v>1665.0</v>
      </c>
      <c r="D165" s="10">
        <v>766.0</v>
      </c>
      <c r="E165" s="13">
        <v>253.0</v>
      </c>
      <c r="F165" s="14">
        <v>-0.034</v>
      </c>
      <c r="G165" s="15">
        <v>117.0</v>
      </c>
      <c r="H165" s="15">
        <v>114.0</v>
      </c>
      <c r="I165" s="15">
        <v>101.0</v>
      </c>
      <c r="J165" s="15">
        <v>113.0</v>
      </c>
      <c r="K165" s="15">
        <v>89.0</v>
      </c>
      <c r="L165" s="15">
        <v>102.0</v>
      </c>
      <c r="M165" s="16">
        <v>103.0</v>
      </c>
      <c r="N165" s="16">
        <v>97.0</v>
      </c>
      <c r="O165" s="15">
        <f t="shared" si="1"/>
        <v>111.2881356</v>
      </c>
      <c r="P165" s="15">
        <f t="shared" si="2"/>
        <v>91.27743271</v>
      </c>
      <c r="Q165" s="15">
        <f t="shared" si="3"/>
        <v>101.5426829</v>
      </c>
      <c r="R165" s="15">
        <f t="shared" si="4"/>
        <v>102.4188862</v>
      </c>
    </row>
    <row r="166">
      <c r="A166" s="10">
        <v>672820.0</v>
      </c>
      <c r="B166" s="11" t="s">
        <v>182</v>
      </c>
      <c r="C166" s="12">
        <v>1072.0</v>
      </c>
      <c r="D166" s="10">
        <v>576.0</v>
      </c>
      <c r="E166" s="13">
        <v>217.0</v>
      </c>
      <c r="F166" s="14">
        <v>0.052</v>
      </c>
      <c r="G166" s="15">
        <v>47.0</v>
      </c>
      <c r="H166" s="15">
        <v>55.0</v>
      </c>
      <c r="I166" s="15">
        <v>91.0</v>
      </c>
      <c r="J166" s="15">
        <v>60.0</v>
      </c>
      <c r="K166" s="15">
        <v>112.0</v>
      </c>
      <c r="L166" s="15">
        <v>111.0</v>
      </c>
      <c r="M166" s="16">
        <v>103.0</v>
      </c>
      <c r="N166" s="16">
        <v>96.0</v>
      </c>
      <c r="O166" s="15">
        <f t="shared" si="1"/>
        <v>67.22826087</v>
      </c>
      <c r="P166" s="15">
        <f t="shared" si="2"/>
        <v>108.9072165</v>
      </c>
      <c r="Q166" s="15">
        <f t="shared" si="3"/>
        <v>108.1746575</v>
      </c>
      <c r="R166" s="15">
        <f t="shared" si="4"/>
        <v>102.1847826</v>
      </c>
    </row>
    <row r="167">
      <c r="A167" s="10">
        <v>691406.0</v>
      </c>
      <c r="B167" s="11" t="s">
        <v>183</v>
      </c>
      <c r="C167" s="12">
        <v>1396.0</v>
      </c>
      <c r="D167" s="10">
        <v>714.0</v>
      </c>
      <c r="E167" s="13">
        <v>283.0</v>
      </c>
      <c r="F167" s="14">
        <v>0.032</v>
      </c>
      <c r="G167" s="15">
        <v>94.0</v>
      </c>
      <c r="H167" s="15">
        <v>84.0</v>
      </c>
      <c r="I167" s="15">
        <v>105.0</v>
      </c>
      <c r="J167" s="15">
        <v>82.0</v>
      </c>
      <c r="K167" s="15">
        <v>99.0</v>
      </c>
      <c r="L167" s="15">
        <v>107.0</v>
      </c>
      <c r="M167" s="16">
        <v>103.0</v>
      </c>
      <c r="N167" s="16">
        <v>108.0</v>
      </c>
      <c r="O167" s="15">
        <f t="shared" si="1"/>
        <v>87.56347439</v>
      </c>
      <c r="P167" s="15">
        <f t="shared" si="2"/>
        <v>99.21881838</v>
      </c>
      <c r="Q167" s="15">
        <f t="shared" si="3"/>
        <v>105.5335196</v>
      </c>
      <c r="R167" s="15">
        <f t="shared" si="4"/>
        <v>102.3318486</v>
      </c>
    </row>
    <row r="168">
      <c r="A168" s="10">
        <v>641355.0</v>
      </c>
      <c r="B168" s="11" t="s">
        <v>184</v>
      </c>
      <c r="C168" s="12">
        <v>1504.0</v>
      </c>
      <c r="D168" s="10">
        <v>739.0</v>
      </c>
      <c r="E168" s="13">
        <v>291.0</v>
      </c>
      <c r="F168" s="14">
        <v>0.024</v>
      </c>
      <c r="G168" s="15">
        <v>83.0</v>
      </c>
      <c r="H168" s="15">
        <v>84.0</v>
      </c>
      <c r="I168" s="15">
        <v>100.0</v>
      </c>
      <c r="J168" s="15">
        <v>85.0</v>
      </c>
      <c r="K168" s="15">
        <v>125.0</v>
      </c>
      <c r="L168" s="15">
        <v>96.0</v>
      </c>
      <c r="M168" s="16">
        <v>102.0</v>
      </c>
      <c r="N168" s="16">
        <v>113.0</v>
      </c>
      <c r="O168" s="15">
        <f t="shared" si="1"/>
        <v>87.36134454</v>
      </c>
      <c r="P168" s="15">
        <f t="shared" si="2"/>
        <v>119.6751864</v>
      </c>
      <c r="Q168" s="15">
        <f t="shared" si="3"/>
        <v>96.81967213</v>
      </c>
      <c r="R168" s="15">
        <f t="shared" si="4"/>
        <v>101.5798319</v>
      </c>
    </row>
    <row r="169">
      <c r="A169" s="10">
        <v>641933.0</v>
      </c>
      <c r="B169" s="11" t="s">
        <v>185</v>
      </c>
      <c r="C169" s="12">
        <v>461.0</v>
      </c>
      <c r="D169" s="10">
        <v>222.0</v>
      </c>
      <c r="E169" s="13">
        <v>72.0</v>
      </c>
      <c r="F169" s="14">
        <v>-0.006</v>
      </c>
      <c r="G169" s="15">
        <v>98.0</v>
      </c>
      <c r="H169" s="15">
        <v>118.0</v>
      </c>
      <c r="I169" s="15">
        <v>112.0</v>
      </c>
      <c r="J169" s="15">
        <v>113.0</v>
      </c>
      <c r="K169" s="15">
        <v>81.0</v>
      </c>
      <c r="L169" s="15">
        <v>104.0</v>
      </c>
      <c r="M169" s="16">
        <v>102.0</v>
      </c>
      <c r="N169" s="16">
        <v>84.0</v>
      </c>
      <c r="O169" s="15">
        <f t="shared" si="1"/>
        <v>109.6376307</v>
      </c>
      <c r="P169" s="15">
        <f t="shared" si="2"/>
        <v>90.00473934</v>
      </c>
      <c r="Q169" s="15">
        <f t="shared" si="3"/>
        <v>101.9591837</v>
      </c>
      <c r="R169" s="15">
        <f t="shared" si="4"/>
        <v>101.0708479</v>
      </c>
    </row>
    <row r="170">
      <c r="A170" s="10">
        <v>663698.0</v>
      </c>
      <c r="B170" s="11" t="s">
        <v>186</v>
      </c>
      <c r="C170" s="12">
        <v>874.0</v>
      </c>
      <c r="D170" s="10">
        <v>347.0</v>
      </c>
      <c r="E170" s="13">
        <v>132.0</v>
      </c>
      <c r="F170" s="14">
        <v>-0.052</v>
      </c>
      <c r="G170" s="15">
        <v>98.0</v>
      </c>
      <c r="H170" s="15">
        <v>96.0</v>
      </c>
      <c r="I170" s="15">
        <v>74.0</v>
      </c>
      <c r="J170" s="15">
        <v>104.0</v>
      </c>
      <c r="K170" s="15">
        <v>93.0</v>
      </c>
      <c r="L170" s="15">
        <v>107.0</v>
      </c>
      <c r="M170" s="16">
        <v>102.0</v>
      </c>
      <c r="N170" s="16">
        <v>91.0</v>
      </c>
      <c r="O170" s="15">
        <f t="shared" si="1"/>
        <v>97.25588697</v>
      </c>
      <c r="P170" s="15">
        <f t="shared" si="2"/>
        <v>95.55941499</v>
      </c>
      <c r="Q170" s="15">
        <f t="shared" si="3"/>
        <v>104.4637681</v>
      </c>
      <c r="R170" s="15">
        <f t="shared" si="4"/>
        <v>101.3720565</v>
      </c>
    </row>
    <row r="171">
      <c r="A171" s="10">
        <v>664023.0</v>
      </c>
      <c r="B171" s="11" t="s">
        <v>187</v>
      </c>
      <c r="C171" s="12">
        <v>1652.0</v>
      </c>
      <c r="D171" s="10">
        <v>723.0</v>
      </c>
      <c r="E171" s="13">
        <v>259.0</v>
      </c>
      <c r="F171" s="14">
        <v>-0.059</v>
      </c>
      <c r="G171" s="15">
        <v>108.0</v>
      </c>
      <c r="H171" s="15">
        <v>114.0</v>
      </c>
      <c r="I171" s="15">
        <v>94.0</v>
      </c>
      <c r="J171" s="15">
        <v>117.0</v>
      </c>
      <c r="K171" s="15">
        <v>95.0</v>
      </c>
      <c r="L171" s="15">
        <v>98.0</v>
      </c>
      <c r="M171" s="16">
        <v>102.0</v>
      </c>
      <c r="N171" s="16">
        <v>99.0</v>
      </c>
      <c r="O171" s="15">
        <f t="shared" si="1"/>
        <v>111.2709552</v>
      </c>
      <c r="P171" s="15">
        <f t="shared" si="2"/>
        <v>96.08342362</v>
      </c>
      <c r="Q171" s="15">
        <f t="shared" si="3"/>
        <v>98.4491018</v>
      </c>
      <c r="R171" s="15">
        <f t="shared" si="4"/>
        <v>101.6101365</v>
      </c>
    </row>
    <row r="172">
      <c r="A172" s="10">
        <v>641487.0</v>
      </c>
      <c r="B172" s="11" t="s">
        <v>188</v>
      </c>
      <c r="C172" s="12">
        <v>1685.0</v>
      </c>
      <c r="D172" s="10">
        <v>733.0</v>
      </c>
      <c r="E172" s="13">
        <v>280.0</v>
      </c>
      <c r="F172" s="14">
        <v>-0.045</v>
      </c>
      <c r="G172" s="15">
        <v>111.0</v>
      </c>
      <c r="H172" s="15">
        <v>107.0</v>
      </c>
      <c r="I172" s="15">
        <v>105.0</v>
      </c>
      <c r="J172" s="15">
        <v>105.0</v>
      </c>
      <c r="K172" s="15">
        <v>106.0</v>
      </c>
      <c r="L172" s="15">
        <v>95.0</v>
      </c>
      <c r="M172" s="16">
        <v>102.0</v>
      </c>
      <c r="N172" s="16">
        <v>110.0</v>
      </c>
      <c r="O172" s="15">
        <f t="shared" si="1"/>
        <v>105.6570743</v>
      </c>
      <c r="P172" s="15">
        <f t="shared" si="2"/>
        <v>104.7138264</v>
      </c>
      <c r="Q172" s="15">
        <f t="shared" si="3"/>
        <v>96.05633803</v>
      </c>
      <c r="R172" s="15">
        <f t="shared" si="4"/>
        <v>101.616307</v>
      </c>
    </row>
    <row r="173">
      <c r="A173" s="10">
        <v>656716.0</v>
      </c>
      <c r="B173" s="11" t="s">
        <v>189</v>
      </c>
      <c r="C173" s="12">
        <v>1294.0</v>
      </c>
      <c r="D173" s="10">
        <v>597.0</v>
      </c>
      <c r="E173" s="13">
        <v>221.0</v>
      </c>
      <c r="F173" s="14">
        <v>-0.025</v>
      </c>
      <c r="G173" s="15">
        <v>100.0</v>
      </c>
      <c r="H173" s="15">
        <v>108.0</v>
      </c>
      <c r="I173" s="15">
        <v>103.0</v>
      </c>
      <c r="J173" s="15">
        <v>107.0</v>
      </c>
      <c r="K173" s="15">
        <v>96.0</v>
      </c>
      <c r="L173" s="15">
        <v>99.0</v>
      </c>
      <c r="M173" s="16">
        <v>102.0</v>
      </c>
      <c r="N173" s="16">
        <v>120.0</v>
      </c>
      <c r="O173" s="15">
        <f t="shared" si="1"/>
        <v>106.1109799</v>
      </c>
      <c r="P173" s="15">
        <f t="shared" si="2"/>
        <v>97.00376412</v>
      </c>
      <c r="Q173" s="15">
        <f t="shared" si="3"/>
        <v>99.25337838</v>
      </c>
      <c r="R173" s="15">
        <f t="shared" si="4"/>
        <v>101.527745</v>
      </c>
    </row>
    <row r="174">
      <c r="A174" s="10">
        <v>808982.0</v>
      </c>
      <c r="B174" s="11" t="s">
        <v>190</v>
      </c>
      <c r="C174" s="12">
        <v>1467.0</v>
      </c>
      <c r="D174" s="10">
        <v>652.0</v>
      </c>
      <c r="E174" s="13">
        <v>305.0</v>
      </c>
      <c r="F174" s="14">
        <v>-0.029</v>
      </c>
      <c r="G174" s="15">
        <v>104.0</v>
      </c>
      <c r="H174" s="15">
        <v>112.0</v>
      </c>
      <c r="I174" s="15">
        <v>110.0</v>
      </c>
      <c r="J174" s="15">
        <v>109.0</v>
      </c>
      <c r="K174" s="15">
        <v>120.0</v>
      </c>
      <c r="L174" s="15">
        <v>89.0</v>
      </c>
      <c r="M174" s="16">
        <v>102.0</v>
      </c>
      <c r="N174" s="16">
        <v>103.0</v>
      </c>
      <c r="O174" s="15">
        <f t="shared" si="1"/>
        <v>109.4290305</v>
      </c>
      <c r="P174" s="15">
        <f t="shared" si="2"/>
        <v>115.3051643</v>
      </c>
      <c r="Q174" s="15">
        <f t="shared" si="3"/>
        <v>91.17105263</v>
      </c>
      <c r="R174" s="15">
        <f t="shared" si="4"/>
        <v>101.5715051</v>
      </c>
    </row>
    <row r="175">
      <c r="A175" s="10">
        <v>669242.0</v>
      </c>
      <c r="B175" s="11" t="s">
        <v>191</v>
      </c>
      <c r="C175" s="12">
        <v>1029.0</v>
      </c>
      <c r="D175" s="10">
        <v>490.0</v>
      </c>
      <c r="E175" s="13">
        <v>218.0</v>
      </c>
      <c r="F175" s="14">
        <v>-0.005</v>
      </c>
      <c r="G175" s="15">
        <v>88.0</v>
      </c>
      <c r="H175" s="15">
        <v>88.0</v>
      </c>
      <c r="I175" s="15">
        <v>89.0</v>
      </c>
      <c r="J175" s="15">
        <v>92.0</v>
      </c>
      <c r="K175" s="15">
        <v>119.0</v>
      </c>
      <c r="L175" s="15">
        <v>96.0</v>
      </c>
      <c r="M175" s="16">
        <v>102.0</v>
      </c>
      <c r="N175" s="16">
        <v>95.0</v>
      </c>
      <c r="O175" s="15">
        <f t="shared" si="1"/>
        <v>91.3589923</v>
      </c>
      <c r="P175" s="15">
        <f t="shared" si="2"/>
        <v>113.4927536</v>
      </c>
      <c r="Q175" s="15">
        <f t="shared" si="3"/>
        <v>97.02389078</v>
      </c>
      <c r="R175" s="15">
        <f t="shared" si="4"/>
        <v>101.4401679</v>
      </c>
    </row>
    <row r="176">
      <c r="A176" s="10">
        <v>643565.0</v>
      </c>
      <c r="B176" s="11" t="s">
        <v>192</v>
      </c>
      <c r="C176" s="12">
        <v>774.0</v>
      </c>
      <c r="D176" s="10">
        <v>345.0</v>
      </c>
      <c r="E176" s="13">
        <v>118.0</v>
      </c>
      <c r="F176" s="14">
        <v>-0.044</v>
      </c>
      <c r="G176" s="15">
        <v>108.0</v>
      </c>
      <c r="H176" s="15">
        <v>119.0</v>
      </c>
      <c r="I176" s="15">
        <v>97.0</v>
      </c>
      <c r="J176" s="15">
        <v>121.0</v>
      </c>
      <c r="K176" s="15">
        <v>94.0</v>
      </c>
      <c r="L176" s="15">
        <v>95.0</v>
      </c>
      <c r="M176" s="16">
        <v>101.0</v>
      </c>
      <c r="N176" s="16">
        <v>114.0</v>
      </c>
      <c r="O176" s="15">
        <f t="shared" si="1"/>
        <v>112.5264055</v>
      </c>
      <c r="P176" s="15">
        <f t="shared" si="2"/>
        <v>96.20183486</v>
      </c>
      <c r="Q176" s="15">
        <f t="shared" si="3"/>
        <v>96.94300518</v>
      </c>
      <c r="R176" s="15">
        <f t="shared" si="4"/>
        <v>100.6592845</v>
      </c>
    </row>
    <row r="177">
      <c r="A177" s="10">
        <v>592663.0</v>
      </c>
      <c r="B177" s="11" t="s">
        <v>193</v>
      </c>
      <c r="C177" s="12">
        <v>1293.0</v>
      </c>
      <c r="D177" s="10">
        <v>627.0</v>
      </c>
      <c r="E177" s="13">
        <v>222.0</v>
      </c>
      <c r="F177" s="14">
        <v>-0.019</v>
      </c>
      <c r="G177" s="15">
        <v>89.0</v>
      </c>
      <c r="H177" s="15">
        <v>98.0</v>
      </c>
      <c r="I177" s="15">
        <v>100.0</v>
      </c>
      <c r="J177" s="15">
        <v>98.0</v>
      </c>
      <c r="K177" s="15">
        <v>102.0</v>
      </c>
      <c r="L177" s="15">
        <v>100.0</v>
      </c>
      <c r="M177" s="16">
        <v>101.0</v>
      </c>
      <c r="N177" s="16">
        <v>104.0</v>
      </c>
      <c r="O177" s="15">
        <f t="shared" si="1"/>
        <v>98.47253396</v>
      </c>
      <c r="P177" s="15">
        <f t="shared" si="2"/>
        <v>101.5163241</v>
      </c>
      <c r="Q177" s="15">
        <f t="shared" si="3"/>
        <v>100</v>
      </c>
      <c r="R177" s="15">
        <f t="shared" si="4"/>
        <v>100.763733</v>
      </c>
    </row>
    <row r="178">
      <c r="A178" s="10">
        <v>621043.0</v>
      </c>
      <c r="B178" s="11" t="s">
        <v>194</v>
      </c>
      <c r="C178" s="12">
        <v>1220.0</v>
      </c>
      <c r="D178" s="10">
        <v>583.0</v>
      </c>
      <c r="E178" s="13">
        <v>241.0</v>
      </c>
      <c r="F178" s="14">
        <v>-0.013</v>
      </c>
      <c r="G178" s="15">
        <v>92.0</v>
      </c>
      <c r="H178" s="15">
        <v>90.0</v>
      </c>
      <c r="I178" s="15">
        <v>95.0</v>
      </c>
      <c r="J178" s="15">
        <v>92.0</v>
      </c>
      <c r="K178" s="15">
        <v>118.0</v>
      </c>
      <c r="L178" s="15">
        <v>96.0</v>
      </c>
      <c r="M178" s="16">
        <v>101.0</v>
      </c>
      <c r="N178" s="16">
        <v>97.0</v>
      </c>
      <c r="O178" s="15">
        <f t="shared" si="1"/>
        <v>92.4691358</v>
      </c>
      <c r="P178" s="15">
        <f t="shared" si="2"/>
        <v>113.4022989</v>
      </c>
      <c r="Q178" s="15">
        <f t="shared" si="3"/>
        <v>96.94936709</v>
      </c>
      <c r="R178" s="15">
        <f t="shared" si="4"/>
        <v>100.7530864</v>
      </c>
    </row>
    <row r="179">
      <c r="A179" s="10">
        <v>681297.0</v>
      </c>
      <c r="B179" s="11" t="s">
        <v>195</v>
      </c>
      <c r="C179" s="12">
        <v>583.0</v>
      </c>
      <c r="D179" s="10">
        <v>260.0</v>
      </c>
      <c r="E179" s="13">
        <v>90.0</v>
      </c>
      <c r="F179" s="14">
        <v>-0.043</v>
      </c>
      <c r="G179" s="15">
        <v>98.0</v>
      </c>
      <c r="H179" s="15">
        <v>97.0</v>
      </c>
      <c r="I179" s="15">
        <v>91.0</v>
      </c>
      <c r="J179" s="15">
        <v>101.0</v>
      </c>
      <c r="K179" s="15">
        <v>85.0</v>
      </c>
      <c r="L179" s="15">
        <v>109.0</v>
      </c>
      <c r="M179" s="16">
        <v>101.0</v>
      </c>
      <c r="N179" s="16">
        <v>103.0</v>
      </c>
      <c r="O179" s="15">
        <f t="shared" si="1"/>
        <v>98.2207528</v>
      </c>
      <c r="P179" s="15">
        <f t="shared" si="2"/>
        <v>91.52173913</v>
      </c>
      <c r="Q179" s="15">
        <f t="shared" si="3"/>
        <v>104.9090909</v>
      </c>
      <c r="R179" s="15">
        <f t="shared" si="4"/>
        <v>100.5930824</v>
      </c>
    </row>
    <row r="180">
      <c r="A180" s="10">
        <v>643376.0</v>
      </c>
      <c r="B180" s="11" t="s">
        <v>196</v>
      </c>
      <c r="C180" s="12">
        <v>916.0</v>
      </c>
      <c r="D180" s="10">
        <v>400.0</v>
      </c>
      <c r="E180" s="13">
        <v>144.0</v>
      </c>
      <c r="F180" s="14">
        <v>-0.069</v>
      </c>
      <c r="G180" s="15">
        <v>114.0</v>
      </c>
      <c r="H180" s="15">
        <v>130.0</v>
      </c>
      <c r="I180" s="15">
        <v>105.0</v>
      </c>
      <c r="J180" s="15">
        <v>128.0</v>
      </c>
      <c r="K180" s="15">
        <v>88.0</v>
      </c>
      <c r="L180" s="15">
        <v>93.0</v>
      </c>
      <c r="M180" s="16">
        <v>101.0</v>
      </c>
      <c r="N180" s="16">
        <v>103.0</v>
      </c>
      <c r="O180" s="15">
        <f t="shared" si="1"/>
        <v>120.881459</v>
      </c>
      <c r="P180" s="15">
        <f t="shared" si="2"/>
        <v>92</v>
      </c>
      <c r="Q180" s="15">
        <f t="shared" si="3"/>
        <v>95.39726027</v>
      </c>
      <c r="R180" s="15">
        <f t="shared" si="4"/>
        <v>100.6960486</v>
      </c>
    </row>
    <row r="181">
      <c r="A181" s="10">
        <v>663457.0</v>
      </c>
      <c r="B181" s="11" t="s">
        <v>197</v>
      </c>
      <c r="C181" s="12">
        <v>1582.0</v>
      </c>
      <c r="D181" s="10">
        <v>605.0</v>
      </c>
      <c r="E181" s="13">
        <v>250.0</v>
      </c>
      <c r="F181" s="14">
        <v>-0.088</v>
      </c>
      <c r="G181" s="15">
        <v>94.0</v>
      </c>
      <c r="H181" s="15">
        <v>106.0</v>
      </c>
      <c r="I181" s="15">
        <v>78.0</v>
      </c>
      <c r="J181" s="15">
        <v>114.0</v>
      </c>
      <c r="K181" s="15">
        <v>105.0</v>
      </c>
      <c r="L181" s="15">
        <v>96.0</v>
      </c>
      <c r="M181" s="16">
        <v>101.0</v>
      </c>
      <c r="N181" s="16">
        <v>104.0</v>
      </c>
      <c r="O181" s="15">
        <f t="shared" si="1"/>
        <v>104.7891019</v>
      </c>
      <c r="P181" s="15">
        <f t="shared" si="2"/>
        <v>103.757764</v>
      </c>
      <c r="Q181" s="15">
        <f t="shared" si="3"/>
        <v>96.92307692</v>
      </c>
      <c r="R181" s="15">
        <f t="shared" si="4"/>
        <v>100.7981837</v>
      </c>
    </row>
    <row r="182">
      <c r="A182" s="10">
        <v>680757.0</v>
      </c>
      <c r="B182" s="11" t="s">
        <v>198</v>
      </c>
      <c r="C182" s="12">
        <v>1639.0</v>
      </c>
      <c r="D182" s="10">
        <v>677.0</v>
      </c>
      <c r="E182" s="13">
        <v>333.0</v>
      </c>
      <c r="F182" s="14">
        <v>-0.061</v>
      </c>
      <c r="G182" s="15">
        <v>86.0</v>
      </c>
      <c r="H182" s="15">
        <v>110.0</v>
      </c>
      <c r="I182" s="15">
        <v>107.0</v>
      </c>
      <c r="J182" s="15">
        <v>107.0</v>
      </c>
      <c r="K182" s="15">
        <v>131.0</v>
      </c>
      <c r="L182" s="15">
        <v>86.0</v>
      </c>
      <c r="M182" s="16">
        <v>101.0</v>
      </c>
      <c r="N182" s="16">
        <v>108.0</v>
      </c>
      <c r="O182" s="15">
        <f t="shared" si="1"/>
        <v>108.038254</v>
      </c>
      <c r="P182" s="15">
        <f t="shared" si="2"/>
        <v>123.9304447</v>
      </c>
      <c r="Q182" s="15">
        <f t="shared" si="3"/>
        <v>88.57352941</v>
      </c>
      <c r="R182" s="15">
        <f t="shared" si="4"/>
        <v>100.8038254</v>
      </c>
    </row>
    <row r="183">
      <c r="A183" s="10">
        <v>656976.0</v>
      </c>
      <c r="B183" s="11" t="s">
        <v>199</v>
      </c>
      <c r="C183" s="12">
        <v>1136.0</v>
      </c>
      <c r="D183" s="10">
        <v>455.0</v>
      </c>
      <c r="E183" s="13">
        <v>140.0</v>
      </c>
      <c r="F183" s="14">
        <v>-0.087</v>
      </c>
      <c r="G183" s="15">
        <v>86.0</v>
      </c>
      <c r="H183" s="15">
        <v>102.0</v>
      </c>
      <c r="I183" s="15">
        <v>73.0</v>
      </c>
      <c r="J183" s="15">
        <v>113.0</v>
      </c>
      <c r="K183" s="15">
        <v>79.0</v>
      </c>
      <c r="L183" s="15">
        <v>111.0</v>
      </c>
      <c r="M183" s="16">
        <v>101.0</v>
      </c>
      <c r="N183" s="16">
        <v>117.0</v>
      </c>
      <c r="O183" s="15">
        <f t="shared" si="1"/>
        <v>101.4791667</v>
      </c>
      <c r="P183" s="15">
        <f t="shared" si="2"/>
        <v>85.41221374</v>
      </c>
      <c r="Q183" s="15">
        <f t="shared" si="3"/>
        <v>107.1627907</v>
      </c>
      <c r="R183" s="15">
        <f t="shared" si="4"/>
        <v>100.7395833</v>
      </c>
    </row>
    <row r="184">
      <c r="A184" s="10">
        <v>672744.0</v>
      </c>
      <c r="B184" s="11" t="s">
        <v>200</v>
      </c>
      <c r="C184" s="12">
        <v>592.0</v>
      </c>
      <c r="D184" s="10">
        <v>325.0</v>
      </c>
      <c r="E184" s="13">
        <v>94.0</v>
      </c>
      <c r="F184" s="14">
        <v>0.05</v>
      </c>
      <c r="G184" s="15">
        <v>119.0</v>
      </c>
      <c r="H184" s="15">
        <v>100.0</v>
      </c>
      <c r="I184" s="15">
        <v>110.0</v>
      </c>
      <c r="J184" s="15">
        <v>96.0</v>
      </c>
      <c r="K184" s="15">
        <v>76.0</v>
      </c>
      <c r="L184" s="15">
        <v>114.0</v>
      </c>
      <c r="M184" s="16">
        <v>100.0</v>
      </c>
      <c r="N184" s="16">
        <v>87.0</v>
      </c>
      <c r="O184" s="15">
        <f t="shared" si="1"/>
        <v>100</v>
      </c>
      <c r="P184" s="15">
        <f t="shared" si="2"/>
        <v>85.14285714</v>
      </c>
      <c r="Q184" s="15">
        <f t="shared" si="3"/>
        <v>107.7869822</v>
      </c>
      <c r="R184" s="15">
        <f t="shared" si="4"/>
        <v>100</v>
      </c>
    </row>
    <row r="185">
      <c r="A185" s="10">
        <v>641857.0</v>
      </c>
      <c r="B185" s="11" t="s">
        <v>201</v>
      </c>
      <c r="C185" s="12">
        <v>1611.0</v>
      </c>
      <c r="D185" s="10">
        <v>731.0</v>
      </c>
      <c r="E185" s="13">
        <v>210.0</v>
      </c>
      <c r="F185" s="14">
        <v>-0.032</v>
      </c>
      <c r="G185" s="15">
        <v>107.0</v>
      </c>
      <c r="H185" s="15">
        <v>105.0</v>
      </c>
      <c r="I185" s="15">
        <v>95.0</v>
      </c>
      <c r="J185" s="15">
        <v>106.0</v>
      </c>
      <c r="K185" s="15">
        <v>70.0</v>
      </c>
      <c r="L185" s="15">
        <v>116.0</v>
      </c>
      <c r="M185" s="16">
        <v>100.0</v>
      </c>
      <c r="N185" s="16">
        <v>96.0</v>
      </c>
      <c r="O185" s="15">
        <f t="shared" si="1"/>
        <v>104.0054699</v>
      </c>
      <c r="P185" s="15">
        <f t="shared" si="2"/>
        <v>76.44468314</v>
      </c>
      <c r="Q185" s="15">
        <f t="shared" si="3"/>
        <v>111.7894737</v>
      </c>
      <c r="R185" s="15">
        <f t="shared" si="4"/>
        <v>100</v>
      </c>
    </row>
    <row r="186">
      <c r="A186" s="10">
        <v>669701.0</v>
      </c>
      <c r="B186" s="11" t="s">
        <v>202</v>
      </c>
      <c r="C186" s="12">
        <v>1350.0</v>
      </c>
      <c r="D186" s="10">
        <v>652.0</v>
      </c>
      <c r="E186" s="13">
        <v>246.0</v>
      </c>
      <c r="F186" s="14">
        <v>-0.004</v>
      </c>
      <c r="G186" s="15">
        <v>94.0</v>
      </c>
      <c r="H186" s="15">
        <v>104.0</v>
      </c>
      <c r="I186" s="15">
        <v>105.0</v>
      </c>
      <c r="J186" s="15">
        <v>102.0</v>
      </c>
      <c r="K186" s="15">
        <v>111.0</v>
      </c>
      <c r="L186" s="15">
        <v>93.0</v>
      </c>
      <c r="M186" s="16">
        <v>100.0</v>
      </c>
      <c r="N186" s="16">
        <v>113.0</v>
      </c>
      <c r="O186" s="15">
        <f t="shared" si="1"/>
        <v>103.0857143</v>
      </c>
      <c r="P186" s="15">
        <f t="shared" si="2"/>
        <v>108.4178404</v>
      </c>
      <c r="Q186" s="15">
        <f t="shared" si="3"/>
        <v>94.63551402</v>
      </c>
      <c r="R186" s="15">
        <f t="shared" si="4"/>
        <v>100</v>
      </c>
    </row>
    <row r="187">
      <c r="A187" s="10">
        <v>666969.0</v>
      </c>
      <c r="B187" s="11" t="s">
        <v>203</v>
      </c>
      <c r="C187" s="12">
        <v>1469.0</v>
      </c>
      <c r="D187" s="10">
        <v>768.0</v>
      </c>
      <c r="E187" s="13">
        <v>256.0</v>
      </c>
      <c r="F187" s="14">
        <v>0.046</v>
      </c>
      <c r="G187" s="15">
        <v>93.0</v>
      </c>
      <c r="H187" s="15">
        <v>87.0</v>
      </c>
      <c r="I187" s="15">
        <v>116.0</v>
      </c>
      <c r="J187" s="15">
        <v>83.0</v>
      </c>
      <c r="K187" s="15">
        <v>93.0</v>
      </c>
      <c r="L187" s="15">
        <v>108.0</v>
      </c>
      <c r="M187" s="16">
        <v>100.0</v>
      </c>
      <c r="N187" s="16">
        <v>95.0</v>
      </c>
      <c r="O187" s="15">
        <f t="shared" si="1"/>
        <v>89.78223649</v>
      </c>
      <c r="P187" s="15">
        <f t="shared" si="2"/>
        <v>94.44628099</v>
      </c>
      <c r="Q187" s="15">
        <f t="shared" si="3"/>
        <v>106.1873112</v>
      </c>
      <c r="R187" s="15">
        <f t="shared" si="4"/>
        <v>100</v>
      </c>
    </row>
    <row r="188">
      <c r="A188" s="10">
        <v>667472.0</v>
      </c>
      <c r="B188" s="11" t="s">
        <v>204</v>
      </c>
      <c r="C188" s="12">
        <v>791.0</v>
      </c>
      <c r="D188" s="10">
        <v>375.0</v>
      </c>
      <c r="E188" s="13">
        <v>154.0</v>
      </c>
      <c r="F188" s="14">
        <v>-0.062</v>
      </c>
      <c r="G188" s="15">
        <v>85.0</v>
      </c>
      <c r="H188" s="15">
        <v>100.0</v>
      </c>
      <c r="I188" s="15">
        <v>86.0</v>
      </c>
      <c r="J188" s="15">
        <v>107.0</v>
      </c>
      <c r="K188" s="15">
        <v>104.0</v>
      </c>
      <c r="L188" s="15">
        <v>97.0</v>
      </c>
      <c r="M188" s="16">
        <v>100.0</v>
      </c>
      <c r="N188" s="16">
        <v>106.0</v>
      </c>
      <c r="O188" s="15">
        <f t="shared" si="1"/>
        <v>100</v>
      </c>
      <c r="P188" s="15">
        <f t="shared" si="2"/>
        <v>102.6086957</v>
      </c>
      <c r="Q188" s="15">
        <f t="shared" si="3"/>
        <v>97.98253275</v>
      </c>
      <c r="R188" s="15">
        <f t="shared" si="4"/>
        <v>100</v>
      </c>
    </row>
    <row r="189">
      <c r="A189" s="10">
        <v>669394.0</v>
      </c>
      <c r="B189" s="11" t="s">
        <v>205</v>
      </c>
      <c r="C189" s="12">
        <v>1002.0</v>
      </c>
      <c r="D189" s="10">
        <v>552.0</v>
      </c>
      <c r="E189" s="13">
        <v>201.0</v>
      </c>
      <c r="F189" s="14">
        <v>0.072</v>
      </c>
      <c r="G189" s="15">
        <v>86.0</v>
      </c>
      <c r="H189" s="15">
        <v>75.0</v>
      </c>
      <c r="I189" s="15">
        <v>100.0</v>
      </c>
      <c r="J189" s="15">
        <v>76.0</v>
      </c>
      <c r="K189" s="15">
        <v>101.0</v>
      </c>
      <c r="L189" s="15">
        <v>107.0</v>
      </c>
      <c r="M189" s="16">
        <v>100.0</v>
      </c>
      <c r="N189" s="16">
        <v>91.0</v>
      </c>
      <c r="O189" s="15">
        <f t="shared" si="1"/>
        <v>82.13266762</v>
      </c>
      <c r="P189" s="15">
        <f t="shared" si="2"/>
        <v>100.7340426</v>
      </c>
      <c r="Q189" s="15">
        <f t="shared" si="3"/>
        <v>105.0978261</v>
      </c>
      <c r="R189" s="15">
        <f t="shared" si="4"/>
        <v>100</v>
      </c>
    </row>
    <row r="190">
      <c r="A190" s="10">
        <v>670242.0</v>
      </c>
      <c r="B190" s="11" t="s">
        <v>206</v>
      </c>
      <c r="C190" s="12">
        <v>779.0</v>
      </c>
      <c r="D190" s="10">
        <v>396.0</v>
      </c>
      <c r="E190" s="13">
        <v>116.0</v>
      </c>
      <c r="F190" s="14">
        <v>0.012</v>
      </c>
      <c r="G190" s="15">
        <v>123.0</v>
      </c>
      <c r="H190" s="15">
        <v>106.0</v>
      </c>
      <c r="I190" s="15">
        <v>97.0</v>
      </c>
      <c r="J190" s="15">
        <v>107.0</v>
      </c>
      <c r="K190" s="15">
        <v>77.0</v>
      </c>
      <c r="L190" s="15">
        <v>110.0</v>
      </c>
      <c r="M190" s="16">
        <v>100.0</v>
      </c>
      <c r="N190" s="16">
        <v>100.0</v>
      </c>
      <c r="O190" s="15">
        <f t="shared" si="1"/>
        <v>103.9643766</v>
      </c>
      <c r="P190" s="15">
        <f t="shared" si="2"/>
        <v>84.71812081</v>
      </c>
      <c r="Q190" s="15">
        <f t="shared" si="3"/>
        <v>106.0732984</v>
      </c>
      <c r="R190" s="15">
        <f t="shared" si="4"/>
        <v>100</v>
      </c>
    </row>
    <row r="191">
      <c r="A191" s="10">
        <v>672761.0</v>
      </c>
      <c r="B191" s="11" t="s">
        <v>207</v>
      </c>
      <c r="C191" s="12">
        <v>551.0</v>
      </c>
      <c r="D191" s="10">
        <v>282.0</v>
      </c>
      <c r="E191" s="13">
        <v>100.0</v>
      </c>
      <c r="F191" s="14">
        <v>0.01</v>
      </c>
      <c r="G191" s="15">
        <v>83.0</v>
      </c>
      <c r="H191" s="15">
        <v>90.0</v>
      </c>
      <c r="I191" s="15">
        <v>102.0</v>
      </c>
      <c r="J191" s="15">
        <v>89.0</v>
      </c>
      <c r="K191" s="15">
        <v>103.0</v>
      </c>
      <c r="L191" s="15">
        <v>101.0</v>
      </c>
      <c r="M191" s="16">
        <v>100.0</v>
      </c>
      <c r="N191" s="16">
        <v>113.0</v>
      </c>
      <c r="O191" s="15">
        <f t="shared" si="1"/>
        <v>94.20609884</v>
      </c>
      <c r="P191" s="15">
        <f t="shared" si="2"/>
        <v>101.7551867</v>
      </c>
      <c r="Q191" s="15">
        <f t="shared" si="3"/>
        <v>100.5714286</v>
      </c>
      <c r="R191" s="15">
        <f t="shared" si="4"/>
        <v>100</v>
      </c>
    </row>
    <row r="192">
      <c r="A192" s="10">
        <v>666160.0</v>
      </c>
      <c r="B192" s="11" t="s">
        <v>208</v>
      </c>
      <c r="C192" s="12">
        <v>832.0</v>
      </c>
      <c r="D192" s="10">
        <v>451.0</v>
      </c>
      <c r="E192" s="13">
        <v>171.0</v>
      </c>
      <c r="F192" s="14">
        <v>0.07</v>
      </c>
      <c r="G192" s="15">
        <v>87.0</v>
      </c>
      <c r="H192" s="15">
        <v>75.0</v>
      </c>
      <c r="I192" s="15">
        <v>105.0</v>
      </c>
      <c r="J192" s="15">
        <v>73.0</v>
      </c>
      <c r="K192" s="15">
        <v>97.0</v>
      </c>
      <c r="L192" s="15">
        <v>109.0</v>
      </c>
      <c r="M192" s="16">
        <v>100.0</v>
      </c>
      <c r="N192" s="16">
        <v>109.0</v>
      </c>
      <c r="O192" s="15">
        <f t="shared" si="1"/>
        <v>83.11688312</v>
      </c>
      <c r="P192" s="15">
        <f t="shared" si="2"/>
        <v>97.92165899</v>
      </c>
      <c r="Q192" s="15">
        <f t="shared" si="3"/>
        <v>106.2560976</v>
      </c>
      <c r="R192" s="15">
        <f t="shared" si="4"/>
        <v>100</v>
      </c>
    </row>
    <row r="193">
      <c r="A193" s="10">
        <v>676572.0</v>
      </c>
      <c r="B193" s="11" t="s">
        <v>209</v>
      </c>
      <c r="C193" s="12">
        <v>1327.0</v>
      </c>
      <c r="D193" s="10">
        <v>593.0</v>
      </c>
      <c r="E193" s="13">
        <v>256.0</v>
      </c>
      <c r="F193" s="14">
        <v>-0.032</v>
      </c>
      <c r="G193" s="15">
        <v>97.0</v>
      </c>
      <c r="H193" s="15">
        <v>95.0</v>
      </c>
      <c r="I193" s="15">
        <v>93.0</v>
      </c>
      <c r="J193" s="15">
        <v>98.0</v>
      </c>
      <c r="K193" s="15">
        <v>116.0</v>
      </c>
      <c r="L193" s="15">
        <v>94.0</v>
      </c>
      <c r="M193" s="16">
        <v>100.0</v>
      </c>
      <c r="N193" s="16">
        <v>88.0</v>
      </c>
      <c r="O193" s="15">
        <f t="shared" si="1"/>
        <v>96.15807759</v>
      </c>
      <c r="P193" s="15">
        <f t="shared" si="2"/>
        <v>111.964691</v>
      </c>
      <c r="Q193" s="15">
        <f t="shared" si="3"/>
        <v>95.35951662</v>
      </c>
      <c r="R193" s="15">
        <f t="shared" si="4"/>
        <v>100</v>
      </c>
    </row>
    <row r="194">
      <c r="A194" s="10">
        <v>682928.0</v>
      </c>
      <c r="B194" s="11" t="s">
        <v>210</v>
      </c>
      <c r="C194" s="12">
        <v>1304.0</v>
      </c>
      <c r="D194" s="10">
        <v>651.0</v>
      </c>
      <c r="E194" s="13">
        <v>270.0</v>
      </c>
      <c r="F194" s="14">
        <v>0.022</v>
      </c>
      <c r="G194" s="15">
        <v>86.0</v>
      </c>
      <c r="H194" s="15">
        <v>85.0</v>
      </c>
      <c r="I194" s="15">
        <v>100.0</v>
      </c>
      <c r="J194" s="15">
        <v>85.0</v>
      </c>
      <c r="K194" s="15">
        <v>113.0</v>
      </c>
      <c r="L194" s="15">
        <v>99.0</v>
      </c>
      <c r="M194" s="16">
        <v>100.0</v>
      </c>
      <c r="N194" s="16">
        <v>115.0</v>
      </c>
      <c r="O194" s="15">
        <f t="shared" si="1"/>
        <v>88.52112676</v>
      </c>
      <c r="P194" s="15">
        <f t="shared" si="2"/>
        <v>109.9447709</v>
      </c>
      <c r="Q194" s="15">
        <f t="shared" si="3"/>
        <v>99.2173913</v>
      </c>
      <c r="R194" s="15">
        <f t="shared" si="4"/>
        <v>100</v>
      </c>
    </row>
    <row r="195">
      <c r="A195" s="10">
        <v>643446.0</v>
      </c>
      <c r="B195" s="11" t="s">
        <v>211</v>
      </c>
      <c r="C195" s="12">
        <v>837.0</v>
      </c>
      <c r="D195" s="10">
        <v>455.0</v>
      </c>
      <c r="E195" s="13">
        <v>173.0</v>
      </c>
      <c r="F195" s="14">
        <v>0.049</v>
      </c>
      <c r="G195" s="15">
        <v>125.0</v>
      </c>
      <c r="H195" s="15">
        <v>118.0</v>
      </c>
      <c r="I195" s="15">
        <v>129.0</v>
      </c>
      <c r="J195" s="15">
        <v>107.0</v>
      </c>
      <c r="K195" s="15">
        <v>115.0</v>
      </c>
      <c r="L195" s="15">
        <v>85.0</v>
      </c>
      <c r="M195" s="16">
        <v>100.0</v>
      </c>
      <c r="N195" s="16">
        <v>110.0</v>
      </c>
      <c r="O195" s="15">
        <f t="shared" si="1"/>
        <v>112.1794665</v>
      </c>
      <c r="P195" s="15">
        <f t="shared" si="2"/>
        <v>110.4198473</v>
      </c>
      <c r="Q195" s="15">
        <f t="shared" si="3"/>
        <v>89.53629032</v>
      </c>
      <c r="R195" s="15">
        <f t="shared" si="4"/>
        <v>100</v>
      </c>
    </row>
    <row r="196">
      <c r="A196" s="10">
        <v>669224.0</v>
      </c>
      <c r="B196" s="11" t="s">
        <v>212</v>
      </c>
      <c r="C196" s="12">
        <v>1173.0</v>
      </c>
      <c r="D196" s="10">
        <v>600.0</v>
      </c>
      <c r="E196" s="13">
        <v>196.0</v>
      </c>
      <c r="F196" s="14">
        <v>0.034</v>
      </c>
      <c r="G196" s="15">
        <v>107.0</v>
      </c>
      <c r="H196" s="15">
        <v>94.0</v>
      </c>
      <c r="I196" s="15">
        <v>104.0</v>
      </c>
      <c r="J196" s="15">
        <v>93.0</v>
      </c>
      <c r="K196" s="15">
        <v>100.0</v>
      </c>
      <c r="L196" s="15">
        <v>101.0</v>
      </c>
      <c r="M196" s="16">
        <v>99.0</v>
      </c>
      <c r="N196" s="16">
        <v>101.0</v>
      </c>
      <c r="O196" s="15">
        <f t="shared" si="1"/>
        <v>95.52574698</v>
      </c>
      <c r="P196" s="15">
        <f t="shared" si="2"/>
        <v>100</v>
      </c>
      <c r="Q196" s="15">
        <f t="shared" si="3"/>
        <v>100.7232472</v>
      </c>
      <c r="R196" s="15">
        <f t="shared" si="4"/>
        <v>99.25429116</v>
      </c>
    </row>
    <row r="197">
      <c r="A197" s="10">
        <v>666971.0</v>
      </c>
      <c r="B197" s="11" t="s">
        <v>213</v>
      </c>
      <c r="C197" s="12">
        <v>1369.0</v>
      </c>
      <c r="D197" s="10">
        <v>722.0</v>
      </c>
      <c r="E197" s="13">
        <v>305.0</v>
      </c>
      <c r="F197" s="14">
        <v>0.028</v>
      </c>
      <c r="G197" s="15">
        <v>103.0</v>
      </c>
      <c r="H197" s="15">
        <v>100.0</v>
      </c>
      <c r="I197" s="15">
        <v>118.0</v>
      </c>
      <c r="J197" s="15">
        <v>93.0</v>
      </c>
      <c r="K197" s="15">
        <v>121.0</v>
      </c>
      <c r="L197" s="15">
        <v>90.0</v>
      </c>
      <c r="M197" s="16">
        <v>99.0</v>
      </c>
      <c r="N197" s="16">
        <v>99.0</v>
      </c>
      <c r="O197" s="15">
        <f t="shared" si="1"/>
        <v>100</v>
      </c>
      <c r="P197" s="15">
        <f t="shared" si="2"/>
        <v>116.4446855</v>
      </c>
      <c r="Q197" s="15">
        <f t="shared" si="3"/>
        <v>91.97368421</v>
      </c>
      <c r="R197" s="15">
        <f t="shared" si="4"/>
        <v>99.22611645</v>
      </c>
    </row>
    <row r="198">
      <c r="A198" s="10">
        <v>572233.0</v>
      </c>
      <c r="B198" s="11" t="s">
        <v>214</v>
      </c>
      <c r="C198" s="12">
        <v>1489.0</v>
      </c>
      <c r="D198" s="10">
        <v>762.0</v>
      </c>
      <c r="E198" s="13">
        <v>245.0</v>
      </c>
      <c r="F198" s="14">
        <v>0.025</v>
      </c>
      <c r="G198" s="15">
        <v>116.0</v>
      </c>
      <c r="H198" s="15">
        <v>106.0</v>
      </c>
      <c r="I198" s="15">
        <v>117.0</v>
      </c>
      <c r="J198" s="15">
        <v>99.0</v>
      </c>
      <c r="K198" s="15">
        <v>84.0</v>
      </c>
      <c r="L198" s="15">
        <v>105.0</v>
      </c>
      <c r="M198" s="16">
        <v>99.0</v>
      </c>
      <c r="N198" s="16">
        <v>97.0</v>
      </c>
      <c r="O198" s="15">
        <f t="shared" si="1"/>
        <v>104.7294865</v>
      </c>
      <c r="P198" s="15">
        <f t="shared" si="2"/>
        <v>87.32640333</v>
      </c>
      <c r="Q198" s="15">
        <f t="shared" si="3"/>
        <v>103.828125</v>
      </c>
      <c r="R198" s="15">
        <f t="shared" si="4"/>
        <v>99.21175225</v>
      </c>
    </row>
    <row r="199">
      <c r="A199" s="10">
        <v>683011.0</v>
      </c>
      <c r="B199" s="11" t="s">
        <v>215</v>
      </c>
      <c r="C199" s="12">
        <v>1542.0</v>
      </c>
      <c r="D199" s="10">
        <v>684.0</v>
      </c>
      <c r="E199" s="13">
        <v>256.0</v>
      </c>
      <c r="F199" s="14">
        <v>-0.059</v>
      </c>
      <c r="G199" s="15">
        <v>107.0</v>
      </c>
      <c r="H199" s="15">
        <v>117.0</v>
      </c>
      <c r="I199" s="15">
        <v>99.0</v>
      </c>
      <c r="J199" s="15">
        <v>116.0</v>
      </c>
      <c r="K199" s="15">
        <v>92.0</v>
      </c>
      <c r="L199" s="15">
        <v>95.0</v>
      </c>
      <c r="M199" s="16">
        <v>99.0</v>
      </c>
      <c r="N199" s="16">
        <v>98.0</v>
      </c>
      <c r="O199" s="15">
        <f t="shared" si="1"/>
        <v>113.4984552</v>
      </c>
      <c r="P199" s="15">
        <f t="shared" si="2"/>
        <v>93.80995475</v>
      </c>
      <c r="Q199" s="15">
        <f t="shared" si="3"/>
        <v>96.13293051</v>
      </c>
      <c r="R199" s="15">
        <f t="shared" si="4"/>
        <v>99.20597322</v>
      </c>
    </row>
    <row r="200">
      <c r="A200" s="10">
        <v>596146.0</v>
      </c>
      <c r="B200" s="11" t="s">
        <v>216</v>
      </c>
      <c r="C200" s="12">
        <v>1250.0</v>
      </c>
      <c r="D200" s="10">
        <v>591.0</v>
      </c>
      <c r="E200" s="13">
        <v>210.0</v>
      </c>
      <c r="F200" s="14">
        <v>-0.014</v>
      </c>
      <c r="G200" s="15">
        <v>112.0</v>
      </c>
      <c r="H200" s="15">
        <v>106.0</v>
      </c>
      <c r="I200" s="15">
        <v>102.0</v>
      </c>
      <c r="J200" s="15">
        <v>105.0</v>
      </c>
      <c r="K200" s="15">
        <v>106.0</v>
      </c>
      <c r="L200" s="15">
        <v>92.0</v>
      </c>
      <c r="M200" s="16">
        <v>99.0</v>
      </c>
      <c r="N200" s="16">
        <v>95.0</v>
      </c>
      <c r="O200" s="15">
        <f t="shared" si="1"/>
        <v>104.5454545</v>
      </c>
      <c r="P200" s="15">
        <f t="shared" si="2"/>
        <v>104.482933</v>
      </c>
      <c r="Q200" s="15">
        <f t="shared" si="3"/>
        <v>94.10526316</v>
      </c>
      <c r="R200" s="15">
        <f t="shared" si="4"/>
        <v>99.24242424</v>
      </c>
    </row>
    <row r="201">
      <c r="A201" s="10">
        <v>678554.0</v>
      </c>
      <c r="B201" s="11" t="s">
        <v>217</v>
      </c>
      <c r="C201" s="12">
        <v>521.0</v>
      </c>
      <c r="D201" s="10">
        <v>225.0</v>
      </c>
      <c r="E201" s="13">
        <v>82.0</v>
      </c>
      <c r="F201" s="14">
        <v>-0.046</v>
      </c>
      <c r="G201" s="15">
        <v>102.0</v>
      </c>
      <c r="H201" s="15">
        <v>110.0</v>
      </c>
      <c r="I201" s="15">
        <v>94.0</v>
      </c>
      <c r="J201" s="15">
        <v>111.0</v>
      </c>
      <c r="K201" s="15">
        <v>103.0</v>
      </c>
      <c r="L201" s="15">
        <v>92.0</v>
      </c>
      <c r="M201" s="16">
        <v>98.0</v>
      </c>
      <c r="N201" s="16">
        <v>101.0</v>
      </c>
      <c r="O201" s="15">
        <f t="shared" si="1"/>
        <v>105.6568947</v>
      </c>
      <c r="P201" s="15">
        <f t="shared" si="2"/>
        <v>101.5882353</v>
      </c>
      <c r="Q201" s="15">
        <f t="shared" si="3"/>
        <v>95.82165605</v>
      </c>
      <c r="R201" s="15">
        <f t="shared" si="4"/>
        <v>98.86862106</v>
      </c>
    </row>
    <row r="202">
      <c r="A202" s="10">
        <v>680776.0</v>
      </c>
      <c r="B202" s="11" t="s">
        <v>218</v>
      </c>
      <c r="C202" s="12">
        <v>1640.0</v>
      </c>
      <c r="D202" s="10">
        <v>791.0</v>
      </c>
      <c r="E202" s="13">
        <v>298.0</v>
      </c>
      <c r="F202" s="14">
        <v>0.009</v>
      </c>
      <c r="G202" s="15">
        <v>88.0</v>
      </c>
      <c r="H202" s="15">
        <v>90.0</v>
      </c>
      <c r="I202" s="15">
        <v>100.0</v>
      </c>
      <c r="J202" s="15">
        <v>90.0</v>
      </c>
      <c r="K202" s="15">
        <v>99.0</v>
      </c>
      <c r="L202" s="15">
        <v>102.0</v>
      </c>
      <c r="M202" s="16">
        <v>98.0</v>
      </c>
      <c r="N202" s="16">
        <v>104.0</v>
      </c>
      <c r="O202" s="15">
        <f t="shared" si="1"/>
        <v>91.96078431</v>
      </c>
      <c r="P202" s="15">
        <f t="shared" si="2"/>
        <v>99.20181635</v>
      </c>
      <c r="Q202" s="15">
        <f t="shared" si="3"/>
        <v>101.5978552</v>
      </c>
      <c r="R202" s="15">
        <f t="shared" si="4"/>
        <v>98.39215686</v>
      </c>
    </row>
    <row r="203">
      <c r="A203" s="10">
        <v>680474.0</v>
      </c>
      <c r="B203" s="11" t="s">
        <v>219</v>
      </c>
      <c r="C203" s="12">
        <v>448.0</v>
      </c>
      <c r="D203" s="10">
        <v>210.0</v>
      </c>
      <c r="E203" s="13">
        <v>79.0</v>
      </c>
      <c r="F203" s="14">
        <v>-0.033</v>
      </c>
      <c r="G203" s="15">
        <v>133.0</v>
      </c>
      <c r="H203" s="15">
        <v>135.0</v>
      </c>
      <c r="I203" s="15">
        <v>121.0</v>
      </c>
      <c r="J203" s="15">
        <v>126.0</v>
      </c>
      <c r="K203" s="15">
        <v>102.0</v>
      </c>
      <c r="L203" s="15">
        <v>82.0</v>
      </c>
      <c r="M203" s="16">
        <v>98.0</v>
      </c>
      <c r="N203" s="16">
        <v>107.0</v>
      </c>
      <c r="O203" s="15">
        <f t="shared" si="1"/>
        <v>118.490566</v>
      </c>
      <c r="P203" s="15">
        <f t="shared" si="2"/>
        <v>101.0243902</v>
      </c>
      <c r="Q203" s="15">
        <f t="shared" si="3"/>
        <v>90.76623377</v>
      </c>
      <c r="R203" s="15">
        <f t="shared" si="4"/>
        <v>98.94339623</v>
      </c>
    </row>
    <row r="204">
      <c r="A204" s="10">
        <v>657077.0</v>
      </c>
      <c r="B204" s="11" t="s">
        <v>220</v>
      </c>
      <c r="C204" s="12">
        <v>872.0</v>
      </c>
      <c r="D204" s="10">
        <v>335.0</v>
      </c>
      <c r="E204" s="13">
        <v>164.0</v>
      </c>
      <c r="F204" s="14">
        <v>-0.1</v>
      </c>
      <c r="G204" s="15">
        <v>71.0</v>
      </c>
      <c r="H204" s="15">
        <v>91.0</v>
      </c>
      <c r="I204" s="15">
        <v>68.0</v>
      </c>
      <c r="J204" s="15">
        <v>105.0</v>
      </c>
      <c r="K204" s="15">
        <v>134.0</v>
      </c>
      <c r="L204" s="15">
        <v>89.0</v>
      </c>
      <c r="M204" s="16">
        <v>98.0</v>
      </c>
      <c r="N204" s="16">
        <v>87.0</v>
      </c>
      <c r="O204" s="15">
        <f t="shared" si="1"/>
        <v>93.83018868</v>
      </c>
      <c r="P204" s="15">
        <f t="shared" si="2"/>
        <v>121.2897196</v>
      </c>
      <c r="Q204" s="15">
        <f t="shared" si="3"/>
        <v>92.45188285</v>
      </c>
      <c r="R204" s="15">
        <f t="shared" si="4"/>
        <v>98.62893082</v>
      </c>
    </row>
    <row r="205">
      <c r="A205" s="10">
        <v>649966.0</v>
      </c>
      <c r="B205" s="11" t="s">
        <v>221</v>
      </c>
      <c r="C205" s="12">
        <v>1013.0</v>
      </c>
      <c r="D205" s="10">
        <v>425.0</v>
      </c>
      <c r="E205" s="13">
        <v>192.0</v>
      </c>
      <c r="F205" s="14">
        <v>-0.067</v>
      </c>
      <c r="G205" s="15">
        <v>95.0</v>
      </c>
      <c r="H205" s="15">
        <v>114.0</v>
      </c>
      <c r="I205" s="15">
        <v>94.0</v>
      </c>
      <c r="J205" s="15">
        <v>116.0</v>
      </c>
      <c r="K205" s="15">
        <v>117.0</v>
      </c>
      <c r="L205" s="15">
        <v>85.0</v>
      </c>
      <c r="M205" s="16">
        <v>98.0</v>
      </c>
      <c r="N205" s="16">
        <v>101.0</v>
      </c>
      <c r="O205" s="15">
        <f t="shared" si="1"/>
        <v>110.0368011</v>
      </c>
      <c r="P205" s="15">
        <f t="shared" si="2"/>
        <v>111.56</v>
      </c>
      <c r="Q205" s="15">
        <f t="shared" si="3"/>
        <v>89.21348315</v>
      </c>
      <c r="R205" s="15">
        <f t="shared" si="4"/>
        <v>98.56617127</v>
      </c>
    </row>
    <row r="206">
      <c r="A206" s="10">
        <v>602104.0</v>
      </c>
      <c r="B206" s="11" t="s">
        <v>222</v>
      </c>
      <c r="C206" s="12">
        <v>989.0</v>
      </c>
      <c r="D206" s="10">
        <v>469.0</v>
      </c>
      <c r="E206" s="13">
        <v>181.0</v>
      </c>
      <c r="F206" s="14">
        <v>-0.008</v>
      </c>
      <c r="G206" s="15">
        <v>112.0</v>
      </c>
      <c r="H206" s="15">
        <v>117.0</v>
      </c>
      <c r="I206" s="15">
        <v>116.0</v>
      </c>
      <c r="J206" s="15">
        <v>110.0</v>
      </c>
      <c r="K206" s="15">
        <v>91.0</v>
      </c>
      <c r="L206" s="15">
        <v>94.0</v>
      </c>
      <c r="M206" s="16">
        <v>98.0</v>
      </c>
      <c r="N206" s="16">
        <v>96.0</v>
      </c>
      <c r="O206" s="15">
        <f t="shared" si="1"/>
        <v>112.1043916</v>
      </c>
      <c r="P206" s="15">
        <f t="shared" si="2"/>
        <v>93.69058296</v>
      </c>
      <c r="Q206" s="15">
        <f t="shared" si="3"/>
        <v>95.7578125</v>
      </c>
      <c r="R206" s="15">
        <f t="shared" si="4"/>
        <v>98.57595392</v>
      </c>
    </row>
    <row r="207">
      <c r="A207" s="10">
        <v>518595.0</v>
      </c>
      <c r="B207" s="11" t="s">
        <v>223</v>
      </c>
      <c r="C207" s="12">
        <v>550.0</v>
      </c>
      <c r="D207" s="10">
        <v>300.0</v>
      </c>
      <c r="E207" s="13">
        <v>93.0</v>
      </c>
      <c r="F207" s="14">
        <v>0.033</v>
      </c>
      <c r="G207" s="15">
        <v>94.0</v>
      </c>
      <c r="H207" s="15">
        <v>88.0</v>
      </c>
      <c r="I207" s="15">
        <v>88.0</v>
      </c>
      <c r="J207" s="15">
        <v>93.0</v>
      </c>
      <c r="K207" s="15">
        <v>80.0</v>
      </c>
      <c r="L207" s="15">
        <v>113.0</v>
      </c>
      <c r="M207" s="16">
        <v>97.0</v>
      </c>
      <c r="N207" s="16">
        <v>103.0</v>
      </c>
      <c r="O207" s="15">
        <f t="shared" si="1"/>
        <v>93.05263158</v>
      </c>
      <c r="P207" s="15">
        <f t="shared" si="2"/>
        <v>88</v>
      </c>
      <c r="Q207" s="15">
        <f t="shared" si="3"/>
        <v>107.1964286</v>
      </c>
      <c r="R207" s="15">
        <f t="shared" si="4"/>
        <v>98.26315789</v>
      </c>
    </row>
    <row r="208">
      <c r="A208" s="10">
        <v>607208.0</v>
      </c>
      <c r="B208" s="11" t="s">
        <v>224</v>
      </c>
      <c r="C208" s="12">
        <v>1601.0</v>
      </c>
      <c r="D208" s="10">
        <v>806.0</v>
      </c>
      <c r="E208" s="13">
        <v>319.0</v>
      </c>
      <c r="F208" s="14">
        <v>0.008</v>
      </c>
      <c r="G208" s="15">
        <v>111.0</v>
      </c>
      <c r="H208" s="15">
        <v>105.0</v>
      </c>
      <c r="I208" s="15">
        <v>112.0</v>
      </c>
      <c r="J208" s="15">
        <v>100.0</v>
      </c>
      <c r="K208" s="15">
        <v>112.0</v>
      </c>
      <c r="L208" s="15">
        <v>89.0</v>
      </c>
      <c r="M208" s="16">
        <v>97.0</v>
      </c>
      <c r="N208" s="16">
        <v>111.0</v>
      </c>
      <c r="O208" s="15">
        <f t="shared" si="1"/>
        <v>104.0004998</v>
      </c>
      <c r="P208" s="15">
        <f t="shared" si="2"/>
        <v>109.6143141</v>
      </c>
      <c r="Q208" s="15">
        <f t="shared" si="3"/>
        <v>91.09390863</v>
      </c>
      <c r="R208" s="15">
        <f t="shared" si="4"/>
        <v>97.59970015</v>
      </c>
    </row>
    <row r="209">
      <c r="A209" s="10">
        <v>805367.0</v>
      </c>
      <c r="B209" s="11" t="s">
        <v>225</v>
      </c>
      <c r="C209" s="12">
        <v>1239.0</v>
      </c>
      <c r="D209" s="10">
        <v>446.0</v>
      </c>
      <c r="E209" s="13">
        <v>220.0</v>
      </c>
      <c r="F209" s="14">
        <v>-0.128</v>
      </c>
      <c r="G209" s="15">
        <v>72.0</v>
      </c>
      <c r="H209" s="15">
        <v>113.0</v>
      </c>
      <c r="I209" s="15">
        <v>86.0</v>
      </c>
      <c r="J209" s="15">
        <v>118.0</v>
      </c>
      <c r="K209" s="15">
        <v>120.0</v>
      </c>
      <c r="L209" s="15">
        <v>84.0</v>
      </c>
      <c r="M209" s="16">
        <v>97.0</v>
      </c>
      <c r="N209" s="16">
        <v>97.0</v>
      </c>
      <c r="O209" s="15">
        <f t="shared" si="1"/>
        <v>109.8273337</v>
      </c>
      <c r="P209" s="15">
        <f t="shared" si="2"/>
        <v>113.8080495</v>
      </c>
      <c r="Q209" s="15">
        <f t="shared" si="3"/>
        <v>88.06779661</v>
      </c>
      <c r="R209" s="15">
        <f t="shared" si="4"/>
        <v>97.73215375</v>
      </c>
    </row>
    <row r="210">
      <c r="A210" s="10">
        <v>624585.0</v>
      </c>
      <c r="B210" s="11" t="s">
        <v>226</v>
      </c>
      <c r="C210" s="12">
        <v>1218.0</v>
      </c>
      <c r="D210" s="10">
        <v>546.0</v>
      </c>
      <c r="E210" s="13">
        <v>176.0</v>
      </c>
      <c r="F210" s="14">
        <v>-0.05</v>
      </c>
      <c r="G210" s="15">
        <v>101.0</v>
      </c>
      <c r="H210" s="15">
        <v>113.0</v>
      </c>
      <c r="I210" s="15">
        <v>100.0</v>
      </c>
      <c r="J210" s="15">
        <v>112.0</v>
      </c>
      <c r="K210" s="15">
        <v>87.0</v>
      </c>
      <c r="L210" s="15">
        <v>97.0</v>
      </c>
      <c r="M210" s="16">
        <v>97.0</v>
      </c>
      <c r="N210" s="16">
        <v>97.0</v>
      </c>
      <c r="O210" s="15">
        <f t="shared" si="1"/>
        <v>109.7861557</v>
      </c>
      <c r="P210" s="15">
        <f t="shared" si="2"/>
        <v>90.48525469</v>
      </c>
      <c r="Q210" s="15">
        <f t="shared" si="3"/>
        <v>97.89641434</v>
      </c>
      <c r="R210" s="15">
        <f t="shared" si="4"/>
        <v>97.74165637</v>
      </c>
    </row>
    <row r="211">
      <c r="A211" s="10">
        <v>571771.0</v>
      </c>
      <c r="B211" s="11" t="s">
        <v>227</v>
      </c>
      <c r="C211" s="12">
        <v>719.0</v>
      </c>
      <c r="D211" s="10">
        <v>356.0</v>
      </c>
      <c r="E211" s="13">
        <v>120.0</v>
      </c>
      <c r="F211" s="14">
        <v>0.006</v>
      </c>
      <c r="G211" s="15">
        <v>106.0</v>
      </c>
      <c r="H211" s="15">
        <v>105.0</v>
      </c>
      <c r="I211" s="15">
        <v>106.0</v>
      </c>
      <c r="J211" s="15">
        <v>103.0</v>
      </c>
      <c r="K211" s="15">
        <v>86.0</v>
      </c>
      <c r="L211" s="15">
        <v>101.0</v>
      </c>
      <c r="M211" s="16">
        <v>97.0</v>
      </c>
      <c r="N211" s="16">
        <v>85.0</v>
      </c>
      <c r="O211" s="15">
        <f t="shared" si="1"/>
        <v>103.2126899</v>
      </c>
      <c r="P211" s="15">
        <f t="shared" si="2"/>
        <v>91.03597122</v>
      </c>
      <c r="Q211" s="15">
        <f t="shared" si="3"/>
        <v>100.6153846</v>
      </c>
      <c r="R211" s="15">
        <f t="shared" si="4"/>
        <v>98.07238606</v>
      </c>
    </row>
    <row r="212">
      <c r="A212" s="10">
        <v>666624.0</v>
      </c>
      <c r="B212" s="11" t="s">
        <v>228</v>
      </c>
      <c r="C212" s="12">
        <v>696.0</v>
      </c>
      <c r="D212" s="10">
        <v>382.0</v>
      </c>
      <c r="E212" s="13">
        <v>108.0</v>
      </c>
      <c r="F212" s="14">
        <v>0.053</v>
      </c>
      <c r="G212" s="15">
        <v>127.0</v>
      </c>
      <c r="H212" s="15">
        <v>99.0</v>
      </c>
      <c r="I212" s="15">
        <v>93.0</v>
      </c>
      <c r="J212" s="15">
        <v>101.0</v>
      </c>
      <c r="K212" s="15">
        <v>79.0</v>
      </c>
      <c r="L212" s="15">
        <v>109.0</v>
      </c>
      <c r="M212" s="16">
        <v>97.0</v>
      </c>
      <c r="N212" s="16">
        <v>97.0</v>
      </c>
      <c r="O212" s="15">
        <f t="shared" si="1"/>
        <v>99.3649635</v>
      </c>
      <c r="P212" s="15">
        <f t="shared" si="2"/>
        <v>86.21649485</v>
      </c>
      <c r="Q212" s="15">
        <f t="shared" si="3"/>
        <v>105.3114754</v>
      </c>
      <c r="R212" s="15">
        <f t="shared" si="4"/>
        <v>98.09489051</v>
      </c>
    </row>
    <row r="213">
      <c r="A213" s="10">
        <v>670042.0</v>
      </c>
      <c r="B213" s="11" t="s">
        <v>229</v>
      </c>
      <c r="C213" s="12">
        <v>583.0</v>
      </c>
      <c r="D213" s="10">
        <v>319.0</v>
      </c>
      <c r="E213" s="13">
        <v>93.0</v>
      </c>
      <c r="F213" s="14">
        <v>0.064</v>
      </c>
      <c r="G213" s="15">
        <v>130.0</v>
      </c>
      <c r="H213" s="15">
        <v>115.0</v>
      </c>
      <c r="I213" s="15">
        <v>130.0</v>
      </c>
      <c r="J213" s="15">
        <v>103.0</v>
      </c>
      <c r="K213" s="15">
        <v>77.0</v>
      </c>
      <c r="L213" s="15">
        <v>102.0</v>
      </c>
      <c r="M213" s="16">
        <v>97.0</v>
      </c>
      <c r="N213" s="16">
        <v>100.0</v>
      </c>
      <c r="O213" s="15">
        <f t="shared" si="1"/>
        <v>108.896236</v>
      </c>
      <c r="P213" s="15">
        <f t="shared" si="2"/>
        <v>85.86319846</v>
      </c>
      <c r="Q213" s="15">
        <f t="shared" si="3"/>
        <v>101.1071429</v>
      </c>
      <c r="R213" s="15">
        <f t="shared" si="4"/>
        <v>98.2207528</v>
      </c>
    </row>
    <row r="214">
      <c r="A214" s="10">
        <v>570482.0</v>
      </c>
      <c r="B214" s="11" t="s">
        <v>230</v>
      </c>
      <c r="C214" s="12">
        <v>486.0</v>
      </c>
      <c r="D214" s="10">
        <v>267.0</v>
      </c>
      <c r="E214" s="13">
        <v>100.0</v>
      </c>
      <c r="F214" s="14">
        <v>0.069</v>
      </c>
      <c r="G214" s="15">
        <v>83.0</v>
      </c>
      <c r="H214" s="15">
        <v>83.0</v>
      </c>
      <c r="I214" s="15">
        <v>114.0</v>
      </c>
      <c r="J214" s="15">
        <v>79.0</v>
      </c>
      <c r="K214" s="15">
        <v>113.0</v>
      </c>
      <c r="L214" s="15">
        <v>96.0</v>
      </c>
      <c r="M214" s="16">
        <v>97.0</v>
      </c>
      <c r="N214" s="16">
        <v>86.0</v>
      </c>
      <c r="O214" s="15">
        <f t="shared" si="1"/>
        <v>90.67494357</v>
      </c>
      <c r="P214" s="15">
        <f t="shared" si="2"/>
        <v>107.4325482</v>
      </c>
      <c r="Q214" s="15">
        <f t="shared" si="3"/>
        <v>97.71428571</v>
      </c>
      <c r="R214" s="15">
        <f t="shared" si="4"/>
        <v>98.35440181</v>
      </c>
    </row>
    <row r="215">
      <c r="A215" s="10">
        <v>663886.0</v>
      </c>
      <c r="B215" s="11" t="s">
        <v>231</v>
      </c>
      <c r="C215" s="12">
        <v>887.0</v>
      </c>
      <c r="D215" s="10">
        <v>389.0</v>
      </c>
      <c r="E215" s="13">
        <v>114.0</v>
      </c>
      <c r="F215" s="14">
        <v>-0.056</v>
      </c>
      <c r="G215" s="15">
        <v>104.0</v>
      </c>
      <c r="H215" s="15">
        <v>100.0</v>
      </c>
      <c r="I215" s="15">
        <v>63.0</v>
      </c>
      <c r="J215" s="15">
        <v>113.0</v>
      </c>
      <c r="K215" s="15">
        <v>73.0</v>
      </c>
      <c r="L215" s="15">
        <v>112.0</v>
      </c>
      <c r="M215" s="16">
        <v>97.0</v>
      </c>
      <c r="N215" s="16">
        <v>104.0</v>
      </c>
      <c r="O215" s="15">
        <f t="shared" si="1"/>
        <v>100</v>
      </c>
      <c r="P215" s="15">
        <f t="shared" si="2"/>
        <v>82.16808149</v>
      </c>
      <c r="Q215" s="15">
        <f t="shared" si="3"/>
        <v>107.2380952</v>
      </c>
      <c r="R215" s="15">
        <f t="shared" si="4"/>
        <v>97.93240093</v>
      </c>
    </row>
    <row r="216">
      <c r="A216" s="10">
        <v>663993.0</v>
      </c>
      <c r="B216" s="11" t="s">
        <v>232</v>
      </c>
      <c r="C216" s="12">
        <v>1681.0</v>
      </c>
      <c r="D216" s="10">
        <v>758.0</v>
      </c>
      <c r="E216" s="13">
        <v>256.0</v>
      </c>
      <c r="F216" s="14">
        <v>-0.047</v>
      </c>
      <c r="G216" s="15">
        <v>93.0</v>
      </c>
      <c r="H216" s="15">
        <v>98.0</v>
      </c>
      <c r="I216" s="15">
        <v>87.0</v>
      </c>
      <c r="J216" s="15">
        <v>104.0</v>
      </c>
      <c r="K216" s="15">
        <v>91.0</v>
      </c>
      <c r="L216" s="15">
        <v>101.0</v>
      </c>
      <c r="M216" s="16">
        <v>97.0</v>
      </c>
      <c r="N216" s="16">
        <v>97.0</v>
      </c>
      <c r="O216" s="15">
        <f t="shared" si="1"/>
        <v>98.38443056</v>
      </c>
      <c r="P216" s="15">
        <f t="shared" si="2"/>
        <v>92.87891441</v>
      </c>
      <c r="Q216" s="15">
        <f t="shared" si="3"/>
        <v>100.7734139</v>
      </c>
      <c r="R216" s="15">
        <f t="shared" si="4"/>
        <v>97.57664584</v>
      </c>
    </row>
    <row r="217">
      <c r="A217" s="10">
        <v>681082.0</v>
      </c>
      <c r="B217" s="11" t="s">
        <v>233</v>
      </c>
      <c r="C217" s="12">
        <v>1544.0</v>
      </c>
      <c r="D217" s="10">
        <v>613.0</v>
      </c>
      <c r="E217" s="13">
        <v>257.0</v>
      </c>
      <c r="F217" s="14">
        <v>-0.11</v>
      </c>
      <c r="G217" s="15">
        <v>78.0</v>
      </c>
      <c r="H217" s="15">
        <v>109.0</v>
      </c>
      <c r="I217" s="15">
        <v>97.0</v>
      </c>
      <c r="J217" s="15">
        <v>111.0</v>
      </c>
      <c r="K217" s="15">
        <v>112.0</v>
      </c>
      <c r="L217" s="15">
        <v>87.0</v>
      </c>
      <c r="M217" s="16">
        <v>97.0</v>
      </c>
      <c r="N217" s="16">
        <v>96.0</v>
      </c>
      <c r="O217" s="15">
        <f t="shared" si="1"/>
        <v>107.1481481</v>
      </c>
      <c r="P217" s="15">
        <f t="shared" si="2"/>
        <v>109.0479705</v>
      </c>
      <c r="Q217" s="15">
        <f t="shared" si="3"/>
        <v>89.93674699</v>
      </c>
      <c r="R217" s="15">
        <f t="shared" si="4"/>
        <v>97.61728395</v>
      </c>
    </row>
    <row r="218">
      <c r="A218" s="10">
        <v>663616.0</v>
      </c>
      <c r="B218" s="11" t="s">
        <v>234</v>
      </c>
      <c r="C218" s="12">
        <v>1422.0</v>
      </c>
      <c r="D218" s="10">
        <v>646.0</v>
      </c>
      <c r="E218" s="13">
        <v>250.0</v>
      </c>
      <c r="F218" s="14">
        <v>-0.017</v>
      </c>
      <c r="G218" s="15">
        <v>92.0</v>
      </c>
      <c r="H218" s="15">
        <v>93.0</v>
      </c>
      <c r="I218" s="15">
        <v>93.0</v>
      </c>
      <c r="J218" s="15">
        <v>95.0</v>
      </c>
      <c r="K218" s="15">
        <v>109.0</v>
      </c>
      <c r="L218" s="15">
        <v>95.0</v>
      </c>
      <c r="M218" s="16">
        <v>97.0</v>
      </c>
      <c r="N218" s="16">
        <v>101.0</v>
      </c>
      <c r="O218" s="15">
        <f t="shared" si="1"/>
        <v>94.53677278</v>
      </c>
      <c r="P218" s="15">
        <f t="shared" si="2"/>
        <v>106.8723404</v>
      </c>
      <c r="Q218" s="15">
        <f t="shared" si="3"/>
        <v>96.15384615</v>
      </c>
      <c r="R218" s="15">
        <f t="shared" si="4"/>
        <v>97.6586169</v>
      </c>
    </row>
    <row r="219">
      <c r="A219" s="10">
        <v>680779.0</v>
      </c>
      <c r="B219" s="11" t="s">
        <v>235</v>
      </c>
      <c r="C219" s="12">
        <v>533.0</v>
      </c>
      <c r="D219" s="10">
        <v>295.0</v>
      </c>
      <c r="E219" s="13">
        <v>97.0</v>
      </c>
      <c r="F219" s="14">
        <v>0.043</v>
      </c>
      <c r="G219" s="15">
        <v>111.0</v>
      </c>
      <c r="H219" s="15">
        <v>105.0</v>
      </c>
      <c r="I219" s="15">
        <v>108.0</v>
      </c>
      <c r="J219" s="15">
        <v>102.0</v>
      </c>
      <c r="K219" s="15">
        <v>92.0</v>
      </c>
      <c r="L219" s="15">
        <v>98.0</v>
      </c>
      <c r="M219" s="16">
        <v>97.0</v>
      </c>
      <c r="N219" s="16">
        <v>82.0</v>
      </c>
      <c r="O219" s="15">
        <f t="shared" si="1"/>
        <v>102.8563773</v>
      </c>
      <c r="P219" s="15">
        <f t="shared" si="2"/>
        <v>95.23232323</v>
      </c>
      <c r="Q219" s="15">
        <f t="shared" si="3"/>
        <v>98.87209302</v>
      </c>
      <c r="R219" s="15">
        <f t="shared" si="4"/>
        <v>98.28617363</v>
      </c>
    </row>
    <row r="220">
      <c r="A220" s="10">
        <v>650859.0</v>
      </c>
      <c r="B220" s="11" t="s">
        <v>236</v>
      </c>
      <c r="C220" s="12">
        <v>1161.0</v>
      </c>
      <c r="D220" s="10">
        <v>629.0</v>
      </c>
      <c r="E220" s="13">
        <v>252.0</v>
      </c>
      <c r="F220" s="14">
        <v>0.069</v>
      </c>
      <c r="G220" s="15">
        <v>105.0</v>
      </c>
      <c r="H220" s="15">
        <v>96.0</v>
      </c>
      <c r="I220" s="15">
        <v>117.0</v>
      </c>
      <c r="J220" s="15">
        <v>89.0</v>
      </c>
      <c r="K220" s="15">
        <v>107.0</v>
      </c>
      <c r="L220" s="15">
        <v>94.0</v>
      </c>
      <c r="M220" s="16">
        <v>96.0</v>
      </c>
      <c r="N220" s="16">
        <v>85.0</v>
      </c>
      <c r="O220" s="15">
        <f t="shared" si="1"/>
        <v>97.02498398</v>
      </c>
      <c r="P220" s="15">
        <f t="shared" si="2"/>
        <v>105.3112183</v>
      </c>
      <c r="Q220" s="15">
        <f t="shared" si="3"/>
        <v>95.37614679</v>
      </c>
      <c r="R220" s="15">
        <f t="shared" si="4"/>
        <v>97.02498398</v>
      </c>
    </row>
    <row r="221">
      <c r="A221" s="10">
        <v>596115.0</v>
      </c>
      <c r="B221" s="11" t="s">
        <v>237</v>
      </c>
      <c r="C221" s="12">
        <v>1458.0</v>
      </c>
      <c r="D221" s="10">
        <v>797.0</v>
      </c>
      <c r="E221" s="13">
        <v>254.0</v>
      </c>
      <c r="F221" s="14">
        <v>0.051</v>
      </c>
      <c r="G221" s="15">
        <v>96.0</v>
      </c>
      <c r="H221" s="15">
        <v>85.0</v>
      </c>
      <c r="I221" s="15">
        <v>108.0</v>
      </c>
      <c r="J221" s="15">
        <v>82.0</v>
      </c>
      <c r="K221" s="15">
        <v>91.0</v>
      </c>
      <c r="L221" s="15">
        <v>106.0</v>
      </c>
      <c r="M221" s="16">
        <v>96.0</v>
      </c>
      <c r="N221" s="16">
        <v>100.0</v>
      </c>
      <c r="O221" s="15">
        <f t="shared" si="1"/>
        <v>88.22927879</v>
      </c>
      <c r="P221" s="15">
        <f t="shared" si="2"/>
        <v>92.80541625</v>
      </c>
      <c r="Q221" s="15">
        <f t="shared" si="3"/>
        <v>104.6322188</v>
      </c>
      <c r="R221" s="15">
        <f t="shared" si="4"/>
        <v>96.86114101</v>
      </c>
    </row>
    <row r="222">
      <c r="A222" s="10">
        <v>691026.0</v>
      </c>
      <c r="B222" s="11" t="s">
        <v>238</v>
      </c>
      <c r="C222" s="12">
        <v>1519.0</v>
      </c>
      <c r="D222" s="10">
        <v>667.0</v>
      </c>
      <c r="E222" s="13">
        <v>264.0</v>
      </c>
      <c r="F222" s="14">
        <v>-0.073</v>
      </c>
      <c r="G222" s="15">
        <v>88.0</v>
      </c>
      <c r="H222" s="15">
        <v>108.0</v>
      </c>
      <c r="I222" s="15">
        <v>102.0</v>
      </c>
      <c r="J222" s="15">
        <v>107.0</v>
      </c>
      <c r="K222" s="15">
        <v>111.0</v>
      </c>
      <c r="L222" s="15">
        <v>87.0</v>
      </c>
      <c r="M222" s="16">
        <v>96.0</v>
      </c>
      <c r="N222" s="16">
        <v>104.0</v>
      </c>
      <c r="O222" s="15">
        <f t="shared" si="1"/>
        <v>106.3324648</v>
      </c>
      <c r="P222" s="15">
        <f t="shared" si="2"/>
        <v>108.4625144</v>
      </c>
      <c r="Q222" s="15">
        <f t="shared" si="3"/>
        <v>89.87610619</v>
      </c>
      <c r="R222" s="15">
        <f t="shared" si="4"/>
        <v>96.83376759</v>
      </c>
    </row>
    <row r="223">
      <c r="A223" s="10">
        <v>671732.0</v>
      </c>
      <c r="B223" s="11" t="s">
        <v>239</v>
      </c>
      <c r="C223" s="12">
        <v>1630.0</v>
      </c>
      <c r="D223" s="10">
        <v>761.0</v>
      </c>
      <c r="E223" s="13">
        <v>255.0</v>
      </c>
      <c r="F223" s="14">
        <v>-0.013</v>
      </c>
      <c r="G223" s="15">
        <v>106.0</v>
      </c>
      <c r="H223" s="15">
        <v>99.0</v>
      </c>
      <c r="I223" s="15">
        <v>92.0</v>
      </c>
      <c r="J223" s="15">
        <v>101.0</v>
      </c>
      <c r="K223" s="15">
        <v>89.0</v>
      </c>
      <c r="L223" s="15">
        <v>101.0</v>
      </c>
      <c r="M223" s="16">
        <v>96.0</v>
      </c>
      <c r="N223" s="16">
        <v>106.0</v>
      </c>
      <c r="O223" s="15">
        <f t="shared" si="1"/>
        <v>99.19704433</v>
      </c>
      <c r="P223" s="15">
        <f t="shared" si="2"/>
        <v>91.289282</v>
      </c>
      <c r="Q223" s="15">
        <f t="shared" si="3"/>
        <v>100.7727273</v>
      </c>
      <c r="R223" s="15">
        <f t="shared" si="4"/>
        <v>96.78817734</v>
      </c>
    </row>
    <row r="224">
      <c r="A224" s="10">
        <v>680574.0</v>
      </c>
      <c r="B224" s="11" t="s">
        <v>240</v>
      </c>
      <c r="C224" s="12">
        <v>1429.0</v>
      </c>
      <c r="D224" s="10">
        <v>606.0</v>
      </c>
      <c r="E224" s="13">
        <v>218.0</v>
      </c>
      <c r="F224" s="14">
        <v>-0.077</v>
      </c>
      <c r="G224" s="15">
        <v>84.0</v>
      </c>
      <c r="H224" s="15">
        <v>104.0</v>
      </c>
      <c r="I224" s="15">
        <v>80.0</v>
      </c>
      <c r="J224" s="15">
        <v>111.0</v>
      </c>
      <c r="K224" s="15">
        <v>89.0</v>
      </c>
      <c r="L224" s="15">
        <v>99.0</v>
      </c>
      <c r="M224" s="16">
        <v>96.0</v>
      </c>
      <c r="N224" s="16">
        <v>98.0</v>
      </c>
      <c r="O224" s="15">
        <f t="shared" si="1"/>
        <v>103.125205</v>
      </c>
      <c r="P224" s="15">
        <f t="shared" si="2"/>
        <v>91.72952854</v>
      </c>
      <c r="Q224" s="15">
        <f t="shared" si="3"/>
        <v>99.2559727</v>
      </c>
      <c r="R224" s="15">
        <f t="shared" si="4"/>
        <v>96.87479497</v>
      </c>
    </row>
    <row r="225">
      <c r="A225" s="10">
        <v>677588.0</v>
      </c>
      <c r="B225" s="11" t="s">
        <v>241</v>
      </c>
      <c r="C225" s="12">
        <v>625.0</v>
      </c>
      <c r="D225" s="10">
        <v>280.0</v>
      </c>
      <c r="E225" s="13">
        <v>104.0</v>
      </c>
      <c r="F225" s="14">
        <v>-0.018</v>
      </c>
      <c r="G225" s="15">
        <v>102.0</v>
      </c>
      <c r="H225" s="15">
        <v>98.0</v>
      </c>
      <c r="I225" s="15">
        <v>92.0</v>
      </c>
      <c r="J225" s="15">
        <v>100.0</v>
      </c>
      <c r="K225" s="15">
        <v>104.0</v>
      </c>
      <c r="L225" s="15">
        <v>94.0</v>
      </c>
      <c r="M225" s="16">
        <v>96.0</v>
      </c>
      <c r="N225" s="16">
        <v>98.0</v>
      </c>
      <c r="O225" s="15">
        <f t="shared" si="1"/>
        <v>98.7804878</v>
      </c>
      <c r="P225" s="15">
        <f t="shared" si="2"/>
        <v>102.3333333</v>
      </c>
      <c r="Q225" s="15">
        <f t="shared" si="3"/>
        <v>96.51396648</v>
      </c>
      <c r="R225" s="15">
        <f t="shared" si="4"/>
        <v>97.56097561</v>
      </c>
    </row>
    <row r="226">
      <c r="A226" s="10">
        <v>682626.0</v>
      </c>
      <c r="B226" s="11" t="s">
        <v>242</v>
      </c>
      <c r="C226" s="12">
        <v>537.0</v>
      </c>
      <c r="D226" s="10">
        <v>269.0</v>
      </c>
      <c r="E226" s="13">
        <v>84.0</v>
      </c>
      <c r="F226" s="14">
        <v>0.012</v>
      </c>
      <c r="G226" s="15">
        <v>111.0</v>
      </c>
      <c r="H226" s="15">
        <v>99.0</v>
      </c>
      <c r="I226" s="15">
        <v>101.0</v>
      </c>
      <c r="J226" s="15">
        <v>98.0</v>
      </c>
      <c r="K226" s="15">
        <v>85.0</v>
      </c>
      <c r="L226" s="15">
        <v>103.0</v>
      </c>
      <c r="M226" s="16">
        <v>96.0</v>
      </c>
      <c r="N226" s="16">
        <v>95.0</v>
      </c>
      <c r="O226" s="15">
        <f t="shared" si="1"/>
        <v>99.42689434</v>
      </c>
      <c r="P226" s="15">
        <f t="shared" si="2"/>
        <v>91.39658849</v>
      </c>
      <c r="Q226" s="15">
        <f t="shared" si="3"/>
        <v>101.5849057</v>
      </c>
      <c r="R226" s="15">
        <f t="shared" si="4"/>
        <v>97.70757737</v>
      </c>
    </row>
    <row r="227">
      <c r="A227" s="10">
        <v>665926.0</v>
      </c>
      <c r="B227" s="11" t="s">
        <v>243</v>
      </c>
      <c r="C227" s="12">
        <v>908.0</v>
      </c>
      <c r="D227" s="10">
        <v>452.0</v>
      </c>
      <c r="E227" s="13">
        <v>174.0</v>
      </c>
      <c r="F227" s="14">
        <v>0.007</v>
      </c>
      <c r="G227" s="15">
        <v>77.0</v>
      </c>
      <c r="H227" s="15">
        <v>93.0</v>
      </c>
      <c r="I227" s="15">
        <v>111.0</v>
      </c>
      <c r="J227" s="15">
        <v>88.0</v>
      </c>
      <c r="K227" s="15">
        <v>110.0</v>
      </c>
      <c r="L227" s="15">
        <v>93.0</v>
      </c>
      <c r="M227" s="16">
        <v>95.0</v>
      </c>
      <c r="N227" s="16">
        <v>92.0</v>
      </c>
      <c r="O227" s="15">
        <f t="shared" si="1"/>
        <v>95.14067278</v>
      </c>
      <c r="P227" s="15">
        <f t="shared" si="2"/>
        <v>106.9325153</v>
      </c>
      <c r="Q227" s="15">
        <f t="shared" si="3"/>
        <v>95.10843373</v>
      </c>
      <c r="R227" s="15">
        <f t="shared" si="4"/>
        <v>96.52905199</v>
      </c>
    </row>
    <row r="228">
      <c r="A228" s="10">
        <v>641943.0</v>
      </c>
      <c r="B228" s="11" t="s">
        <v>244</v>
      </c>
      <c r="C228" s="12">
        <v>558.0</v>
      </c>
      <c r="D228" s="10">
        <v>288.0</v>
      </c>
      <c r="E228" s="13">
        <v>93.0</v>
      </c>
      <c r="F228" s="14">
        <v>0.021</v>
      </c>
      <c r="G228" s="15">
        <v>116.0</v>
      </c>
      <c r="H228" s="15">
        <v>114.0</v>
      </c>
      <c r="I228" s="15">
        <v>119.0</v>
      </c>
      <c r="J228" s="15">
        <v>106.0</v>
      </c>
      <c r="K228" s="15">
        <v>83.0</v>
      </c>
      <c r="L228" s="15">
        <v>98.0</v>
      </c>
      <c r="M228" s="16">
        <v>95.0</v>
      </c>
      <c r="N228" s="16">
        <v>89.0</v>
      </c>
      <c r="O228" s="15">
        <f t="shared" si="1"/>
        <v>108.1544885</v>
      </c>
      <c r="P228" s="15">
        <f t="shared" si="2"/>
        <v>89.96721311</v>
      </c>
      <c r="Q228" s="15">
        <f t="shared" si="3"/>
        <v>98.89285714</v>
      </c>
      <c r="R228" s="15">
        <f t="shared" si="4"/>
        <v>97.08768267</v>
      </c>
    </row>
    <row r="229">
      <c r="A229" s="10">
        <v>694192.0</v>
      </c>
      <c r="B229" s="11" t="s">
        <v>245</v>
      </c>
      <c r="C229" s="12">
        <v>1450.0</v>
      </c>
      <c r="D229" s="10">
        <v>783.0</v>
      </c>
      <c r="E229" s="13">
        <v>313.0</v>
      </c>
      <c r="F229" s="14">
        <v>0.053</v>
      </c>
      <c r="G229" s="15">
        <v>87.0</v>
      </c>
      <c r="H229" s="15">
        <v>83.0</v>
      </c>
      <c r="I229" s="15">
        <v>106.0</v>
      </c>
      <c r="J229" s="15">
        <v>81.0</v>
      </c>
      <c r="K229" s="15">
        <v>107.0</v>
      </c>
      <c r="L229" s="15">
        <v>98.0</v>
      </c>
      <c r="M229" s="16">
        <v>95.0</v>
      </c>
      <c r="N229" s="16">
        <v>104.0</v>
      </c>
      <c r="O229" s="15">
        <f t="shared" si="1"/>
        <v>86.67567568</v>
      </c>
      <c r="P229" s="15">
        <f t="shared" si="2"/>
        <v>105.5757884</v>
      </c>
      <c r="Q229" s="15">
        <f t="shared" si="3"/>
        <v>98.38659794</v>
      </c>
      <c r="R229" s="15">
        <f t="shared" si="4"/>
        <v>96.08108108</v>
      </c>
    </row>
    <row r="230">
      <c r="A230" s="10">
        <v>669743.0</v>
      </c>
      <c r="B230" s="11" t="s">
        <v>246</v>
      </c>
      <c r="C230" s="12">
        <v>835.0</v>
      </c>
      <c r="D230" s="10">
        <v>311.0</v>
      </c>
      <c r="E230" s="13">
        <v>151.0</v>
      </c>
      <c r="F230" s="14">
        <v>-0.136</v>
      </c>
      <c r="G230" s="15">
        <v>87.0</v>
      </c>
      <c r="H230" s="15">
        <v>122.0</v>
      </c>
      <c r="I230" s="15">
        <v>87.0</v>
      </c>
      <c r="J230" s="15">
        <v>128.0</v>
      </c>
      <c r="K230" s="15">
        <v>116.0</v>
      </c>
      <c r="L230" s="15">
        <v>81.0</v>
      </c>
      <c r="M230" s="16">
        <v>95.0</v>
      </c>
      <c r="N230" s="16">
        <v>108.0</v>
      </c>
      <c r="O230" s="15">
        <f t="shared" si="1"/>
        <v>114.8744939</v>
      </c>
      <c r="P230" s="15">
        <f t="shared" si="2"/>
        <v>109.7377691</v>
      </c>
      <c r="Q230" s="15">
        <f t="shared" si="3"/>
        <v>87.30530973</v>
      </c>
      <c r="R230" s="15">
        <f t="shared" si="4"/>
        <v>96.6194332</v>
      </c>
    </row>
    <row r="231">
      <c r="A231" s="10">
        <v>696100.0</v>
      </c>
      <c r="B231" s="11" t="s">
        <v>247</v>
      </c>
      <c r="C231" s="12">
        <v>1266.0</v>
      </c>
      <c r="D231" s="10">
        <v>705.0</v>
      </c>
      <c r="E231" s="13">
        <v>229.0</v>
      </c>
      <c r="F231" s="14">
        <v>0.086</v>
      </c>
      <c r="G231" s="15">
        <v>104.0</v>
      </c>
      <c r="H231" s="15">
        <v>78.0</v>
      </c>
      <c r="I231" s="15">
        <v>111.0</v>
      </c>
      <c r="J231" s="15">
        <v>76.0</v>
      </c>
      <c r="K231" s="15">
        <v>91.0</v>
      </c>
      <c r="L231" s="15">
        <v>108.0</v>
      </c>
      <c r="M231" s="16">
        <v>95.0</v>
      </c>
      <c r="N231" s="16">
        <v>111.0</v>
      </c>
      <c r="O231" s="15">
        <f t="shared" si="1"/>
        <v>83.28211285</v>
      </c>
      <c r="P231" s="15">
        <f t="shared" si="2"/>
        <v>92.98895028</v>
      </c>
      <c r="Q231" s="15">
        <f t="shared" si="3"/>
        <v>106.0263158</v>
      </c>
      <c r="R231" s="15">
        <f t="shared" si="4"/>
        <v>96.20048019</v>
      </c>
    </row>
    <row r="232">
      <c r="A232" s="10">
        <v>673357.0</v>
      </c>
      <c r="B232" s="11" t="s">
        <v>248</v>
      </c>
      <c r="C232" s="12">
        <v>1095.0</v>
      </c>
      <c r="D232" s="10">
        <v>591.0</v>
      </c>
      <c r="E232" s="13">
        <v>178.0</v>
      </c>
      <c r="F232" s="14">
        <v>0.054</v>
      </c>
      <c r="G232" s="15">
        <v>110.0</v>
      </c>
      <c r="H232" s="15">
        <v>99.0</v>
      </c>
      <c r="I232" s="15">
        <v>99.0</v>
      </c>
      <c r="J232" s="15">
        <v>99.0</v>
      </c>
      <c r="K232" s="15">
        <v>82.0</v>
      </c>
      <c r="L232" s="15">
        <v>104.0</v>
      </c>
      <c r="M232" s="16">
        <v>95.0</v>
      </c>
      <c r="N232" s="16">
        <v>83.0</v>
      </c>
      <c r="O232" s="15">
        <f t="shared" si="1"/>
        <v>99.26755853</v>
      </c>
      <c r="P232" s="15">
        <f t="shared" si="2"/>
        <v>86.55120101</v>
      </c>
      <c r="Q232" s="15">
        <f t="shared" si="3"/>
        <v>102.8142292</v>
      </c>
      <c r="R232" s="15">
        <f t="shared" si="4"/>
        <v>96.33779264</v>
      </c>
    </row>
    <row r="233">
      <c r="A233" s="10">
        <v>687462.0</v>
      </c>
      <c r="B233" s="11" t="s">
        <v>249</v>
      </c>
      <c r="C233" s="12">
        <v>764.0</v>
      </c>
      <c r="D233" s="10">
        <v>360.0</v>
      </c>
      <c r="E233" s="13">
        <v>122.0</v>
      </c>
      <c r="F233" s="14">
        <v>-0.028</v>
      </c>
      <c r="G233" s="15">
        <v>104.0</v>
      </c>
      <c r="H233" s="15">
        <v>110.0</v>
      </c>
      <c r="I233" s="15">
        <v>114.0</v>
      </c>
      <c r="J233" s="15">
        <v>104.0</v>
      </c>
      <c r="K233" s="15">
        <v>96.0</v>
      </c>
      <c r="L233" s="15">
        <v>92.0</v>
      </c>
      <c r="M233" s="16">
        <v>95.0</v>
      </c>
      <c r="N233" s="16">
        <v>94.0</v>
      </c>
      <c r="O233" s="15">
        <f t="shared" si="1"/>
        <v>106.5635739</v>
      </c>
      <c r="P233" s="15">
        <f t="shared" si="2"/>
        <v>97.42857143</v>
      </c>
      <c r="Q233" s="15">
        <f t="shared" si="3"/>
        <v>95.04568528</v>
      </c>
      <c r="R233" s="15">
        <f t="shared" si="4"/>
        <v>96.71821306</v>
      </c>
    </row>
    <row r="234">
      <c r="A234" s="10">
        <v>691176.0</v>
      </c>
      <c r="B234" s="11" t="s">
        <v>250</v>
      </c>
      <c r="C234" s="12">
        <v>1250.0</v>
      </c>
      <c r="D234" s="10">
        <v>625.0</v>
      </c>
      <c r="E234" s="13">
        <v>187.0</v>
      </c>
      <c r="F234" s="14">
        <v>0.019</v>
      </c>
      <c r="G234" s="15">
        <v>110.0</v>
      </c>
      <c r="H234" s="15">
        <v>98.0</v>
      </c>
      <c r="I234" s="15">
        <v>95.0</v>
      </c>
      <c r="J234" s="15">
        <v>99.0</v>
      </c>
      <c r="K234" s="15">
        <v>89.0</v>
      </c>
      <c r="L234" s="15">
        <v>101.0</v>
      </c>
      <c r="M234" s="16">
        <v>95.0</v>
      </c>
      <c r="N234" s="16">
        <v>104.0</v>
      </c>
      <c r="O234" s="15">
        <f t="shared" si="1"/>
        <v>98.48484848</v>
      </c>
      <c r="P234" s="15">
        <f t="shared" si="2"/>
        <v>91.66666667</v>
      </c>
      <c r="Q234" s="15">
        <f t="shared" si="3"/>
        <v>100.7137405</v>
      </c>
      <c r="R234" s="15">
        <f t="shared" si="4"/>
        <v>96.21212121</v>
      </c>
    </row>
    <row r="235">
      <c r="A235" s="10">
        <v>677347.0</v>
      </c>
      <c r="B235" s="11" t="s">
        <v>251</v>
      </c>
      <c r="C235" s="12">
        <v>533.0</v>
      </c>
      <c r="D235" s="10">
        <v>262.0</v>
      </c>
      <c r="E235" s="13">
        <v>65.0</v>
      </c>
      <c r="F235" s="14">
        <v>-0.025</v>
      </c>
      <c r="G235" s="15">
        <v>108.0</v>
      </c>
      <c r="H235" s="15">
        <v>106.0</v>
      </c>
      <c r="I235" s="15">
        <v>89.0</v>
      </c>
      <c r="J235" s="15">
        <v>110.0</v>
      </c>
      <c r="K235" s="15">
        <v>59.0</v>
      </c>
      <c r="L235" s="15">
        <v>118.0</v>
      </c>
      <c r="M235" s="16">
        <v>95.0</v>
      </c>
      <c r="N235" s="16">
        <v>98.0</v>
      </c>
      <c r="O235" s="15">
        <f t="shared" si="1"/>
        <v>103.4276527</v>
      </c>
      <c r="P235" s="15">
        <f t="shared" si="2"/>
        <v>76.74891775</v>
      </c>
      <c r="Q235" s="15">
        <f t="shared" si="3"/>
        <v>108.3571429</v>
      </c>
      <c r="R235" s="15">
        <f t="shared" si="4"/>
        <v>97.14362272</v>
      </c>
    </row>
    <row r="236">
      <c r="A236" s="10">
        <v>666310.0</v>
      </c>
      <c r="B236" s="11" t="s">
        <v>252</v>
      </c>
      <c r="C236" s="12">
        <v>1010.0</v>
      </c>
      <c r="D236" s="10">
        <v>489.0</v>
      </c>
      <c r="E236" s="13">
        <v>147.0</v>
      </c>
      <c r="F236" s="14">
        <v>-0.004</v>
      </c>
      <c r="G236" s="15">
        <v>101.0</v>
      </c>
      <c r="H236" s="15">
        <v>104.0</v>
      </c>
      <c r="I236" s="15">
        <v>101.0</v>
      </c>
      <c r="J236" s="15">
        <v>104.0</v>
      </c>
      <c r="K236" s="15">
        <v>85.0</v>
      </c>
      <c r="L236" s="15">
        <v>100.0</v>
      </c>
      <c r="M236" s="16">
        <v>95.0</v>
      </c>
      <c r="N236" s="16">
        <v>89.0</v>
      </c>
      <c r="O236" s="15">
        <f t="shared" si="1"/>
        <v>102.8652482</v>
      </c>
      <c r="P236" s="15">
        <f t="shared" si="2"/>
        <v>89.35413643</v>
      </c>
      <c r="Q236" s="15">
        <f t="shared" si="3"/>
        <v>100</v>
      </c>
      <c r="R236" s="15">
        <f t="shared" si="4"/>
        <v>96.41843972</v>
      </c>
    </row>
    <row r="237">
      <c r="A237" s="10">
        <v>630105.0</v>
      </c>
      <c r="B237" s="11" t="s">
        <v>253</v>
      </c>
      <c r="C237" s="12">
        <v>1135.0</v>
      </c>
      <c r="D237" s="10">
        <v>484.0</v>
      </c>
      <c r="E237" s="13">
        <v>172.0</v>
      </c>
      <c r="F237" s="14">
        <v>-0.049</v>
      </c>
      <c r="G237" s="15">
        <v>104.0</v>
      </c>
      <c r="H237" s="15">
        <v>109.0</v>
      </c>
      <c r="I237" s="15">
        <v>104.0</v>
      </c>
      <c r="J237" s="15">
        <v>107.0</v>
      </c>
      <c r="K237" s="15">
        <v>104.0</v>
      </c>
      <c r="L237" s="15">
        <v>88.0</v>
      </c>
      <c r="M237" s="16">
        <v>95.0</v>
      </c>
      <c r="N237" s="16">
        <v>108.0</v>
      </c>
      <c r="O237" s="15">
        <f t="shared" si="1"/>
        <v>106.6547231</v>
      </c>
      <c r="P237" s="15">
        <f t="shared" si="2"/>
        <v>102.8304094</v>
      </c>
      <c r="Q237" s="15">
        <f t="shared" si="3"/>
        <v>91.6437247</v>
      </c>
      <c r="R237" s="15">
        <f t="shared" si="4"/>
        <v>96.3029316</v>
      </c>
    </row>
    <row r="238">
      <c r="A238" s="10">
        <v>670156.0</v>
      </c>
      <c r="B238" s="11" t="s">
        <v>254</v>
      </c>
      <c r="C238" s="12">
        <v>614.0</v>
      </c>
      <c r="D238" s="10">
        <v>244.0</v>
      </c>
      <c r="E238" s="13">
        <v>119.0</v>
      </c>
      <c r="F238" s="14">
        <v>-0.074</v>
      </c>
      <c r="G238" s="15">
        <v>91.0</v>
      </c>
      <c r="H238" s="15">
        <v>108.0</v>
      </c>
      <c r="I238" s="15">
        <v>97.0</v>
      </c>
      <c r="J238" s="15">
        <v>110.0</v>
      </c>
      <c r="K238" s="15">
        <v>107.0</v>
      </c>
      <c r="L238" s="15">
        <v>89.0</v>
      </c>
      <c r="M238" s="16">
        <v>95.0</v>
      </c>
      <c r="N238" s="16">
        <v>87.0</v>
      </c>
      <c r="O238" s="15">
        <f t="shared" si="1"/>
        <v>104.8441815</v>
      </c>
      <c r="P238" s="15">
        <f t="shared" si="2"/>
        <v>103.8468468</v>
      </c>
      <c r="Q238" s="15">
        <f t="shared" si="3"/>
        <v>93.25257732</v>
      </c>
      <c r="R238" s="15">
        <f t="shared" si="4"/>
        <v>96.97238659</v>
      </c>
    </row>
    <row r="239">
      <c r="A239" s="10">
        <v>664770.0</v>
      </c>
      <c r="B239" s="11" t="s">
        <v>255</v>
      </c>
      <c r="C239" s="12">
        <v>827.0</v>
      </c>
      <c r="D239" s="10">
        <v>394.0</v>
      </c>
      <c r="E239" s="13">
        <v>161.0</v>
      </c>
      <c r="F239" s="14">
        <v>-0.003</v>
      </c>
      <c r="G239" s="15">
        <v>84.0</v>
      </c>
      <c r="H239" s="15">
        <v>84.0</v>
      </c>
      <c r="I239" s="15">
        <v>96.0</v>
      </c>
      <c r="J239" s="15">
        <v>86.0</v>
      </c>
      <c r="K239" s="15">
        <v>118.0</v>
      </c>
      <c r="L239" s="15">
        <v>92.0</v>
      </c>
      <c r="M239" s="16">
        <v>95.0</v>
      </c>
      <c r="N239" s="16">
        <v>102.0</v>
      </c>
      <c r="O239" s="15">
        <f t="shared" si="1"/>
        <v>89.21597392</v>
      </c>
      <c r="P239" s="15">
        <f t="shared" si="2"/>
        <v>111.9393939</v>
      </c>
      <c r="Q239" s="15">
        <f t="shared" si="3"/>
        <v>94.54237288</v>
      </c>
      <c r="R239" s="15">
        <f t="shared" si="4"/>
        <v>96.62999185</v>
      </c>
    </row>
    <row r="240">
      <c r="A240" s="10">
        <v>516782.0</v>
      </c>
      <c r="B240" s="11" t="s">
        <v>256</v>
      </c>
      <c r="C240" s="12">
        <v>697.0</v>
      </c>
      <c r="D240" s="10">
        <v>351.0</v>
      </c>
      <c r="E240" s="13">
        <v>132.0</v>
      </c>
      <c r="F240" s="14">
        <v>-0.004</v>
      </c>
      <c r="G240" s="15">
        <v>94.0</v>
      </c>
      <c r="H240" s="15">
        <v>101.0</v>
      </c>
      <c r="I240" s="15">
        <v>101.0</v>
      </c>
      <c r="J240" s="15">
        <v>100.0</v>
      </c>
      <c r="K240" s="15">
        <v>113.0</v>
      </c>
      <c r="L240" s="15">
        <v>88.0</v>
      </c>
      <c r="M240" s="16">
        <v>95.0</v>
      </c>
      <c r="N240" s="16">
        <v>106.0</v>
      </c>
      <c r="O240" s="15">
        <f t="shared" si="1"/>
        <v>100.6353692</v>
      </c>
      <c r="P240" s="15">
        <f t="shared" si="2"/>
        <v>108.2813067</v>
      </c>
      <c r="Q240" s="15">
        <f t="shared" si="3"/>
        <v>92.34782609</v>
      </c>
      <c r="R240" s="15">
        <f t="shared" si="4"/>
        <v>96.82315406</v>
      </c>
    </row>
    <row r="241">
      <c r="A241" s="10">
        <v>642201.0</v>
      </c>
      <c r="B241" s="11" t="s">
        <v>257</v>
      </c>
      <c r="C241" s="12">
        <v>687.0</v>
      </c>
      <c r="D241" s="10">
        <v>362.0</v>
      </c>
      <c r="E241" s="13">
        <v>138.0</v>
      </c>
      <c r="F241" s="14">
        <v>0.008</v>
      </c>
      <c r="G241" s="15">
        <v>121.0</v>
      </c>
      <c r="H241" s="15">
        <v>113.0</v>
      </c>
      <c r="I241" s="15">
        <v>117.0</v>
      </c>
      <c r="J241" s="15">
        <v>107.0</v>
      </c>
      <c r="K241" s="15">
        <v>90.0</v>
      </c>
      <c r="L241" s="15">
        <v>94.0</v>
      </c>
      <c r="M241" s="16">
        <v>95.0</v>
      </c>
      <c r="N241" s="16">
        <v>90.0</v>
      </c>
      <c r="O241" s="15">
        <f t="shared" si="1"/>
        <v>108.2161914</v>
      </c>
      <c r="P241" s="15">
        <f t="shared" si="2"/>
        <v>93.55871886</v>
      </c>
      <c r="Q241" s="15">
        <f t="shared" si="3"/>
        <v>96.11267606</v>
      </c>
      <c r="R241" s="15">
        <f t="shared" si="4"/>
        <v>96.8399264</v>
      </c>
    </row>
    <row r="242">
      <c r="A242" s="10">
        <v>518934.0</v>
      </c>
      <c r="B242" s="11" t="s">
        <v>258</v>
      </c>
      <c r="C242" s="12">
        <v>537.0</v>
      </c>
      <c r="D242" s="10">
        <v>226.0</v>
      </c>
      <c r="E242" s="13">
        <v>93.0</v>
      </c>
      <c r="F242" s="14">
        <v>-0.082</v>
      </c>
      <c r="G242" s="15">
        <v>91.0</v>
      </c>
      <c r="H242" s="15">
        <v>107.0</v>
      </c>
      <c r="I242" s="15">
        <v>72.0</v>
      </c>
      <c r="J242" s="15">
        <v>118.0</v>
      </c>
      <c r="K242" s="15">
        <v>101.0</v>
      </c>
      <c r="L242" s="15">
        <v>91.0</v>
      </c>
      <c r="M242" s="16">
        <v>95.0</v>
      </c>
      <c r="N242" s="16">
        <v>104.0</v>
      </c>
      <c r="O242" s="15">
        <f t="shared" si="1"/>
        <v>104.0117396</v>
      </c>
      <c r="P242" s="15">
        <f t="shared" si="2"/>
        <v>100.5305164</v>
      </c>
      <c r="Q242" s="15">
        <f t="shared" si="3"/>
        <v>95.01785714</v>
      </c>
      <c r="R242" s="15">
        <f t="shared" si="4"/>
        <v>97.13447172</v>
      </c>
    </row>
    <row r="243">
      <c r="A243" s="10">
        <v>641598.0</v>
      </c>
      <c r="B243" s="11" t="s">
        <v>259</v>
      </c>
      <c r="C243" s="12">
        <v>696.0</v>
      </c>
      <c r="D243" s="10">
        <v>289.0</v>
      </c>
      <c r="E243" s="13">
        <v>97.0</v>
      </c>
      <c r="F243" s="14">
        <v>-0.081</v>
      </c>
      <c r="G243" s="15">
        <v>100.0</v>
      </c>
      <c r="H243" s="15">
        <v>109.0</v>
      </c>
      <c r="I243" s="15">
        <v>71.0</v>
      </c>
      <c r="J243" s="15">
        <v>121.0</v>
      </c>
      <c r="K243" s="15">
        <v>88.0</v>
      </c>
      <c r="L243" s="15">
        <v>95.0</v>
      </c>
      <c r="M243" s="16">
        <v>95.0</v>
      </c>
      <c r="N243" s="16">
        <v>97.0</v>
      </c>
      <c r="O243" s="15">
        <f t="shared" si="1"/>
        <v>105.7153285</v>
      </c>
      <c r="P243" s="15">
        <f t="shared" si="2"/>
        <v>92.90797546</v>
      </c>
      <c r="Q243" s="15">
        <f t="shared" si="3"/>
        <v>97.18023256</v>
      </c>
      <c r="R243" s="15">
        <f t="shared" si="4"/>
        <v>96.82481752</v>
      </c>
    </row>
    <row r="244">
      <c r="A244" s="10">
        <v>676914.0</v>
      </c>
      <c r="B244" s="11" t="s">
        <v>260</v>
      </c>
      <c r="C244" s="12">
        <v>412.0</v>
      </c>
      <c r="D244" s="10">
        <v>160.0</v>
      </c>
      <c r="E244" s="13">
        <v>49.0</v>
      </c>
      <c r="F244" s="14">
        <v>-0.055</v>
      </c>
      <c r="G244" s="15">
        <v>119.0</v>
      </c>
      <c r="H244" s="15">
        <v>117.0</v>
      </c>
      <c r="I244" s="15">
        <v>85.0</v>
      </c>
      <c r="J244" s="15">
        <v>118.0</v>
      </c>
      <c r="K244" s="15">
        <v>65.0</v>
      </c>
      <c r="L244" s="15">
        <v>102.0</v>
      </c>
      <c r="M244" s="16">
        <v>95.0</v>
      </c>
      <c r="N244" s="16">
        <v>104.0</v>
      </c>
      <c r="O244" s="15">
        <f t="shared" si="1"/>
        <v>108.6256158</v>
      </c>
      <c r="P244" s="15">
        <f t="shared" si="2"/>
        <v>84.44444444</v>
      </c>
      <c r="Q244" s="15">
        <f t="shared" si="3"/>
        <v>100.7903226</v>
      </c>
      <c r="R244" s="15">
        <f t="shared" si="4"/>
        <v>97.46305419</v>
      </c>
    </row>
    <row r="245">
      <c r="A245" s="10">
        <v>663898.0</v>
      </c>
      <c r="B245" s="11" t="s">
        <v>261</v>
      </c>
      <c r="C245" s="12">
        <v>485.0</v>
      </c>
      <c r="D245" s="10">
        <v>229.0</v>
      </c>
      <c r="E245" s="13">
        <v>70.0</v>
      </c>
      <c r="F245" s="14">
        <v>-0.041</v>
      </c>
      <c r="G245" s="15">
        <v>88.0</v>
      </c>
      <c r="H245" s="15">
        <v>91.0</v>
      </c>
      <c r="I245" s="15">
        <v>73.0</v>
      </c>
      <c r="J245" s="15">
        <v>101.0</v>
      </c>
      <c r="K245" s="15">
        <v>69.0</v>
      </c>
      <c r="L245" s="15">
        <v>115.0</v>
      </c>
      <c r="M245" s="16">
        <v>94.0</v>
      </c>
      <c r="N245" s="16">
        <v>80.0</v>
      </c>
      <c r="O245" s="15">
        <f t="shared" si="1"/>
        <v>95.06779661</v>
      </c>
      <c r="P245" s="15">
        <f t="shared" si="2"/>
        <v>83.45221445</v>
      </c>
      <c r="Q245" s="15">
        <f t="shared" si="3"/>
        <v>107.2413793</v>
      </c>
      <c r="R245" s="15">
        <f t="shared" si="4"/>
        <v>96.71186441</v>
      </c>
    </row>
    <row r="246">
      <c r="A246" s="10">
        <v>694374.0</v>
      </c>
      <c r="B246" s="11" t="s">
        <v>262</v>
      </c>
      <c r="C246" s="12">
        <v>656.0</v>
      </c>
      <c r="D246" s="10">
        <v>325.0</v>
      </c>
      <c r="E246" s="13">
        <v>112.0</v>
      </c>
      <c r="F246" s="14">
        <v>0.007</v>
      </c>
      <c r="G246" s="15">
        <v>99.0</v>
      </c>
      <c r="H246" s="15">
        <v>97.0</v>
      </c>
      <c r="I246" s="15">
        <v>104.0</v>
      </c>
      <c r="J246" s="15">
        <v>96.0</v>
      </c>
      <c r="K246" s="15">
        <v>87.0</v>
      </c>
      <c r="L246" s="15">
        <v>101.0</v>
      </c>
      <c r="M246" s="16">
        <v>94.0</v>
      </c>
      <c r="N246" s="16">
        <v>83.0</v>
      </c>
      <c r="O246" s="15">
        <f t="shared" si="1"/>
        <v>98.13636364</v>
      </c>
      <c r="P246" s="15">
        <f t="shared" si="2"/>
        <v>91.95238095</v>
      </c>
      <c r="Q246" s="15">
        <f t="shared" si="3"/>
        <v>100.5989305</v>
      </c>
      <c r="R246" s="15">
        <f t="shared" si="4"/>
        <v>96.27272727</v>
      </c>
    </row>
    <row r="247">
      <c r="A247" s="10">
        <v>692225.0</v>
      </c>
      <c r="B247" s="11" t="s">
        <v>263</v>
      </c>
      <c r="C247" s="12">
        <v>1069.0</v>
      </c>
      <c r="D247" s="10">
        <v>448.0</v>
      </c>
      <c r="E247" s="13">
        <v>157.0</v>
      </c>
      <c r="F247" s="14">
        <v>-0.087</v>
      </c>
      <c r="G247" s="15">
        <v>96.0</v>
      </c>
      <c r="H247" s="15">
        <v>106.0</v>
      </c>
      <c r="I247" s="15">
        <v>76.0</v>
      </c>
      <c r="J247" s="15">
        <v>114.0</v>
      </c>
      <c r="K247" s="15">
        <v>97.0</v>
      </c>
      <c r="L247" s="15">
        <v>92.0</v>
      </c>
      <c r="M247" s="16">
        <v>94.0</v>
      </c>
      <c r="N247" s="16">
        <v>100.0</v>
      </c>
      <c r="O247" s="15">
        <f t="shared" si="1"/>
        <v>104.3662355</v>
      </c>
      <c r="P247" s="15">
        <f t="shared" si="2"/>
        <v>97.92592593</v>
      </c>
      <c r="Q247" s="15">
        <f t="shared" si="3"/>
        <v>94.5862069</v>
      </c>
      <c r="R247" s="15">
        <f t="shared" si="4"/>
        <v>95.63376447</v>
      </c>
    </row>
    <row r="248">
      <c r="A248" s="10">
        <v>467793.0</v>
      </c>
      <c r="B248" s="11" t="s">
        <v>264</v>
      </c>
      <c r="C248" s="12">
        <v>1495.0</v>
      </c>
      <c r="D248" s="10">
        <v>657.0</v>
      </c>
      <c r="E248" s="13">
        <v>247.0</v>
      </c>
      <c r="F248" s="14">
        <v>-0.031</v>
      </c>
      <c r="G248" s="15">
        <v>108.0</v>
      </c>
      <c r="H248" s="15">
        <v>106.0</v>
      </c>
      <c r="I248" s="15">
        <v>105.0</v>
      </c>
      <c r="J248" s="15">
        <v>103.0</v>
      </c>
      <c r="K248" s="15">
        <v>105.0</v>
      </c>
      <c r="L248" s="15">
        <v>89.0</v>
      </c>
      <c r="M248" s="16">
        <v>94.0</v>
      </c>
      <c r="N248" s="16">
        <v>97.0</v>
      </c>
      <c r="O248" s="15">
        <f t="shared" si="1"/>
        <v>104.7335092</v>
      </c>
      <c r="P248" s="15">
        <f t="shared" si="2"/>
        <v>103.8331389</v>
      </c>
      <c r="Q248" s="15">
        <f t="shared" si="3"/>
        <v>91.5621118</v>
      </c>
      <c r="R248" s="15">
        <f t="shared" si="4"/>
        <v>95.26649077</v>
      </c>
    </row>
    <row r="249">
      <c r="A249" s="10">
        <v>678009.0</v>
      </c>
      <c r="B249" s="11" t="s">
        <v>265</v>
      </c>
      <c r="C249" s="12">
        <v>481.0</v>
      </c>
      <c r="D249" s="10">
        <v>220.0</v>
      </c>
      <c r="E249" s="13">
        <v>73.0</v>
      </c>
      <c r="F249" s="14">
        <v>-0.037</v>
      </c>
      <c r="G249" s="15">
        <v>90.0</v>
      </c>
      <c r="H249" s="15">
        <v>104.0</v>
      </c>
      <c r="I249" s="15">
        <v>85.0</v>
      </c>
      <c r="J249" s="15">
        <v>110.0</v>
      </c>
      <c r="K249" s="15">
        <v>77.0</v>
      </c>
      <c r="L249" s="15">
        <v>103.0</v>
      </c>
      <c r="M249" s="16">
        <v>94.0</v>
      </c>
      <c r="N249" s="16">
        <v>82.0</v>
      </c>
      <c r="O249" s="15">
        <f t="shared" si="1"/>
        <v>102.183882</v>
      </c>
      <c r="P249" s="15">
        <f t="shared" si="2"/>
        <v>87.95238095</v>
      </c>
      <c r="Q249" s="15">
        <f t="shared" si="3"/>
        <v>101.4797297</v>
      </c>
      <c r="R249" s="15">
        <f t="shared" si="4"/>
        <v>96.72417707</v>
      </c>
    </row>
    <row r="250">
      <c r="A250" s="10">
        <v>664056.0</v>
      </c>
      <c r="B250" s="11" t="s">
        <v>266</v>
      </c>
      <c r="C250" s="12">
        <v>1054.0</v>
      </c>
      <c r="D250" s="10">
        <v>479.0</v>
      </c>
      <c r="E250" s="13">
        <v>173.0</v>
      </c>
      <c r="F250" s="14">
        <v>-0.012</v>
      </c>
      <c r="G250" s="15">
        <v>80.0</v>
      </c>
      <c r="H250" s="15">
        <v>82.0</v>
      </c>
      <c r="I250" s="15">
        <v>83.0</v>
      </c>
      <c r="J250" s="15">
        <v>89.0</v>
      </c>
      <c r="K250" s="15">
        <v>96.0</v>
      </c>
      <c r="L250" s="15">
        <v>103.0</v>
      </c>
      <c r="M250" s="16">
        <v>94.0</v>
      </c>
      <c r="N250" s="16">
        <v>108.0</v>
      </c>
      <c r="O250" s="15">
        <f t="shared" si="1"/>
        <v>86.95185695</v>
      </c>
      <c r="P250" s="15">
        <f t="shared" si="2"/>
        <v>97.17820324</v>
      </c>
      <c r="Q250" s="15">
        <f t="shared" si="3"/>
        <v>102.0927419</v>
      </c>
      <c r="R250" s="15">
        <f t="shared" si="4"/>
        <v>95.65061898</v>
      </c>
    </row>
    <row r="251">
      <c r="A251" s="10">
        <v>573262.0</v>
      </c>
      <c r="B251" s="11" t="s">
        <v>267</v>
      </c>
      <c r="C251" s="12">
        <v>1350.0</v>
      </c>
      <c r="D251" s="10">
        <v>569.0</v>
      </c>
      <c r="E251" s="13">
        <v>215.0</v>
      </c>
      <c r="F251" s="14">
        <v>-0.045</v>
      </c>
      <c r="G251" s="15">
        <v>96.0</v>
      </c>
      <c r="H251" s="15">
        <v>101.0</v>
      </c>
      <c r="I251" s="15">
        <v>88.0</v>
      </c>
      <c r="J251" s="15">
        <v>106.0</v>
      </c>
      <c r="K251" s="15">
        <v>98.0</v>
      </c>
      <c r="L251" s="15">
        <v>93.0</v>
      </c>
      <c r="M251" s="16">
        <v>94.0</v>
      </c>
      <c r="N251" s="16">
        <v>102.0</v>
      </c>
      <c r="O251" s="15">
        <f t="shared" si="1"/>
        <v>100.7714286</v>
      </c>
      <c r="P251" s="15">
        <f t="shared" si="2"/>
        <v>98.52015605</v>
      </c>
      <c r="Q251" s="15">
        <f t="shared" si="3"/>
        <v>94.81034483</v>
      </c>
      <c r="R251" s="15">
        <f t="shared" si="4"/>
        <v>95.37142857</v>
      </c>
    </row>
    <row r="252">
      <c r="A252" s="10">
        <v>691594.0</v>
      </c>
      <c r="B252" s="11" t="s">
        <v>268</v>
      </c>
      <c r="C252" s="12">
        <v>711.0</v>
      </c>
      <c r="D252" s="10">
        <v>322.0</v>
      </c>
      <c r="E252" s="13">
        <v>155.0</v>
      </c>
      <c r="F252" s="14">
        <v>-0.04</v>
      </c>
      <c r="G252" s="15">
        <v>83.0</v>
      </c>
      <c r="H252" s="15">
        <v>98.0</v>
      </c>
      <c r="I252" s="15">
        <v>98.0</v>
      </c>
      <c r="J252" s="15">
        <v>99.0</v>
      </c>
      <c r="K252" s="15">
        <v>122.0</v>
      </c>
      <c r="L252" s="15">
        <v>87.0</v>
      </c>
      <c r="M252" s="16">
        <v>94.0</v>
      </c>
      <c r="N252" s="16">
        <v>86.0</v>
      </c>
      <c r="O252" s="15">
        <f t="shared" si="1"/>
        <v>98.72007201</v>
      </c>
      <c r="P252" s="15">
        <f t="shared" si="2"/>
        <v>113.5708812</v>
      </c>
      <c r="Q252" s="15">
        <f t="shared" si="3"/>
        <v>91.23913043</v>
      </c>
      <c r="R252" s="15">
        <f t="shared" si="4"/>
        <v>96.16021602</v>
      </c>
    </row>
    <row r="253">
      <c r="A253" s="10">
        <v>669707.0</v>
      </c>
      <c r="B253" s="11" t="s">
        <v>269</v>
      </c>
      <c r="C253" s="12">
        <v>592.0</v>
      </c>
      <c r="D253" s="10">
        <v>300.0</v>
      </c>
      <c r="E253" s="13">
        <v>112.0</v>
      </c>
      <c r="F253" s="14">
        <v>-0.008</v>
      </c>
      <c r="G253" s="15">
        <v>115.0</v>
      </c>
      <c r="H253" s="15">
        <v>116.0</v>
      </c>
      <c r="I253" s="15">
        <v>112.0</v>
      </c>
      <c r="J253" s="15">
        <v>111.0</v>
      </c>
      <c r="K253" s="15">
        <v>107.0</v>
      </c>
      <c r="L253" s="15">
        <v>84.0</v>
      </c>
      <c r="M253" s="16">
        <v>94.0</v>
      </c>
      <c r="N253" s="16">
        <v>70.0</v>
      </c>
      <c r="O253" s="15">
        <f t="shared" si="1"/>
        <v>109.5483871</v>
      </c>
      <c r="P253" s="15">
        <f t="shared" si="2"/>
        <v>104.2</v>
      </c>
      <c r="Q253" s="15">
        <f t="shared" si="3"/>
        <v>90.4171123</v>
      </c>
      <c r="R253" s="15">
        <f t="shared" si="4"/>
        <v>96.41935484</v>
      </c>
    </row>
    <row r="254">
      <c r="A254" s="10">
        <v>456781.0</v>
      </c>
      <c r="B254" s="11" t="s">
        <v>270</v>
      </c>
      <c r="C254" s="12">
        <v>598.0</v>
      </c>
      <c r="D254" s="10">
        <v>310.0</v>
      </c>
      <c r="E254" s="13">
        <v>113.0</v>
      </c>
      <c r="F254" s="14">
        <v>0.017</v>
      </c>
      <c r="G254" s="15">
        <v>78.0</v>
      </c>
      <c r="H254" s="15">
        <v>94.0</v>
      </c>
      <c r="I254" s="15">
        <v>111.0</v>
      </c>
      <c r="J254" s="15">
        <v>90.0</v>
      </c>
      <c r="K254" s="15">
        <v>104.0</v>
      </c>
      <c r="L254" s="15">
        <v>93.0</v>
      </c>
      <c r="M254" s="16">
        <v>94.0</v>
      </c>
      <c r="N254" s="16">
        <v>96.0</v>
      </c>
      <c r="O254" s="15">
        <f t="shared" si="1"/>
        <v>96.40480962</v>
      </c>
      <c r="P254" s="15">
        <f t="shared" si="2"/>
        <v>102.4313725</v>
      </c>
      <c r="Q254" s="15">
        <f t="shared" si="3"/>
        <v>95.79255319</v>
      </c>
      <c r="R254" s="15">
        <f t="shared" si="4"/>
        <v>96.40480962</v>
      </c>
    </row>
    <row r="255">
      <c r="A255" s="10">
        <v>665966.0</v>
      </c>
      <c r="B255" s="11" t="s">
        <v>271</v>
      </c>
      <c r="C255" s="12">
        <v>1147.0</v>
      </c>
      <c r="D255" s="10">
        <v>571.0</v>
      </c>
      <c r="E255" s="13">
        <v>188.0</v>
      </c>
      <c r="F255" s="14">
        <v>0.008</v>
      </c>
      <c r="G255" s="15">
        <v>102.0</v>
      </c>
      <c r="H255" s="15">
        <v>106.0</v>
      </c>
      <c r="I255" s="15">
        <v>109.0</v>
      </c>
      <c r="J255" s="15">
        <v>102.0</v>
      </c>
      <c r="K255" s="15">
        <v>97.0</v>
      </c>
      <c r="L255" s="15">
        <v>91.0</v>
      </c>
      <c r="M255" s="16">
        <v>93.0</v>
      </c>
      <c r="N255" s="16">
        <v>111.0</v>
      </c>
      <c r="O255" s="15">
        <f t="shared" si="1"/>
        <v>104.4486102</v>
      </c>
      <c r="P255" s="15">
        <f t="shared" si="2"/>
        <v>97.77821012</v>
      </c>
      <c r="Q255" s="15">
        <f t="shared" si="3"/>
        <v>93.56653992</v>
      </c>
      <c r="R255" s="15">
        <f t="shared" si="4"/>
        <v>94.80995475</v>
      </c>
    </row>
    <row r="256">
      <c r="A256" s="10">
        <v>666185.0</v>
      </c>
      <c r="B256" s="11" t="s">
        <v>272</v>
      </c>
      <c r="C256" s="12">
        <v>494.0</v>
      </c>
      <c r="D256" s="10">
        <v>251.0</v>
      </c>
      <c r="E256" s="13">
        <v>81.0</v>
      </c>
      <c r="F256" s="14">
        <v>-0.003</v>
      </c>
      <c r="G256" s="15">
        <v>127.0</v>
      </c>
      <c r="H256" s="15">
        <v>114.0</v>
      </c>
      <c r="I256" s="15">
        <v>117.0</v>
      </c>
      <c r="J256" s="15">
        <v>108.0</v>
      </c>
      <c r="K256" s="15">
        <v>93.0</v>
      </c>
      <c r="L256" s="15">
        <v>90.0</v>
      </c>
      <c r="M256" s="16">
        <v>93.0</v>
      </c>
      <c r="N256" s="16">
        <v>97.0</v>
      </c>
      <c r="O256" s="15">
        <f t="shared" si="1"/>
        <v>107.7360179</v>
      </c>
      <c r="P256" s="15">
        <f t="shared" si="2"/>
        <v>96.10421286</v>
      </c>
      <c r="Q256" s="15">
        <f t="shared" si="3"/>
        <v>94.80769231</v>
      </c>
      <c r="R256" s="15">
        <f t="shared" si="4"/>
        <v>96.13199105</v>
      </c>
    </row>
    <row r="257">
      <c r="A257" s="10">
        <v>663647.0</v>
      </c>
      <c r="B257" s="11" t="s">
        <v>273</v>
      </c>
      <c r="C257" s="12">
        <v>1302.0</v>
      </c>
      <c r="D257" s="10">
        <v>581.0</v>
      </c>
      <c r="E257" s="13">
        <v>249.0</v>
      </c>
      <c r="F257" s="14">
        <v>-0.046</v>
      </c>
      <c r="G257" s="15">
        <v>90.0</v>
      </c>
      <c r="H257" s="15">
        <v>95.0</v>
      </c>
      <c r="I257" s="15">
        <v>84.0</v>
      </c>
      <c r="J257" s="15">
        <v>101.0</v>
      </c>
      <c r="K257" s="15">
        <v>107.0</v>
      </c>
      <c r="L257" s="15">
        <v>92.0</v>
      </c>
      <c r="M257" s="16">
        <v>93.0</v>
      </c>
      <c r="N257" s="16">
        <v>86.0</v>
      </c>
      <c r="O257" s="15">
        <f t="shared" si="1"/>
        <v>96.17508813</v>
      </c>
      <c r="P257" s="15">
        <f t="shared" si="2"/>
        <v>105.2074264</v>
      </c>
      <c r="Q257" s="15">
        <f t="shared" si="3"/>
        <v>93.85185185</v>
      </c>
      <c r="R257" s="15">
        <f t="shared" si="4"/>
        <v>94.64512338</v>
      </c>
    </row>
    <row r="258">
      <c r="A258" s="10">
        <v>502054.0</v>
      </c>
      <c r="B258" s="11" t="s">
        <v>274</v>
      </c>
      <c r="C258" s="12">
        <v>909.0</v>
      </c>
      <c r="D258" s="10">
        <v>385.0</v>
      </c>
      <c r="E258" s="13">
        <v>151.0</v>
      </c>
      <c r="F258" s="14">
        <v>-0.105</v>
      </c>
      <c r="G258" s="15">
        <v>98.0</v>
      </c>
      <c r="H258" s="15">
        <v>114.0</v>
      </c>
      <c r="I258" s="15">
        <v>81.0</v>
      </c>
      <c r="J258" s="15">
        <v>126.0</v>
      </c>
      <c r="K258" s="15">
        <v>100.0</v>
      </c>
      <c r="L258" s="15">
        <v>86.0</v>
      </c>
      <c r="M258" s="16">
        <v>93.0</v>
      </c>
      <c r="N258" s="16">
        <v>101.0</v>
      </c>
      <c r="O258" s="15">
        <f t="shared" si="1"/>
        <v>109.7219251</v>
      </c>
      <c r="P258" s="15">
        <f t="shared" si="2"/>
        <v>100</v>
      </c>
      <c r="Q258" s="15">
        <f t="shared" si="3"/>
        <v>90.6460177</v>
      </c>
      <c r="R258" s="15">
        <f t="shared" si="4"/>
        <v>95.13903743</v>
      </c>
    </row>
    <row r="259">
      <c r="A259" s="10">
        <v>656775.0</v>
      </c>
      <c r="B259" s="11" t="s">
        <v>275</v>
      </c>
      <c r="C259" s="12">
        <v>1308.0</v>
      </c>
      <c r="D259" s="10">
        <v>638.0</v>
      </c>
      <c r="E259" s="13">
        <v>203.0</v>
      </c>
      <c r="F259" s="14">
        <v>-0.008</v>
      </c>
      <c r="G259" s="15">
        <v>112.0</v>
      </c>
      <c r="H259" s="15">
        <v>104.0</v>
      </c>
      <c r="I259" s="15">
        <v>108.0</v>
      </c>
      <c r="J259" s="15">
        <v>101.0</v>
      </c>
      <c r="K259" s="15">
        <v>95.0</v>
      </c>
      <c r="L259" s="15">
        <v>92.0</v>
      </c>
      <c r="M259" s="16">
        <v>93.0</v>
      </c>
      <c r="N259" s="16">
        <v>101.0</v>
      </c>
      <c r="O259" s="15">
        <f t="shared" si="1"/>
        <v>103.0632319</v>
      </c>
      <c r="P259" s="15">
        <f t="shared" si="2"/>
        <v>96.19331742</v>
      </c>
      <c r="Q259" s="15">
        <f t="shared" si="3"/>
        <v>94.15827338</v>
      </c>
      <c r="R259" s="15">
        <f t="shared" si="4"/>
        <v>94.63934426</v>
      </c>
    </row>
    <row r="260">
      <c r="A260" s="10">
        <v>457759.0</v>
      </c>
      <c r="B260" s="11" t="s">
        <v>276</v>
      </c>
      <c r="C260" s="12">
        <v>556.0</v>
      </c>
      <c r="D260" s="10">
        <v>263.0</v>
      </c>
      <c r="E260" s="13">
        <v>93.0</v>
      </c>
      <c r="F260" s="14">
        <v>-0.021</v>
      </c>
      <c r="G260" s="15">
        <v>106.0</v>
      </c>
      <c r="H260" s="15">
        <v>102.0</v>
      </c>
      <c r="I260" s="15">
        <v>100.0</v>
      </c>
      <c r="J260" s="15">
        <v>102.0</v>
      </c>
      <c r="K260" s="15">
        <v>103.0</v>
      </c>
      <c r="L260" s="15">
        <v>89.0</v>
      </c>
      <c r="M260" s="16">
        <v>93.0</v>
      </c>
      <c r="N260" s="16">
        <v>89.0</v>
      </c>
      <c r="O260" s="15">
        <f t="shared" si="1"/>
        <v>101.1631799</v>
      </c>
      <c r="P260" s="15">
        <f t="shared" si="2"/>
        <v>101.7041037</v>
      </c>
      <c r="Q260" s="15">
        <f t="shared" si="3"/>
        <v>93.91071429</v>
      </c>
      <c r="R260" s="15">
        <f t="shared" si="4"/>
        <v>95.92887029</v>
      </c>
    </row>
    <row r="261">
      <c r="A261" s="10">
        <v>514888.0</v>
      </c>
      <c r="B261" s="11" t="s">
        <v>277</v>
      </c>
      <c r="C261" s="12">
        <v>1386.0</v>
      </c>
      <c r="D261" s="10">
        <v>683.0</v>
      </c>
      <c r="E261" s="13">
        <v>300.0</v>
      </c>
      <c r="F261" s="14">
        <v>0.07</v>
      </c>
      <c r="G261" s="15">
        <v>69.0</v>
      </c>
      <c r="H261" s="15">
        <v>73.0</v>
      </c>
      <c r="I261" s="15">
        <v>105.0</v>
      </c>
      <c r="J261" s="15">
        <v>74.0</v>
      </c>
      <c r="K261" s="15">
        <v>112.0</v>
      </c>
      <c r="L261" s="15">
        <v>97.0</v>
      </c>
      <c r="M261" s="16">
        <v>92.0</v>
      </c>
      <c r="N261" s="16">
        <v>114.0</v>
      </c>
      <c r="O261" s="15">
        <f t="shared" si="1"/>
        <v>79.04703247</v>
      </c>
      <c r="P261" s="15">
        <f t="shared" si="2"/>
        <v>109.2819932</v>
      </c>
      <c r="Q261" s="15">
        <f t="shared" si="3"/>
        <v>97.6</v>
      </c>
      <c r="R261" s="15">
        <f t="shared" si="4"/>
        <v>93.79171333</v>
      </c>
    </row>
    <row r="262">
      <c r="A262" s="10">
        <v>686555.0</v>
      </c>
      <c r="B262" s="11" t="s">
        <v>278</v>
      </c>
      <c r="C262" s="12">
        <v>901.0</v>
      </c>
      <c r="D262" s="10">
        <v>398.0</v>
      </c>
      <c r="E262" s="13">
        <v>140.0</v>
      </c>
      <c r="F262" s="14">
        <v>-0.055</v>
      </c>
      <c r="G262" s="15">
        <v>124.0</v>
      </c>
      <c r="H262" s="15">
        <v>120.0</v>
      </c>
      <c r="I262" s="15">
        <v>96.0</v>
      </c>
      <c r="J262" s="15">
        <v>122.0</v>
      </c>
      <c r="K262" s="15">
        <v>88.0</v>
      </c>
      <c r="L262" s="15">
        <v>88.0</v>
      </c>
      <c r="M262" s="16">
        <v>92.0</v>
      </c>
      <c r="N262" s="16">
        <v>109.0</v>
      </c>
      <c r="O262" s="15">
        <f t="shared" si="1"/>
        <v>113.8508839</v>
      </c>
      <c r="P262" s="15">
        <f t="shared" si="2"/>
        <v>92.01337793</v>
      </c>
      <c r="Q262" s="15">
        <f t="shared" si="3"/>
        <v>92.18604651</v>
      </c>
      <c r="R262" s="15">
        <f t="shared" si="4"/>
        <v>94.45964643</v>
      </c>
    </row>
    <row r="263">
      <c r="A263" s="10">
        <v>677008.0</v>
      </c>
      <c r="B263" s="11" t="s">
        <v>279</v>
      </c>
      <c r="C263" s="12">
        <v>622.0</v>
      </c>
      <c r="D263" s="10">
        <v>351.0</v>
      </c>
      <c r="E263" s="13">
        <v>112.0</v>
      </c>
      <c r="F263" s="14">
        <v>0.088</v>
      </c>
      <c r="G263" s="15">
        <v>100.0</v>
      </c>
      <c r="H263" s="15">
        <v>75.0</v>
      </c>
      <c r="I263" s="15">
        <v>96.0</v>
      </c>
      <c r="J263" s="15">
        <v>77.0</v>
      </c>
      <c r="K263" s="15">
        <v>94.0</v>
      </c>
      <c r="L263" s="15">
        <v>105.0</v>
      </c>
      <c r="M263" s="16">
        <v>92.0</v>
      </c>
      <c r="N263" s="16">
        <v>74.0</v>
      </c>
      <c r="O263" s="15">
        <f t="shared" si="1"/>
        <v>84.78473581</v>
      </c>
      <c r="P263" s="15">
        <f t="shared" si="2"/>
        <v>96.17785844</v>
      </c>
      <c r="Q263" s="15">
        <f t="shared" si="3"/>
        <v>102.9946524</v>
      </c>
      <c r="R263" s="15">
        <f t="shared" si="4"/>
        <v>95.13111546</v>
      </c>
    </row>
    <row r="264">
      <c r="A264" s="10">
        <v>700337.0</v>
      </c>
      <c r="B264" s="11" t="s">
        <v>280</v>
      </c>
      <c r="C264" s="12">
        <v>839.0</v>
      </c>
      <c r="D264" s="10">
        <v>384.0</v>
      </c>
      <c r="E264" s="13">
        <v>148.0</v>
      </c>
      <c r="F264" s="14">
        <v>-0.042</v>
      </c>
      <c r="G264" s="15">
        <v>119.0</v>
      </c>
      <c r="H264" s="15">
        <v>119.0</v>
      </c>
      <c r="I264" s="15">
        <v>114.0</v>
      </c>
      <c r="J264" s="15">
        <v>114.0</v>
      </c>
      <c r="K264" s="15">
        <v>96.0</v>
      </c>
      <c r="L264" s="15">
        <v>86.0</v>
      </c>
      <c r="M264" s="16">
        <v>92.0</v>
      </c>
      <c r="N264" s="16">
        <v>100.0</v>
      </c>
      <c r="O264" s="15">
        <f t="shared" si="1"/>
        <v>112.866021</v>
      </c>
      <c r="P264" s="15">
        <f t="shared" si="2"/>
        <v>97.36986301</v>
      </c>
      <c r="Q264" s="15">
        <f t="shared" si="3"/>
        <v>90.70852018</v>
      </c>
      <c r="R264" s="15">
        <f t="shared" si="4"/>
        <v>94.58272801</v>
      </c>
    </row>
    <row r="265">
      <c r="A265" s="10">
        <v>669234.0</v>
      </c>
      <c r="B265" s="11" t="s">
        <v>281</v>
      </c>
      <c r="C265" s="12">
        <v>509.0</v>
      </c>
      <c r="D265" s="10">
        <v>203.0</v>
      </c>
      <c r="E265" s="13">
        <v>67.0</v>
      </c>
      <c r="F265" s="14">
        <v>-0.099</v>
      </c>
      <c r="G265" s="15">
        <v>118.0</v>
      </c>
      <c r="H265" s="15">
        <v>126.0</v>
      </c>
      <c r="I265" s="15">
        <v>90.0</v>
      </c>
      <c r="J265" s="15">
        <v>127.0</v>
      </c>
      <c r="K265" s="15">
        <v>89.0</v>
      </c>
      <c r="L265" s="15">
        <v>82.0</v>
      </c>
      <c r="M265" s="16">
        <v>92.0</v>
      </c>
      <c r="N265" s="16">
        <v>91.0</v>
      </c>
      <c r="O265" s="15">
        <f t="shared" si="1"/>
        <v>114.5588559</v>
      </c>
      <c r="P265" s="15">
        <f t="shared" si="2"/>
        <v>94.45905707</v>
      </c>
      <c r="Q265" s="15">
        <f t="shared" si="3"/>
        <v>91.50704225</v>
      </c>
      <c r="R265" s="15">
        <f t="shared" si="4"/>
        <v>95.52035204</v>
      </c>
    </row>
    <row r="266">
      <c r="A266" s="10">
        <v>686668.0</v>
      </c>
      <c r="B266" s="11" t="s">
        <v>282</v>
      </c>
      <c r="C266" s="12">
        <v>1217.0</v>
      </c>
      <c r="D266" s="10">
        <v>603.0</v>
      </c>
      <c r="E266" s="13">
        <v>222.0</v>
      </c>
      <c r="F266" s="14">
        <v>0.011</v>
      </c>
      <c r="G266" s="15">
        <v>102.0</v>
      </c>
      <c r="H266" s="15">
        <v>89.0</v>
      </c>
      <c r="I266" s="15">
        <v>79.0</v>
      </c>
      <c r="J266" s="15">
        <v>96.0</v>
      </c>
      <c r="K266" s="15">
        <v>97.0</v>
      </c>
      <c r="L266" s="15">
        <v>98.0</v>
      </c>
      <c r="M266" s="16">
        <v>92.0</v>
      </c>
      <c r="N266" s="16">
        <v>76.0</v>
      </c>
      <c r="O266" s="15">
        <f t="shared" si="1"/>
        <v>91.72108844</v>
      </c>
      <c r="P266" s="15">
        <f t="shared" si="2"/>
        <v>97.74719801</v>
      </c>
      <c r="Q266" s="15">
        <f t="shared" si="3"/>
        <v>98.50505051</v>
      </c>
      <c r="R266" s="15">
        <f t="shared" si="4"/>
        <v>93.97897341</v>
      </c>
    </row>
    <row r="267">
      <c r="A267" s="10">
        <v>624641.0</v>
      </c>
      <c r="B267" s="11" t="s">
        <v>283</v>
      </c>
      <c r="C267" s="12">
        <v>512.0</v>
      </c>
      <c r="D267" s="10">
        <v>288.0</v>
      </c>
      <c r="E267" s="13">
        <v>105.0</v>
      </c>
      <c r="F267" s="14">
        <v>0.081</v>
      </c>
      <c r="G267" s="15">
        <v>78.0</v>
      </c>
      <c r="H267" s="15">
        <v>77.0</v>
      </c>
      <c r="I267" s="15">
        <v>121.0</v>
      </c>
      <c r="J267" s="15">
        <v>72.0</v>
      </c>
      <c r="K267" s="15">
        <v>110.0</v>
      </c>
      <c r="L267" s="15">
        <v>96.0</v>
      </c>
      <c r="M267" s="16">
        <v>92.0</v>
      </c>
      <c r="N267" s="16">
        <v>104.0</v>
      </c>
      <c r="O267" s="15">
        <f t="shared" si="1"/>
        <v>87.0877193</v>
      </c>
      <c r="P267" s="15">
        <f t="shared" si="2"/>
        <v>105.9016393</v>
      </c>
      <c r="Q267" s="15">
        <f t="shared" si="3"/>
        <v>97.66666667</v>
      </c>
      <c r="R267" s="15">
        <f t="shared" si="4"/>
        <v>95.50877193</v>
      </c>
    </row>
    <row r="268">
      <c r="A268" s="10">
        <v>666158.0</v>
      </c>
      <c r="B268" s="11" t="s">
        <v>284</v>
      </c>
      <c r="C268" s="12">
        <v>1276.0</v>
      </c>
      <c r="D268" s="10">
        <v>551.0</v>
      </c>
      <c r="E268" s="13">
        <v>190.0</v>
      </c>
      <c r="F268" s="14">
        <v>-0.05</v>
      </c>
      <c r="G268" s="15">
        <v>111.0</v>
      </c>
      <c r="H268" s="15">
        <v>104.0</v>
      </c>
      <c r="I268" s="15">
        <v>76.0</v>
      </c>
      <c r="J268" s="15">
        <v>113.0</v>
      </c>
      <c r="K268" s="15">
        <v>96.0</v>
      </c>
      <c r="L268" s="15">
        <v>91.0</v>
      </c>
      <c r="M268" s="16">
        <v>92.0</v>
      </c>
      <c r="N268" s="16">
        <v>104.0</v>
      </c>
      <c r="O268" s="15">
        <f t="shared" si="1"/>
        <v>103.0453461</v>
      </c>
      <c r="P268" s="15">
        <f t="shared" si="2"/>
        <v>97.06524634</v>
      </c>
      <c r="Q268" s="15">
        <f t="shared" si="3"/>
        <v>93.54716981</v>
      </c>
      <c r="R268" s="15">
        <f t="shared" si="4"/>
        <v>93.90930788</v>
      </c>
    </row>
    <row r="269">
      <c r="A269" s="10">
        <v>592626.0</v>
      </c>
      <c r="B269" s="11" t="s">
        <v>285</v>
      </c>
      <c r="C269" s="12">
        <v>590.0</v>
      </c>
      <c r="D269" s="10">
        <v>254.0</v>
      </c>
      <c r="E269" s="13">
        <v>94.0</v>
      </c>
      <c r="F269" s="14">
        <v>-0.011</v>
      </c>
      <c r="G269" s="15">
        <v>110.0</v>
      </c>
      <c r="H269" s="15">
        <v>108.0</v>
      </c>
      <c r="I269" s="15">
        <v>104.0</v>
      </c>
      <c r="J269" s="15">
        <v>105.0</v>
      </c>
      <c r="K269" s="15">
        <v>99.0</v>
      </c>
      <c r="L269" s="15">
        <v>88.0</v>
      </c>
      <c r="M269" s="16">
        <v>92.0</v>
      </c>
      <c r="N269" s="16">
        <v>73.0</v>
      </c>
      <c r="O269" s="15">
        <f t="shared" si="1"/>
        <v>104.7676768</v>
      </c>
      <c r="P269" s="15">
        <f t="shared" si="2"/>
        <v>99.44052863</v>
      </c>
      <c r="Q269" s="15">
        <f t="shared" si="3"/>
        <v>93.32544379</v>
      </c>
      <c r="R269" s="15">
        <f t="shared" si="4"/>
        <v>95.23232323</v>
      </c>
    </row>
    <row r="270">
      <c r="A270" s="10">
        <v>664059.0</v>
      </c>
      <c r="B270" s="11" t="s">
        <v>286</v>
      </c>
      <c r="C270" s="12">
        <v>502.0</v>
      </c>
      <c r="D270" s="10">
        <v>256.0</v>
      </c>
      <c r="E270" s="13">
        <v>104.0</v>
      </c>
      <c r="F270" s="14">
        <v>0.041</v>
      </c>
      <c r="G270" s="15">
        <v>120.0</v>
      </c>
      <c r="H270" s="15">
        <v>114.0</v>
      </c>
      <c r="I270" s="15">
        <v>127.0</v>
      </c>
      <c r="J270" s="15">
        <v>103.0</v>
      </c>
      <c r="K270" s="15">
        <v>103.0</v>
      </c>
      <c r="L270" s="15">
        <v>86.0</v>
      </c>
      <c r="M270" s="16">
        <v>92.0</v>
      </c>
      <c r="N270" s="16">
        <v>96.0</v>
      </c>
      <c r="O270" s="15">
        <f t="shared" si="1"/>
        <v>107.7915743</v>
      </c>
      <c r="P270" s="15">
        <f t="shared" si="2"/>
        <v>101.6842105</v>
      </c>
      <c r="Q270" s="15">
        <f t="shared" si="3"/>
        <v>91.86592179</v>
      </c>
      <c r="R270" s="15">
        <f t="shared" si="4"/>
        <v>95.54767184</v>
      </c>
    </row>
    <row r="271">
      <c r="A271" s="10">
        <v>672356.0</v>
      </c>
      <c r="B271" s="11" t="s">
        <v>287</v>
      </c>
      <c r="C271" s="12">
        <v>1022.0</v>
      </c>
      <c r="D271" s="10">
        <v>605.0</v>
      </c>
      <c r="E271" s="13">
        <v>170.0</v>
      </c>
      <c r="F271" s="14">
        <v>0.109</v>
      </c>
      <c r="G271" s="15">
        <v>104.0</v>
      </c>
      <c r="H271" s="15">
        <v>91.0</v>
      </c>
      <c r="I271" s="15">
        <v>133.0</v>
      </c>
      <c r="J271" s="15">
        <v>80.0</v>
      </c>
      <c r="K271" s="15">
        <v>74.0</v>
      </c>
      <c r="L271" s="15">
        <v>111.0</v>
      </c>
      <c r="M271" s="16">
        <v>92.0</v>
      </c>
      <c r="N271" s="16">
        <v>90.0</v>
      </c>
      <c r="O271" s="15">
        <f t="shared" si="1"/>
        <v>93.53164557</v>
      </c>
      <c r="P271" s="15">
        <f t="shared" si="2"/>
        <v>80.45962733</v>
      </c>
      <c r="Q271" s="15">
        <f t="shared" si="3"/>
        <v>107.6326531</v>
      </c>
      <c r="R271" s="15">
        <f t="shared" si="4"/>
        <v>94.25035162</v>
      </c>
    </row>
    <row r="272">
      <c r="A272" s="10">
        <v>527038.0</v>
      </c>
      <c r="B272" s="11" t="s">
        <v>288</v>
      </c>
      <c r="C272" s="12">
        <v>1466.0</v>
      </c>
      <c r="D272" s="10">
        <v>669.0</v>
      </c>
      <c r="E272" s="13">
        <v>251.0</v>
      </c>
      <c r="F272" s="14">
        <v>-0.04</v>
      </c>
      <c r="G272" s="15">
        <v>89.0</v>
      </c>
      <c r="H272" s="15">
        <v>104.0</v>
      </c>
      <c r="I272" s="15">
        <v>109.0</v>
      </c>
      <c r="J272" s="15">
        <v>101.0</v>
      </c>
      <c r="K272" s="15">
        <v>114.0</v>
      </c>
      <c r="L272" s="15">
        <v>83.0</v>
      </c>
      <c r="M272" s="16">
        <v>92.0</v>
      </c>
      <c r="N272" s="16">
        <v>102.0</v>
      </c>
      <c r="O272" s="15">
        <f t="shared" si="1"/>
        <v>103.1425509</v>
      </c>
      <c r="P272" s="15">
        <f t="shared" si="2"/>
        <v>110.7779056</v>
      </c>
      <c r="Q272" s="15">
        <f t="shared" si="3"/>
        <v>86.91104294</v>
      </c>
      <c r="R272" s="15">
        <f t="shared" si="4"/>
        <v>93.71489818</v>
      </c>
    </row>
    <row r="273">
      <c r="A273" s="10">
        <v>808975.0</v>
      </c>
      <c r="B273" s="11" t="s">
        <v>289</v>
      </c>
      <c r="C273" s="12">
        <v>467.0</v>
      </c>
      <c r="D273" s="10">
        <v>227.0</v>
      </c>
      <c r="E273" s="13">
        <v>82.0</v>
      </c>
      <c r="F273" s="14">
        <v>0.004</v>
      </c>
      <c r="G273" s="15">
        <v>69.0</v>
      </c>
      <c r="H273" s="15">
        <v>91.0</v>
      </c>
      <c r="I273" s="15">
        <v>105.0</v>
      </c>
      <c r="J273" s="15">
        <v>89.0</v>
      </c>
      <c r="K273" s="15">
        <v>91.0</v>
      </c>
      <c r="L273" s="15">
        <v>99.0</v>
      </c>
      <c r="M273" s="16">
        <v>92.0</v>
      </c>
      <c r="N273" s="16">
        <v>124.0</v>
      </c>
      <c r="O273" s="15">
        <f t="shared" si="1"/>
        <v>95.15224913</v>
      </c>
      <c r="P273" s="15">
        <f t="shared" si="2"/>
        <v>95.21545667</v>
      </c>
      <c r="Q273" s="15">
        <f t="shared" si="3"/>
        <v>99.47770701</v>
      </c>
      <c r="R273" s="15">
        <f t="shared" si="4"/>
        <v>95.69088812</v>
      </c>
    </row>
    <row r="274">
      <c r="A274" s="10">
        <v>663538.0</v>
      </c>
      <c r="B274" s="11" t="s">
        <v>290</v>
      </c>
      <c r="C274" s="12">
        <v>1310.0</v>
      </c>
      <c r="D274" s="10">
        <v>642.0</v>
      </c>
      <c r="E274" s="13">
        <v>322.0</v>
      </c>
      <c r="F274" s="14">
        <v>0.009</v>
      </c>
      <c r="G274" s="15">
        <v>81.0</v>
      </c>
      <c r="H274" s="15">
        <v>93.0</v>
      </c>
      <c r="I274" s="15">
        <v>110.0</v>
      </c>
      <c r="J274" s="15">
        <v>89.0</v>
      </c>
      <c r="K274" s="15">
        <v>139.0</v>
      </c>
      <c r="L274" s="15">
        <v>81.0</v>
      </c>
      <c r="M274" s="16">
        <v>91.0</v>
      </c>
      <c r="N274" s="16">
        <v>102.0</v>
      </c>
      <c r="O274" s="15">
        <f t="shared" si="1"/>
        <v>94.6374269</v>
      </c>
      <c r="P274" s="15">
        <f t="shared" si="2"/>
        <v>129.736342</v>
      </c>
      <c r="Q274" s="15">
        <f t="shared" si="3"/>
        <v>84.58942065</v>
      </c>
      <c r="R274" s="15">
        <f t="shared" si="4"/>
        <v>93.10526316</v>
      </c>
    </row>
    <row r="275">
      <c r="A275" s="10">
        <v>664702.0</v>
      </c>
      <c r="B275" s="11" t="s">
        <v>291</v>
      </c>
      <c r="C275" s="12">
        <v>698.0</v>
      </c>
      <c r="D275" s="10">
        <v>331.0</v>
      </c>
      <c r="E275" s="13">
        <v>151.0</v>
      </c>
      <c r="F275" s="14">
        <v>-0.036</v>
      </c>
      <c r="G275" s="15">
        <v>86.0</v>
      </c>
      <c r="H275" s="15">
        <v>103.0</v>
      </c>
      <c r="I275" s="15">
        <v>92.0</v>
      </c>
      <c r="J275" s="15">
        <v>106.0</v>
      </c>
      <c r="K275" s="15">
        <v>121.0</v>
      </c>
      <c r="L275" s="15">
        <v>83.0</v>
      </c>
      <c r="M275" s="16">
        <v>91.0</v>
      </c>
      <c r="N275" s="16">
        <v>84.0</v>
      </c>
      <c r="O275" s="15">
        <f t="shared" si="1"/>
        <v>101.9071038</v>
      </c>
      <c r="P275" s="15">
        <f t="shared" si="2"/>
        <v>113.0903955</v>
      </c>
      <c r="Q275" s="15">
        <f t="shared" si="3"/>
        <v>88.64159292</v>
      </c>
      <c r="R275" s="15">
        <f t="shared" si="4"/>
        <v>94.27868852</v>
      </c>
    </row>
    <row r="276">
      <c r="A276" s="10">
        <v>687952.0</v>
      </c>
      <c r="B276" s="11" t="s">
        <v>292</v>
      </c>
      <c r="C276" s="12">
        <v>455.0</v>
      </c>
      <c r="D276" s="10">
        <v>256.0</v>
      </c>
      <c r="E276" s="13">
        <v>95.0</v>
      </c>
      <c r="F276" s="14">
        <v>0.093</v>
      </c>
      <c r="G276" s="15">
        <v>57.0</v>
      </c>
      <c r="H276" s="15">
        <v>69.0</v>
      </c>
      <c r="I276" s="15">
        <v>121.0</v>
      </c>
      <c r="J276" s="15">
        <v>63.0</v>
      </c>
      <c r="K276" s="15">
        <v>97.0</v>
      </c>
      <c r="L276" s="15">
        <v>103.0</v>
      </c>
      <c r="M276" s="16">
        <v>91.0</v>
      </c>
      <c r="N276" s="16">
        <v>82.0</v>
      </c>
      <c r="O276" s="15">
        <f t="shared" si="1"/>
        <v>83.50292398</v>
      </c>
      <c r="P276" s="15">
        <f t="shared" si="2"/>
        <v>98.31578947</v>
      </c>
      <c r="Q276" s="15">
        <f t="shared" si="3"/>
        <v>101.6764706</v>
      </c>
      <c r="R276" s="15">
        <f t="shared" si="4"/>
        <v>95.21052632</v>
      </c>
    </row>
    <row r="277">
      <c r="A277" s="10">
        <v>650333.0</v>
      </c>
      <c r="B277" s="11" t="s">
        <v>293</v>
      </c>
      <c r="C277" s="12">
        <v>1381.0</v>
      </c>
      <c r="D277" s="10">
        <v>699.0</v>
      </c>
      <c r="E277" s="13">
        <v>361.0</v>
      </c>
      <c r="F277" s="14">
        <v>0.031</v>
      </c>
      <c r="G277" s="15">
        <v>79.0</v>
      </c>
      <c r="H277" s="15">
        <v>92.0</v>
      </c>
      <c r="I277" s="15">
        <v>121.0</v>
      </c>
      <c r="J277" s="15">
        <v>83.0</v>
      </c>
      <c r="K277" s="15">
        <v>142.0</v>
      </c>
      <c r="L277" s="15">
        <v>80.0</v>
      </c>
      <c r="M277" s="16">
        <v>91.0</v>
      </c>
      <c r="N277" s="16">
        <v>99.0</v>
      </c>
      <c r="O277" s="15">
        <f t="shared" si="1"/>
        <v>93.7967434</v>
      </c>
      <c r="P277" s="15">
        <f t="shared" si="2"/>
        <v>132.6562848</v>
      </c>
      <c r="Q277" s="15">
        <f t="shared" si="3"/>
        <v>83.44036697</v>
      </c>
      <c r="R277" s="15">
        <f t="shared" si="4"/>
        <v>93.02133633</v>
      </c>
    </row>
    <row r="278">
      <c r="A278" s="10">
        <v>650489.0</v>
      </c>
      <c r="B278" s="11" t="s">
        <v>294</v>
      </c>
      <c r="C278" s="12">
        <v>1115.0</v>
      </c>
      <c r="D278" s="10">
        <v>579.0</v>
      </c>
      <c r="E278" s="13">
        <v>182.0</v>
      </c>
      <c r="F278" s="14">
        <v>0.026</v>
      </c>
      <c r="G278" s="15">
        <v>104.0</v>
      </c>
      <c r="H278" s="15">
        <v>97.0</v>
      </c>
      <c r="I278" s="15">
        <v>107.0</v>
      </c>
      <c r="J278" s="15">
        <v>94.0</v>
      </c>
      <c r="K278" s="15">
        <v>92.0</v>
      </c>
      <c r="L278" s="15">
        <v>95.0</v>
      </c>
      <c r="M278" s="16">
        <v>91.0</v>
      </c>
      <c r="N278" s="16">
        <v>106.0</v>
      </c>
      <c r="O278" s="15">
        <f t="shared" si="1"/>
        <v>97.79207921</v>
      </c>
      <c r="P278" s="15">
        <f t="shared" si="2"/>
        <v>94.05391528</v>
      </c>
      <c r="Q278" s="15">
        <f t="shared" si="3"/>
        <v>96.45914397</v>
      </c>
      <c r="R278" s="15">
        <f t="shared" si="4"/>
        <v>93.37623762</v>
      </c>
    </row>
    <row r="279">
      <c r="A279" s="10">
        <v>664774.0</v>
      </c>
      <c r="B279" s="11" t="s">
        <v>295</v>
      </c>
      <c r="C279" s="12">
        <v>955.0</v>
      </c>
      <c r="D279" s="10">
        <v>382.0</v>
      </c>
      <c r="E279" s="13">
        <v>142.0</v>
      </c>
      <c r="F279" s="14">
        <v>-0.096</v>
      </c>
      <c r="G279" s="15">
        <v>108.0</v>
      </c>
      <c r="H279" s="15">
        <v>119.0</v>
      </c>
      <c r="I279" s="15">
        <v>104.0</v>
      </c>
      <c r="J279" s="15">
        <v>118.0</v>
      </c>
      <c r="K279" s="15">
        <v>97.0</v>
      </c>
      <c r="L279" s="15">
        <v>81.0</v>
      </c>
      <c r="M279" s="16">
        <v>90.0</v>
      </c>
      <c r="N279" s="16">
        <v>80.0</v>
      </c>
      <c r="O279" s="15">
        <f t="shared" si="1"/>
        <v>113.3911439</v>
      </c>
      <c r="P279" s="15">
        <f t="shared" si="2"/>
        <v>98.03092784</v>
      </c>
      <c r="Q279" s="15">
        <f t="shared" si="3"/>
        <v>87.56682028</v>
      </c>
      <c r="R279" s="15">
        <f t="shared" si="4"/>
        <v>92.95202952</v>
      </c>
    </row>
    <row r="280">
      <c r="A280" s="10">
        <v>663743.0</v>
      </c>
      <c r="B280" s="11" t="s">
        <v>296</v>
      </c>
      <c r="C280" s="12">
        <v>480.0</v>
      </c>
      <c r="D280" s="10">
        <v>228.0</v>
      </c>
      <c r="E280" s="13">
        <v>101.0</v>
      </c>
      <c r="F280" s="14">
        <v>-0.022</v>
      </c>
      <c r="G280" s="15">
        <v>88.0</v>
      </c>
      <c r="H280" s="15">
        <v>90.0</v>
      </c>
      <c r="I280" s="15">
        <v>87.0</v>
      </c>
      <c r="J280" s="15">
        <v>95.0</v>
      </c>
      <c r="K280" s="15">
        <v>117.0</v>
      </c>
      <c r="L280" s="15">
        <v>88.0</v>
      </c>
      <c r="M280" s="16">
        <v>90.0</v>
      </c>
      <c r="N280" s="16">
        <v>98.0</v>
      </c>
      <c r="O280" s="15">
        <f t="shared" si="1"/>
        <v>94.54545455</v>
      </c>
      <c r="P280" s="15">
        <f t="shared" si="2"/>
        <v>109.0560748</v>
      </c>
      <c r="Q280" s="15">
        <f t="shared" si="3"/>
        <v>93.11363636</v>
      </c>
      <c r="R280" s="15">
        <f t="shared" si="4"/>
        <v>94.54545455</v>
      </c>
    </row>
    <row r="281">
      <c r="A281" s="10">
        <v>694497.0</v>
      </c>
      <c r="B281" s="11" t="s">
        <v>297</v>
      </c>
      <c r="C281" s="12">
        <v>557.0</v>
      </c>
      <c r="D281" s="10">
        <v>244.0</v>
      </c>
      <c r="E281" s="13">
        <v>105.0</v>
      </c>
      <c r="F281" s="14">
        <v>-0.044</v>
      </c>
      <c r="G281" s="15">
        <v>104.0</v>
      </c>
      <c r="H281" s="15">
        <v>118.0</v>
      </c>
      <c r="I281" s="15">
        <v>92.0</v>
      </c>
      <c r="J281" s="15">
        <v>121.0</v>
      </c>
      <c r="K281" s="15">
        <v>105.0</v>
      </c>
      <c r="L281" s="15">
        <v>81.0</v>
      </c>
      <c r="M281" s="16">
        <v>90.0</v>
      </c>
      <c r="N281" s="16">
        <v>113.0</v>
      </c>
      <c r="O281" s="15">
        <f t="shared" si="1"/>
        <v>110.476489</v>
      </c>
      <c r="P281" s="15">
        <f t="shared" si="2"/>
        <v>102.7477477</v>
      </c>
      <c r="Q281" s="15">
        <f t="shared" si="3"/>
        <v>88.91666667</v>
      </c>
      <c r="R281" s="15">
        <f t="shared" si="4"/>
        <v>94.17972832</v>
      </c>
    </row>
    <row r="282">
      <c r="A282" s="10">
        <v>641584.0</v>
      </c>
      <c r="B282" s="11" t="s">
        <v>298</v>
      </c>
      <c r="C282" s="12">
        <v>534.0</v>
      </c>
      <c r="D282" s="10">
        <v>247.0</v>
      </c>
      <c r="E282" s="13">
        <v>92.0</v>
      </c>
      <c r="F282" s="14">
        <v>0.008</v>
      </c>
      <c r="G282" s="15">
        <v>121.0</v>
      </c>
      <c r="H282" s="15">
        <v>113.0</v>
      </c>
      <c r="I282" s="15">
        <v>109.0</v>
      </c>
      <c r="J282" s="15">
        <v>108.0</v>
      </c>
      <c r="K282" s="15">
        <v>103.0</v>
      </c>
      <c r="L282" s="15">
        <v>82.0</v>
      </c>
      <c r="M282" s="16">
        <v>90.0</v>
      </c>
      <c r="N282" s="16">
        <v>93.0</v>
      </c>
      <c r="O282" s="15">
        <f t="shared" si="1"/>
        <v>107.4325482</v>
      </c>
      <c r="P282" s="15">
        <f t="shared" si="2"/>
        <v>101.6577181</v>
      </c>
      <c r="Q282" s="15">
        <f t="shared" si="3"/>
        <v>90.08383234</v>
      </c>
      <c r="R282" s="15">
        <f t="shared" si="4"/>
        <v>94.28265525</v>
      </c>
    </row>
    <row r="283">
      <c r="A283" s="10">
        <v>543309.0</v>
      </c>
      <c r="B283" s="11" t="s">
        <v>299</v>
      </c>
      <c r="C283" s="12">
        <v>691.0</v>
      </c>
      <c r="D283" s="10">
        <v>299.0</v>
      </c>
      <c r="E283" s="13">
        <v>133.0</v>
      </c>
      <c r="F283" s="14">
        <v>-0.044</v>
      </c>
      <c r="G283" s="15">
        <v>97.0</v>
      </c>
      <c r="H283" s="15">
        <v>101.0</v>
      </c>
      <c r="I283" s="15">
        <v>92.0</v>
      </c>
      <c r="J283" s="15">
        <v>104.0</v>
      </c>
      <c r="K283" s="15">
        <v>118.0</v>
      </c>
      <c r="L283" s="15">
        <v>82.0</v>
      </c>
      <c r="M283" s="16">
        <v>89.0</v>
      </c>
      <c r="N283" s="16">
        <v>93.0</v>
      </c>
      <c r="O283" s="15">
        <f t="shared" si="1"/>
        <v>100.6333639</v>
      </c>
      <c r="P283" s="15">
        <f t="shared" si="2"/>
        <v>110.7855711</v>
      </c>
      <c r="Q283" s="15">
        <f t="shared" si="3"/>
        <v>88.49038462</v>
      </c>
      <c r="R283" s="15">
        <f t="shared" si="4"/>
        <v>93.03299725</v>
      </c>
    </row>
    <row r="284">
      <c r="A284" s="10">
        <v>666023.0</v>
      </c>
      <c r="B284" s="11" t="s">
        <v>300</v>
      </c>
      <c r="C284" s="12">
        <v>746.0</v>
      </c>
      <c r="D284" s="10">
        <v>375.0</v>
      </c>
      <c r="E284" s="13">
        <v>134.0</v>
      </c>
      <c r="F284" s="14">
        <v>0.013</v>
      </c>
      <c r="G284" s="15">
        <v>110.0</v>
      </c>
      <c r="H284" s="15">
        <v>100.0</v>
      </c>
      <c r="I284" s="15">
        <v>114.0</v>
      </c>
      <c r="J284" s="15">
        <v>95.0</v>
      </c>
      <c r="K284" s="15">
        <v>111.0</v>
      </c>
      <c r="L284" s="15">
        <v>84.0</v>
      </c>
      <c r="M284" s="16">
        <v>89.0</v>
      </c>
      <c r="N284" s="16">
        <v>99.0</v>
      </c>
      <c r="O284" s="15">
        <f t="shared" si="1"/>
        <v>100</v>
      </c>
      <c r="P284" s="15">
        <f t="shared" si="2"/>
        <v>107.173913</v>
      </c>
      <c r="Q284" s="15">
        <f t="shared" si="3"/>
        <v>89.74162679</v>
      </c>
      <c r="R284" s="15">
        <f t="shared" si="4"/>
        <v>92.83944154</v>
      </c>
    </row>
    <row r="285">
      <c r="A285" s="10">
        <v>670770.0</v>
      </c>
      <c r="B285" s="11" t="s">
        <v>301</v>
      </c>
      <c r="C285" s="12">
        <v>1558.0</v>
      </c>
      <c r="D285" s="10">
        <v>602.0</v>
      </c>
      <c r="E285" s="13">
        <v>282.0</v>
      </c>
      <c r="F285" s="14">
        <v>-0.075</v>
      </c>
      <c r="G285" s="15">
        <v>95.0</v>
      </c>
      <c r="H285" s="15">
        <v>111.0</v>
      </c>
      <c r="I285" s="15">
        <v>93.0</v>
      </c>
      <c r="J285" s="15">
        <v>113.0</v>
      </c>
      <c r="K285" s="15">
        <v>105.0</v>
      </c>
      <c r="L285" s="15">
        <v>83.0</v>
      </c>
      <c r="M285" s="16">
        <v>89.0</v>
      </c>
      <c r="N285" s="16">
        <v>109.0</v>
      </c>
      <c r="O285" s="15">
        <f t="shared" si="1"/>
        <v>108.752809</v>
      </c>
      <c r="P285" s="15">
        <f t="shared" si="2"/>
        <v>103.7531172</v>
      </c>
      <c r="Q285" s="15">
        <f t="shared" si="3"/>
        <v>86.57142857</v>
      </c>
      <c r="R285" s="15">
        <f t="shared" si="4"/>
        <v>91.24719101</v>
      </c>
    </row>
    <row r="286">
      <c r="A286" s="10">
        <v>695238.0</v>
      </c>
      <c r="B286" s="11" t="s">
        <v>302</v>
      </c>
      <c r="C286" s="12">
        <v>439.0</v>
      </c>
      <c r="D286" s="10">
        <v>220.0</v>
      </c>
      <c r="E286" s="13">
        <v>65.0</v>
      </c>
      <c r="F286" s="14">
        <v>-0.011</v>
      </c>
      <c r="G286" s="15">
        <v>105.0</v>
      </c>
      <c r="H286" s="15">
        <v>103.0</v>
      </c>
      <c r="I286" s="15">
        <v>110.0</v>
      </c>
      <c r="J286" s="15">
        <v>99.0</v>
      </c>
      <c r="K286" s="15">
        <v>102.0</v>
      </c>
      <c r="L286" s="15">
        <v>84.0</v>
      </c>
      <c r="M286" s="16">
        <v>89.0</v>
      </c>
      <c r="N286" s="16">
        <v>89.0</v>
      </c>
      <c r="O286" s="15">
        <f t="shared" si="1"/>
        <v>101.5697259</v>
      </c>
      <c r="P286" s="15">
        <f t="shared" si="2"/>
        <v>101.047619</v>
      </c>
      <c r="Q286" s="15">
        <f t="shared" si="3"/>
        <v>92.57142857</v>
      </c>
      <c r="R286" s="15">
        <f t="shared" si="4"/>
        <v>94.2443385</v>
      </c>
    </row>
    <row r="287">
      <c r="A287" s="10">
        <v>805779.0</v>
      </c>
      <c r="B287" s="11" t="s">
        <v>303</v>
      </c>
      <c r="C287" s="12">
        <v>1186.0</v>
      </c>
      <c r="D287" s="10">
        <v>605.0</v>
      </c>
      <c r="E287" s="13">
        <v>313.0</v>
      </c>
      <c r="F287" s="14">
        <v>0.039</v>
      </c>
      <c r="G287" s="15">
        <v>92.0</v>
      </c>
      <c r="H287" s="15">
        <v>99.0</v>
      </c>
      <c r="I287" s="15">
        <v>115.0</v>
      </c>
      <c r="J287" s="15">
        <v>93.0</v>
      </c>
      <c r="K287" s="15">
        <v>126.0</v>
      </c>
      <c r="L287" s="15">
        <v>83.0</v>
      </c>
      <c r="M287" s="16">
        <v>89.0</v>
      </c>
      <c r="N287" s="16">
        <v>122.0</v>
      </c>
      <c r="O287" s="15">
        <f t="shared" si="1"/>
        <v>99.25220681</v>
      </c>
      <c r="P287" s="15">
        <f t="shared" si="2"/>
        <v>119.5403727</v>
      </c>
      <c r="Q287" s="15">
        <f t="shared" si="3"/>
        <v>86.28608247</v>
      </c>
      <c r="R287" s="15">
        <f t="shared" si="4"/>
        <v>91.77427491</v>
      </c>
    </row>
    <row r="288">
      <c r="A288" s="10">
        <v>609280.0</v>
      </c>
      <c r="B288" s="11" t="s">
        <v>304</v>
      </c>
      <c r="C288" s="12">
        <v>669.0</v>
      </c>
      <c r="D288" s="10">
        <v>354.0</v>
      </c>
      <c r="E288" s="13">
        <v>160.0</v>
      </c>
      <c r="F288" s="14">
        <v>0.067</v>
      </c>
      <c r="G288" s="15">
        <v>107.0</v>
      </c>
      <c r="H288" s="15">
        <v>97.0</v>
      </c>
      <c r="I288" s="15">
        <v>126.0</v>
      </c>
      <c r="J288" s="15">
        <v>87.0</v>
      </c>
      <c r="K288" s="15">
        <v>117.0</v>
      </c>
      <c r="L288" s="15">
        <v>85.0</v>
      </c>
      <c r="M288" s="16">
        <v>89.0</v>
      </c>
      <c r="N288" s="16">
        <v>98.0</v>
      </c>
      <c r="O288" s="15">
        <f t="shared" si="1"/>
        <v>98.12254443</v>
      </c>
      <c r="P288" s="15">
        <f t="shared" si="2"/>
        <v>110.8628159</v>
      </c>
      <c r="Q288" s="15">
        <f t="shared" si="3"/>
        <v>89.78723404</v>
      </c>
      <c r="R288" s="15">
        <f t="shared" si="4"/>
        <v>93.11599626</v>
      </c>
    </row>
    <row r="289">
      <c r="A289" s="10">
        <v>624431.0</v>
      </c>
      <c r="B289" s="11" t="s">
        <v>305</v>
      </c>
      <c r="C289" s="12">
        <v>629.0</v>
      </c>
      <c r="D289" s="10">
        <v>304.0</v>
      </c>
      <c r="E289" s="13">
        <v>150.0</v>
      </c>
      <c r="F289" s="14">
        <v>0.004</v>
      </c>
      <c r="G289" s="15">
        <v>78.0</v>
      </c>
      <c r="H289" s="15">
        <v>79.0</v>
      </c>
      <c r="I289" s="15">
        <v>81.0</v>
      </c>
      <c r="J289" s="15">
        <v>86.0</v>
      </c>
      <c r="K289" s="15">
        <v>129.0</v>
      </c>
      <c r="L289" s="15">
        <v>87.0</v>
      </c>
      <c r="M289" s="16">
        <v>88.0</v>
      </c>
      <c r="N289" s="16">
        <v>100.0</v>
      </c>
      <c r="O289" s="15">
        <f t="shared" si="1"/>
        <v>87.16326531</v>
      </c>
      <c r="P289" s="15">
        <f t="shared" si="2"/>
        <v>117.4920635</v>
      </c>
      <c r="Q289" s="15">
        <f t="shared" si="3"/>
        <v>91.33333333</v>
      </c>
      <c r="R289" s="15">
        <f t="shared" si="4"/>
        <v>92.66472303</v>
      </c>
    </row>
    <row r="290">
      <c r="A290" s="10">
        <v>702284.0</v>
      </c>
      <c r="B290" s="11" t="s">
        <v>306</v>
      </c>
      <c r="C290" s="12">
        <v>493.0</v>
      </c>
      <c r="D290" s="10">
        <v>231.0</v>
      </c>
      <c r="E290" s="13">
        <v>91.0</v>
      </c>
      <c r="F290" s="14">
        <v>-0.014</v>
      </c>
      <c r="G290" s="15">
        <v>103.0</v>
      </c>
      <c r="H290" s="15">
        <v>99.0</v>
      </c>
      <c r="I290" s="15">
        <v>97.0</v>
      </c>
      <c r="J290" s="15">
        <v>101.0</v>
      </c>
      <c r="K290" s="15">
        <v>92.0</v>
      </c>
      <c r="L290" s="15">
        <v>92.0</v>
      </c>
      <c r="M290" s="16">
        <v>88.0</v>
      </c>
      <c r="N290" s="16">
        <v>90.0</v>
      </c>
      <c r="O290" s="15">
        <f t="shared" si="1"/>
        <v>99.44792833</v>
      </c>
      <c r="P290" s="15">
        <f t="shared" si="2"/>
        <v>95.71229698</v>
      </c>
      <c r="Q290" s="15">
        <f t="shared" si="3"/>
        <v>95.61445783</v>
      </c>
      <c r="R290" s="15">
        <f t="shared" si="4"/>
        <v>93.37513998</v>
      </c>
    </row>
    <row r="291">
      <c r="A291" s="10">
        <v>624428.0</v>
      </c>
      <c r="B291" s="11" t="s">
        <v>307</v>
      </c>
      <c r="C291" s="12">
        <v>1007.0</v>
      </c>
      <c r="D291" s="10">
        <v>517.0</v>
      </c>
      <c r="E291" s="13">
        <v>189.0</v>
      </c>
      <c r="F291" s="14">
        <v>0.023</v>
      </c>
      <c r="G291" s="15">
        <v>102.0</v>
      </c>
      <c r="H291" s="15">
        <v>101.0</v>
      </c>
      <c r="I291" s="15">
        <v>117.0</v>
      </c>
      <c r="J291" s="15">
        <v>94.0</v>
      </c>
      <c r="K291" s="15">
        <v>107.0</v>
      </c>
      <c r="L291" s="15">
        <v>84.0</v>
      </c>
      <c r="M291" s="16">
        <v>88.0</v>
      </c>
      <c r="N291" s="16">
        <v>94.0</v>
      </c>
      <c r="O291" s="15">
        <f t="shared" si="1"/>
        <v>100.7157072</v>
      </c>
      <c r="P291" s="15">
        <f t="shared" si="2"/>
        <v>105.0474198</v>
      </c>
      <c r="Q291" s="15">
        <f t="shared" si="3"/>
        <v>88.54545455</v>
      </c>
      <c r="R291" s="15">
        <f t="shared" si="4"/>
        <v>91.41151386</v>
      </c>
    </row>
    <row r="292">
      <c r="A292" s="10">
        <v>668901.0</v>
      </c>
      <c r="B292" s="11" t="s">
        <v>308</v>
      </c>
      <c r="C292" s="12">
        <v>961.0</v>
      </c>
      <c r="D292" s="10">
        <v>489.0</v>
      </c>
      <c r="E292" s="13">
        <v>168.0</v>
      </c>
      <c r="F292" s="14">
        <v>0.022</v>
      </c>
      <c r="G292" s="15">
        <v>105.0</v>
      </c>
      <c r="H292" s="15">
        <v>92.0</v>
      </c>
      <c r="I292" s="15">
        <v>95.0</v>
      </c>
      <c r="J292" s="15">
        <v>94.0</v>
      </c>
      <c r="K292" s="15">
        <v>95.0</v>
      </c>
      <c r="L292" s="15">
        <v>94.0</v>
      </c>
      <c r="M292" s="16">
        <v>88.0</v>
      </c>
      <c r="N292" s="16">
        <v>90.0</v>
      </c>
      <c r="O292" s="15">
        <f t="shared" si="1"/>
        <v>94.35121234</v>
      </c>
      <c r="P292" s="15">
        <f t="shared" si="2"/>
        <v>96.45137881</v>
      </c>
      <c r="Q292" s="15">
        <f t="shared" si="3"/>
        <v>95.85185185</v>
      </c>
      <c r="R292" s="15">
        <f t="shared" si="4"/>
        <v>91.52681852</v>
      </c>
    </row>
    <row r="293">
      <c r="A293" s="10">
        <v>623993.0</v>
      </c>
      <c r="B293" s="11" t="s">
        <v>309</v>
      </c>
      <c r="C293" s="12">
        <v>871.0</v>
      </c>
      <c r="D293" s="10">
        <v>425.0</v>
      </c>
      <c r="E293" s="13">
        <v>130.0</v>
      </c>
      <c r="F293" s="14">
        <v>0.016</v>
      </c>
      <c r="G293" s="15">
        <v>90.0</v>
      </c>
      <c r="H293" s="15">
        <v>79.0</v>
      </c>
      <c r="I293" s="15">
        <v>95.0</v>
      </c>
      <c r="J293" s="15">
        <v>82.0</v>
      </c>
      <c r="K293" s="15">
        <v>112.0</v>
      </c>
      <c r="L293" s="15">
        <v>89.0</v>
      </c>
      <c r="M293" s="16">
        <v>88.0</v>
      </c>
      <c r="N293" s="16">
        <v>80.0</v>
      </c>
      <c r="O293" s="15">
        <f t="shared" si="1"/>
        <v>85.60896932</v>
      </c>
      <c r="P293" s="15">
        <f t="shared" si="2"/>
        <v>108.16</v>
      </c>
      <c r="Q293" s="15">
        <f t="shared" si="3"/>
        <v>93.02439024</v>
      </c>
      <c r="R293" s="15">
        <f t="shared" si="4"/>
        <v>91.77655389</v>
      </c>
    </row>
    <row r="294">
      <c r="A294" s="10">
        <v>571448.0</v>
      </c>
      <c r="B294" s="11" t="s">
        <v>310</v>
      </c>
      <c r="C294" s="12">
        <v>1249.0</v>
      </c>
      <c r="D294" s="10">
        <v>603.0</v>
      </c>
      <c r="E294" s="13">
        <v>284.0</v>
      </c>
      <c r="F294" s="14">
        <v>0.001</v>
      </c>
      <c r="G294" s="15">
        <v>92.0</v>
      </c>
      <c r="H294" s="15">
        <v>94.0</v>
      </c>
      <c r="I294" s="15">
        <v>106.0</v>
      </c>
      <c r="J294" s="15">
        <v>92.0</v>
      </c>
      <c r="K294" s="15">
        <v>134.0</v>
      </c>
      <c r="L294" s="15">
        <v>79.0</v>
      </c>
      <c r="M294" s="16">
        <v>88.0</v>
      </c>
      <c r="N294" s="16">
        <v>95.0</v>
      </c>
      <c r="O294" s="15">
        <f t="shared" si="1"/>
        <v>95.45542753</v>
      </c>
      <c r="P294" s="15">
        <f t="shared" si="2"/>
        <v>125.5317559</v>
      </c>
      <c r="Q294" s="15">
        <f t="shared" si="3"/>
        <v>83.38718663</v>
      </c>
      <c r="R294" s="15">
        <f t="shared" si="4"/>
        <v>90.91085506</v>
      </c>
    </row>
    <row r="295">
      <c r="A295" s="10">
        <v>595879.0</v>
      </c>
      <c r="B295" s="11" t="s">
        <v>311</v>
      </c>
      <c r="C295" s="12">
        <v>1004.0</v>
      </c>
      <c r="D295" s="10">
        <v>533.0</v>
      </c>
      <c r="E295" s="13">
        <v>204.0</v>
      </c>
      <c r="F295" s="14">
        <v>0.073</v>
      </c>
      <c r="G295" s="15">
        <v>66.0</v>
      </c>
      <c r="H295" s="15">
        <v>51.0</v>
      </c>
      <c r="I295" s="15">
        <v>96.0</v>
      </c>
      <c r="J295" s="15">
        <v>56.0</v>
      </c>
      <c r="K295" s="15">
        <v>116.0</v>
      </c>
      <c r="L295" s="15">
        <v>99.0</v>
      </c>
      <c r="M295" s="16">
        <v>88.0</v>
      </c>
      <c r="N295" s="16">
        <v>104.0</v>
      </c>
      <c r="O295" s="15">
        <f t="shared" si="1"/>
        <v>64.96011396</v>
      </c>
      <c r="P295" s="15">
        <f t="shared" si="2"/>
        <v>111.6343793</v>
      </c>
      <c r="Q295" s="15">
        <f t="shared" si="3"/>
        <v>99.2688172</v>
      </c>
      <c r="R295" s="15">
        <f t="shared" si="4"/>
        <v>91.41880342</v>
      </c>
    </row>
    <row r="296">
      <c r="A296" s="10">
        <v>676609.0</v>
      </c>
      <c r="B296" s="11" t="s">
        <v>312</v>
      </c>
      <c r="C296" s="12">
        <v>972.0</v>
      </c>
      <c r="D296" s="10">
        <v>437.0</v>
      </c>
      <c r="E296" s="13">
        <v>139.0</v>
      </c>
      <c r="F296" s="14">
        <v>-0.021</v>
      </c>
      <c r="G296" s="15">
        <v>96.0</v>
      </c>
      <c r="H296" s="15">
        <v>92.0</v>
      </c>
      <c r="I296" s="15">
        <v>72.0</v>
      </c>
      <c r="J296" s="15">
        <v>101.0</v>
      </c>
      <c r="K296" s="15">
        <v>92.0</v>
      </c>
      <c r="L296" s="15">
        <v>94.0</v>
      </c>
      <c r="M296" s="16">
        <v>88.0</v>
      </c>
      <c r="N296" s="16">
        <v>93.0</v>
      </c>
      <c r="O296" s="15">
        <f t="shared" si="1"/>
        <v>94.33236152</v>
      </c>
      <c r="P296" s="15">
        <f t="shared" si="2"/>
        <v>94.51177394</v>
      </c>
      <c r="Q296" s="15">
        <f t="shared" si="3"/>
        <v>96.10280374</v>
      </c>
      <c r="R296" s="15">
        <f t="shared" si="4"/>
        <v>91.49854227</v>
      </c>
    </row>
    <row r="297">
      <c r="A297" s="10">
        <v>691023.0</v>
      </c>
      <c r="B297" s="11" t="s">
        <v>313</v>
      </c>
      <c r="C297" s="12">
        <v>772.0</v>
      </c>
      <c r="D297" s="10">
        <v>374.0</v>
      </c>
      <c r="E297" s="13">
        <v>113.0</v>
      </c>
      <c r="F297" s="14">
        <v>-0.015</v>
      </c>
      <c r="G297" s="15">
        <v>82.0</v>
      </c>
      <c r="H297" s="15">
        <v>81.0</v>
      </c>
      <c r="I297" s="15">
        <v>46.0</v>
      </c>
      <c r="J297" s="15">
        <v>99.0</v>
      </c>
      <c r="K297" s="15">
        <v>90.0</v>
      </c>
      <c r="L297" s="15">
        <v>100.0</v>
      </c>
      <c r="M297" s="16">
        <v>87.0</v>
      </c>
      <c r="N297" s="16">
        <v>83.0</v>
      </c>
      <c r="O297" s="15">
        <f t="shared" si="1"/>
        <v>87.48464164</v>
      </c>
      <c r="P297" s="15">
        <f t="shared" si="2"/>
        <v>93.48432056</v>
      </c>
      <c r="Q297" s="15">
        <f t="shared" si="3"/>
        <v>100</v>
      </c>
      <c r="R297" s="15">
        <f t="shared" si="4"/>
        <v>91.43686007</v>
      </c>
    </row>
    <row r="298">
      <c r="A298" s="10">
        <v>664238.0</v>
      </c>
      <c r="B298" s="11" t="s">
        <v>314</v>
      </c>
      <c r="C298" s="12">
        <v>761.0</v>
      </c>
      <c r="D298" s="10">
        <v>376.0</v>
      </c>
      <c r="E298" s="13">
        <v>109.0</v>
      </c>
      <c r="F298" s="14">
        <v>-0.018</v>
      </c>
      <c r="G298" s="15">
        <v>114.0</v>
      </c>
      <c r="H298" s="15">
        <v>107.0</v>
      </c>
      <c r="I298" s="15">
        <v>105.0</v>
      </c>
      <c r="J298" s="15">
        <v>105.0</v>
      </c>
      <c r="K298" s="15">
        <v>68.0</v>
      </c>
      <c r="L298" s="15">
        <v>100.0</v>
      </c>
      <c r="M298" s="16">
        <v>87.0</v>
      </c>
      <c r="N298" s="16">
        <v>96.0</v>
      </c>
      <c r="O298" s="15">
        <f t="shared" si="1"/>
        <v>104.588286</v>
      </c>
      <c r="P298" s="15">
        <f t="shared" si="2"/>
        <v>79.11111111</v>
      </c>
      <c r="Q298" s="15">
        <f t="shared" si="3"/>
        <v>100</v>
      </c>
      <c r="R298" s="15">
        <f t="shared" si="4"/>
        <v>91.4788975</v>
      </c>
    </row>
    <row r="299">
      <c r="A299" s="10">
        <v>621438.0</v>
      </c>
      <c r="B299" s="11" t="s">
        <v>315</v>
      </c>
      <c r="C299" s="12">
        <v>1003.0</v>
      </c>
      <c r="D299" s="10">
        <v>490.0</v>
      </c>
      <c r="E299" s="13">
        <v>192.0</v>
      </c>
      <c r="F299" s="14">
        <v>-0.019</v>
      </c>
      <c r="G299" s="15">
        <v>88.0</v>
      </c>
      <c r="H299" s="15">
        <v>87.0</v>
      </c>
      <c r="I299" s="15">
        <v>88.0</v>
      </c>
      <c r="J299" s="15">
        <v>92.0</v>
      </c>
      <c r="K299" s="15">
        <v>114.0</v>
      </c>
      <c r="L299" s="15">
        <v>86.0</v>
      </c>
      <c r="M299" s="16">
        <v>87.0</v>
      </c>
      <c r="N299" s="16">
        <v>84.0</v>
      </c>
      <c r="O299" s="15">
        <f t="shared" si="1"/>
        <v>90.70634355</v>
      </c>
      <c r="P299" s="15">
        <f t="shared" si="2"/>
        <v>109.942029</v>
      </c>
      <c r="Q299" s="15">
        <f t="shared" si="3"/>
        <v>89.93258427</v>
      </c>
      <c r="R299" s="15">
        <f t="shared" si="4"/>
        <v>90.70634355</v>
      </c>
    </row>
    <row r="300">
      <c r="A300" s="10">
        <v>647351.0</v>
      </c>
      <c r="B300" s="11" t="s">
        <v>316</v>
      </c>
      <c r="C300" s="12">
        <v>749.0</v>
      </c>
      <c r="D300" s="10">
        <v>374.0</v>
      </c>
      <c r="E300" s="13">
        <v>149.0</v>
      </c>
      <c r="F300" s="14">
        <v>0.043</v>
      </c>
      <c r="G300" s="15">
        <v>83.0</v>
      </c>
      <c r="H300" s="15">
        <v>72.0</v>
      </c>
      <c r="I300" s="15">
        <v>104.0</v>
      </c>
      <c r="J300" s="15">
        <v>72.0</v>
      </c>
      <c r="K300" s="15">
        <v>123.0</v>
      </c>
      <c r="L300" s="15">
        <v>87.0</v>
      </c>
      <c r="M300" s="16">
        <v>87.0</v>
      </c>
      <c r="N300" s="16">
        <v>98.0</v>
      </c>
      <c r="O300" s="15">
        <f t="shared" si="1"/>
        <v>81.74760661</v>
      </c>
      <c r="P300" s="15">
        <f t="shared" si="2"/>
        <v>114.9860627</v>
      </c>
      <c r="Q300" s="15">
        <f t="shared" si="3"/>
        <v>91.35267857</v>
      </c>
      <c r="R300" s="15">
        <f t="shared" si="4"/>
        <v>91.5256745</v>
      </c>
    </row>
    <row r="301">
      <c r="A301" s="10">
        <v>668715.0</v>
      </c>
      <c r="B301" s="11" t="s">
        <v>317</v>
      </c>
      <c r="C301" s="12">
        <v>1385.0</v>
      </c>
      <c r="D301" s="10">
        <v>669.0</v>
      </c>
      <c r="E301" s="13">
        <v>238.0</v>
      </c>
      <c r="F301" s="14">
        <v>-0.038</v>
      </c>
      <c r="G301" s="15">
        <v>107.0</v>
      </c>
      <c r="H301" s="15">
        <v>112.0</v>
      </c>
      <c r="I301" s="15">
        <v>105.0</v>
      </c>
      <c r="J301" s="15">
        <v>110.0</v>
      </c>
      <c r="K301" s="15">
        <v>90.0</v>
      </c>
      <c r="L301" s="15">
        <v>86.0</v>
      </c>
      <c r="M301" s="16">
        <v>86.0</v>
      </c>
      <c r="N301" s="16">
        <v>106.0</v>
      </c>
      <c r="O301" s="15">
        <f t="shared" si="1"/>
        <v>109.3109244</v>
      </c>
      <c r="P301" s="15">
        <f t="shared" si="2"/>
        <v>92.30149597</v>
      </c>
      <c r="Q301" s="15">
        <f t="shared" si="3"/>
        <v>89.35463259</v>
      </c>
      <c r="R301" s="15">
        <f t="shared" si="4"/>
        <v>89.1372549</v>
      </c>
    </row>
    <row r="302">
      <c r="A302" s="10">
        <v>686217.0</v>
      </c>
      <c r="B302" s="11" t="s">
        <v>318</v>
      </c>
      <c r="C302" s="12">
        <v>1455.0</v>
      </c>
      <c r="D302" s="10">
        <v>635.0</v>
      </c>
      <c r="E302" s="13">
        <v>294.0</v>
      </c>
      <c r="F302" s="14">
        <v>-0.053</v>
      </c>
      <c r="G302" s="15">
        <v>82.0</v>
      </c>
      <c r="H302" s="15">
        <v>96.0</v>
      </c>
      <c r="I302" s="15">
        <v>81.0</v>
      </c>
      <c r="J302" s="15">
        <v>104.0</v>
      </c>
      <c r="K302" s="15">
        <v>119.0</v>
      </c>
      <c r="L302" s="15">
        <v>82.0</v>
      </c>
      <c r="M302" s="16">
        <v>86.0</v>
      </c>
      <c r="N302" s="16">
        <v>110.0</v>
      </c>
      <c r="O302" s="15">
        <f t="shared" si="1"/>
        <v>96.86253369</v>
      </c>
      <c r="P302" s="15">
        <f t="shared" si="2"/>
        <v>114.4491018</v>
      </c>
      <c r="Q302" s="15">
        <f t="shared" si="3"/>
        <v>85.65853659</v>
      </c>
      <c r="R302" s="15">
        <f t="shared" si="4"/>
        <v>89.01886792</v>
      </c>
    </row>
    <row r="303">
      <c r="A303" s="10">
        <v>642136.0</v>
      </c>
      <c r="B303" s="11" t="s">
        <v>319</v>
      </c>
      <c r="C303" s="12">
        <v>703.0</v>
      </c>
      <c r="D303" s="10">
        <v>335.0</v>
      </c>
      <c r="E303" s="13">
        <v>101.0</v>
      </c>
      <c r="F303" s="14">
        <v>-0.016</v>
      </c>
      <c r="G303" s="15">
        <v>136.0</v>
      </c>
      <c r="H303" s="15">
        <v>125.0</v>
      </c>
      <c r="I303" s="15">
        <v>114.0</v>
      </c>
      <c r="J303" s="15">
        <v>119.0</v>
      </c>
      <c r="K303" s="15">
        <v>83.0</v>
      </c>
      <c r="L303" s="15">
        <v>80.0</v>
      </c>
      <c r="M303" s="16">
        <v>86.0</v>
      </c>
      <c r="N303" s="16">
        <v>96.0</v>
      </c>
      <c r="O303" s="15">
        <f t="shared" si="1"/>
        <v>115.9338169</v>
      </c>
      <c r="P303" s="15">
        <f t="shared" si="2"/>
        <v>89.35514019</v>
      </c>
      <c r="Q303" s="15">
        <f t="shared" si="3"/>
        <v>88.52272727</v>
      </c>
      <c r="R303" s="15">
        <f t="shared" si="4"/>
        <v>91.07706256</v>
      </c>
    </row>
    <row r="304">
      <c r="A304" s="10">
        <v>691785.0</v>
      </c>
      <c r="B304" s="11" t="s">
        <v>320</v>
      </c>
      <c r="C304" s="12">
        <v>458.0</v>
      </c>
      <c r="D304" s="10">
        <v>234.0</v>
      </c>
      <c r="E304" s="13">
        <v>80.0</v>
      </c>
      <c r="F304" s="14">
        <v>0.003</v>
      </c>
      <c r="G304" s="15">
        <v>105.0</v>
      </c>
      <c r="H304" s="15">
        <v>88.0</v>
      </c>
      <c r="I304" s="15">
        <v>78.0</v>
      </c>
      <c r="J304" s="15">
        <v>97.0</v>
      </c>
      <c r="K304" s="15">
        <v>96.0</v>
      </c>
      <c r="L304" s="15">
        <v>92.0</v>
      </c>
      <c r="M304" s="16">
        <v>86.0</v>
      </c>
      <c r="N304" s="16">
        <v>94.0</v>
      </c>
      <c r="O304" s="15">
        <f t="shared" si="1"/>
        <v>93.59440559</v>
      </c>
      <c r="P304" s="15">
        <f t="shared" si="2"/>
        <v>97.84331797</v>
      </c>
      <c r="Q304" s="15">
        <f t="shared" si="3"/>
        <v>95.87096774</v>
      </c>
      <c r="R304" s="15">
        <f t="shared" si="4"/>
        <v>92.52680653</v>
      </c>
    </row>
    <row r="305">
      <c r="A305" s="10">
        <v>681460.0</v>
      </c>
      <c r="B305" s="11" t="s">
        <v>321</v>
      </c>
      <c r="C305" s="12">
        <v>651.0</v>
      </c>
      <c r="D305" s="10">
        <v>321.0</v>
      </c>
      <c r="E305" s="13">
        <v>111.0</v>
      </c>
      <c r="F305" s="14">
        <v>0.03</v>
      </c>
      <c r="G305" s="15">
        <v>96.0</v>
      </c>
      <c r="H305" s="15">
        <v>77.0</v>
      </c>
      <c r="I305" s="15">
        <v>88.0</v>
      </c>
      <c r="J305" s="15">
        <v>82.0</v>
      </c>
      <c r="K305" s="15">
        <v>89.0</v>
      </c>
      <c r="L305" s="15">
        <v>100.0</v>
      </c>
      <c r="M305" s="16">
        <v>86.0</v>
      </c>
      <c r="N305" s="16">
        <v>83.0</v>
      </c>
      <c r="O305" s="15">
        <f t="shared" si="1"/>
        <v>85.75356803</v>
      </c>
      <c r="P305" s="15">
        <f t="shared" si="2"/>
        <v>93.22264875</v>
      </c>
      <c r="Q305" s="15">
        <f t="shared" si="3"/>
        <v>100</v>
      </c>
      <c r="R305" s="15">
        <f t="shared" si="4"/>
        <v>91.3282588</v>
      </c>
    </row>
    <row r="306">
      <c r="A306" s="10">
        <v>671739.0</v>
      </c>
      <c r="B306" s="11" t="s">
        <v>322</v>
      </c>
      <c r="C306" s="12">
        <v>1253.0</v>
      </c>
      <c r="D306" s="10">
        <v>707.0</v>
      </c>
      <c r="E306" s="13">
        <v>278.0</v>
      </c>
      <c r="F306" s="14">
        <v>0.092</v>
      </c>
      <c r="G306" s="15">
        <v>70.0</v>
      </c>
      <c r="H306" s="15">
        <v>64.0</v>
      </c>
      <c r="I306" s="15">
        <v>106.0</v>
      </c>
      <c r="J306" s="15">
        <v>62.0</v>
      </c>
      <c r="K306" s="15">
        <v>106.0</v>
      </c>
      <c r="L306" s="15">
        <v>97.0</v>
      </c>
      <c r="M306" s="16">
        <v>85.0</v>
      </c>
      <c r="N306" s="16">
        <v>66.0</v>
      </c>
      <c r="O306" s="15">
        <f t="shared" si="1"/>
        <v>72.71143376</v>
      </c>
      <c r="P306" s="15">
        <f t="shared" si="2"/>
        <v>104.676957</v>
      </c>
      <c r="Q306" s="15">
        <f t="shared" si="3"/>
        <v>97.63739377</v>
      </c>
      <c r="R306" s="15">
        <f t="shared" si="4"/>
        <v>88.62976407</v>
      </c>
    </row>
    <row r="307">
      <c r="A307" s="10">
        <v>691777.0</v>
      </c>
      <c r="B307" s="11" t="s">
        <v>43</v>
      </c>
      <c r="C307" s="12">
        <v>768.0</v>
      </c>
      <c r="D307" s="10">
        <v>386.0</v>
      </c>
      <c r="E307" s="13">
        <v>128.0</v>
      </c>
      <c r="F307" s="14">
        <v>0.019</v>
      </c>
      <c r="G307" s="15">
        <v>88.0</v>
      </c>
      <c r="H307" s="15">
        <v>80.0</v>
      </c>
      <c r="I307" s="15">
        <v>92.0</v>
      </c>
      <c r="J307" s="15">
        <v>83.0</v>
      </c>
      <c r="K307" s="15">
        <v>83.0</v>
      </c>
      <c r="L307" s="15">
        <v>102.0</v>
      </c>
      <c r="M307" s="16">
        <v>85.0</v>
      </c>
      <c r="N307" s="16">
        <v>91.0</v>
      </c>
      <c r="O307" s="15">
        <f t="shared" si="1"/>
        <v>86.84931507</v>
      </c>
      <c r="P307" s="15">
        <f t="shared" si="2"/>
        <v>88.80204778</v>
      </c>
      <c r="Q307" s="15">
        <f t="shared" si="3"/>
        <v>101.2610837</v>
      </c>
      <c r="R307" s="15">
        <f t="shared" si="4"/>
        <v>90.1369863</v>
      </c>
    </row>
    <row r="308">
      <c r="A308" s="10">
        <v>669911.0</v>
      </c>
      <c r="B308" s="11" t="s">
        <v>323</v>
      </c>
      <c r="C308" s="12">
        <v>1214.0</v>
      </c>
      <c r="D308" s="10">
        <v>584.0</v>
      </c>
      <c r="E308" s="13">
        <v>162.0</v>
      </c>
      <c r="F308" s="14">
        <v>-0.001</v>
      </c>
      <c r="G308" s="15">
        <v>98.0</v>
      </c>
      <c r="H308" s="15">
        <v>82.0</v>
      </c>
      <c r="I308" s="15">
        <v>77.0</v>
      </c>
      <c r="J308" s="15">
        <v>91.0</v>
      </c>
      <c r="K308" s="15">
        <v>67.0</v>
      </c>
      <c r="L308" s="15">
        <v>111.0</v>
      </c>
      <c r="M308" s="16">
        <v>85.0</v>
      </c>
      <c r="N308" s="16">
        <v>84.0</v>
      </c>
      <c r="O308" s="15">
        <f t="shared" si="1"/>
        <v>86.46096654</v>
      </c>
      <c r="P308" s="15">
        <f t="shared" si="2"/>
        <v>75.41836735</v>
      </c>
      <c r="Q308" s="15">
        <f t="shared" si="3"/>
        <v>107.5189873</v>
      </c>
      <c r="R308" s="15">
        <f t="shared" si="4"/>
        <v>88.71747212</v>
      </c>
    </row>
    <row r="309">
      <c r="A309" s="10">
        <v>592192.0</v>
      </c>
      <c r="B309" s="11" t="s">
        <v>324</v>
      </c>
      <c r="C309" s="12">
        <v>504.0</v>
      </c>
      <c r="D309" s="10">
        <v>231.0</v>
      </c>
      <c r="E309" s="13">
        <v>91.0</v>
      </c>
      <c r="F309" s="14">
        <v>-0.037</v>
      </c>
      <c r="G309" s="15">
        <v>84.0</v>
      </c>
      <c r="H309" s="15">
        <v>101.0</v>
      </c>
      <c r="I309" s="15">
        <v>92.0</v>
      </c>
      <c r="J309" s="15">
        <v>104.0</v>
      </c>
      <c r="K309" s="15">
        <v>112.0</v>
      </c>
      <c r="L309" s="15">
        <v>79.0</v>
      </c>
      <c r="M309" s="16">
        <v>85.0</v>
      </c>
      <c r="N309" s="16">
        <v>81.0</v>
      </c>
      <c r="O309" s="15">
        <f t="shared" si="1"/>
        <v>100.5575221</v>
      </c>
      <c r="P309" s="15">
        <f t="shared" si="2"/>
        <v>106.4315545</v>
      </c>
      <c r="Q309" s="15">
        <f t="shared" si="3"/>
        <v>88.48795181</v>
      </c>
      <c r="R309" s="15">
        <f t="shared" si="4"/>
        <v>91.63716814</v>
      </c>
    </row>
    <row r="310">
      <c r="A310" s="10">
        <v>702332.0</v>
      </c>
      <c r="B310" s="11" t="s">
        <v>325</v>
      </c>
      <c r="C310" s="12">
        <v>961.0</v>
      </c>
      <c r="D310" s="10">
        <v>427.0</v>
      </c>
      <c r="E310" s="13">
        <v>213.0</v>
      </c>
      <c r="F310" s="14">
        <v>-0.057</v>
      </c>
      <c r="G310" s="15">
        <v>94.0</v>
      </c>
      <c r="H310" s="15">
        <v>113.0</v>
      </c>
      <c r="I310" s="15">
        <v>104.0</v>
      </c>
      <c r="J310" s="15">
        <v>112.0</v>
      </c>
      <c r="K310" s="15">
        <v>128.0</v>
      </c>
      <c r="L310" s="15">
        <v>73.0</v>
      </c>
      <c r="M310" s="16">
        <v>85.0</v>
      </c>
      <c r="N310" s="16">
        <v>107.0</v>
      </c>
      <c r="O310" s="15">
        <f t="shared" si="1"/>
        <v>109.1792799</v>
      </c>
      <c r="P310" s="15">
        <f t="shared" si="2"/>
        <v>119.0685805</v>
      </c>
      <c r="Q310" s="15">
        <f t="shared" si="3"/>
        <v>80.03125</v>
      </c>
      <c r="R310" s="15">
        <f t="shared" si="4"/>
        <v>89.40852314</v>
      </c>
    </row>
    <row r="311">
      <c r="A311" s="10">
        <v>670764.0</v>
      </c>
      <c r="B311" s="11" t="s">
        <v>326</v>
      </c>
      <c r="C311" s="12">
        <v>1037.0</v>
      </c>
      <c r="D311" s="10">
        <v>470.0</v>
      </c>
      <c r="E311" s="13">
        <v>180.0</v>
      </c>
      <c r="F311" s="14">
        <v>-0.072</v>
      </c>
      <c r="G311" s="15">
        <v>111.0</v>
      </c>
      <c r="H311" s="15">
        <v>123.0</v>
      </c>
      <c r="I311" s="15">
        <v>101.0</v>
      </c>
      <c r="J311" s="15">
        <v>125.0</v>
      </c>
      <c r="K311" s="15">
        <v>99.0</v>
      </c>
      <c r="L311" s="15">
        <v>75.0</v>
      </c>
      <c r="M311" s="16">
        <v>85.0</v>
      </c>
      <c r="N311" s="16">
        <v>88.0</v>
      </c>
      <c r="O311" s="15">
        <f t="shared" si="1"/>
        <v>116.5977731</v>
      </c>
      <c r="P311" s="15">
        <f t="shared" si="2"/>
        <v>99.29850746</v>
      </c>
      <c r="Q311" s="15">
        <f t="shared" si="3"/>
        <v>82.35294118</v>
      </c>
      <c r="R311" s="15">
        <f t="shared" si="4"/>
        <v>89.17536534</v>
      </c>
    </row>
    <row r="312">
      <c r="A312" s="10">
        <v>677950.0</v>
      </c>
      <c r="B312" s="11" t="s">
        <v>327</v>
      </c>
      <c r="C312" s="12">
        <v>1040.0</v>
      </c>
      <c r="D312" s="10">
        <v>527.0</v>
      </c>
      <c r="E312" s="13">
        <v>189.0</v>
      </c>
      <c r="F312" s="14">
        <v>0.036</v>
      </c>
      <c r="G312" s="15">
        <v>90.0</v>
      </c>
      <c r="H312" s="15">
        <v>84.0</v>
      </c>
      <c r="I312" s="15">
        <v>103.0</v>
      </c>
      <c r="J312" s="15">
        <v>83.0</v>
      </c>
      <c r="K312" s="15">
        <v>89.0</v>
      </c>
      <c r="L312" s="15">
        <v>97.0</v>
      </c>
      <c r="M312" s="16">
        <v>84.0</v>
      </c>
      <c r="N312" s="16">
        <v>92.0</v>
      </c>
      <c r="O312" s="15">
        <f t="shared" si="1"/>
        <v>88.44444444</v>
      </c>
      <c r="P312" s="15">
        <f t="shared" si="2"/>
        <v>92.0261348</v>
      </c>
      <c r="Q312" s="15">
        <f t="shared" si="3"/>
        <v>97.85227273</v>
      </c>
      <c r="R312" s="15">
        <f t="shared" si="4"/>
        <v>88.44444444</v>
      </c>
    </row>
    <row r="313">
      <c r="A313" s="10">
        <v>677587.0</v>
      </c>
      <c r="B313" s="11" t="s">
        <v>328</v>
      </c>
      <c r="C313" s="12">
        <v>507.0</v>
      </c>
      <c r="D313" s="10">
        <v>269.0</v>
      </c>
      <c r="E313" s="13">
        <v>103.0</v>
      </c>
      <c r="F313" s="14">
        <v>0.06</v>
      </c>
      <c r="G313" s="15">
        <v>99.0</v>
      </c>
      <c r="H313" s="15">
        <v>92.0</v>
      </c>
      <c r="I313" s="15">
        <v>110.0</v>
      </c>
      <c r="J313" s="15">
        <v>88.0</v>
      </c>
      <c r="K313" s="15">
        <v>99.0</v>
      </c>
      <c r="L313" s="15">
        <v>89.0</v>
      </c>
      <c r="M313" s="16">
        <v>84.0</v>
      </c>
      <c r="N313" s="16">
        <v>68.0</v>
      </c>
      <c r="O313" s="15">
        <f t="shared" si="1"/>
        <v>95.52811466</v>
      </c>
      <c r="P313" s="15">
        <f t="shared" si="2"/>
        <v>99.42643923</v>
      </c>
      <c r="Q313" s="15">
        <f t="shared" si="3"/>
        <v>93.63483146</v>
      </c>
      <c r="R313" s="15">
        <f t="shared" si="4"/>
        <v>91.05622933</v>
      </c>
    </row>
    <row r="314">
      <c r="A314" s="10">
        <v>802415.0</v>
      </c>
      <c r="B314" s="11" t="s">
        <v>329</v>
      </c>
      <c r="C314" s="12">
        <v>652.0</v>
      </c>
      <c r="D314" s="10">
        <v>308.0</v>
      </c>
      <c r="E314" s="13">
        <v>167.0</v>
      </c>
      <c r="F314" s="14">
        <v>-0.007</v>
      </c>
      <c r="G314" s="15">
        <v>75.0</v>
      </c>
      <c r="H314" s="15">
        <v>94.0</v>
      </c>
      <c r="I314" s="15">
        <v>106.0</v>
      </c>
      <c r="J314" s="15">
        <v>91.0</v>
      </c>
      <c r="K314" s="15">
        <v>138.0</v>
      </c>
      <c r="L314" s="15">
        <v>78.0</v>
      </c>
      <c r="M314" s="16">
        <v>84.0</v>
      </c>
      <c r="N314" s="16">
        <v>102.0</v>
      </c>
      <c r="O314" s="15">
        <f t="shared" si="1"/>
        <v>96.28136882</v>
      </c>
      <c r="P314" s="15">
        <f t="shared" si="2"/>
        <v>123.0393701</v>
      </c>
      <c r="Q314" s="15">
        <f t="shared" si="3"/>
        <v>84.81818182</v>
      </c>
      <c r="R314" s="15">
        <f t="shared" si="4"/>
        <v>90.08365019</v>
      </c>
    </row>
    <row r="315">
      <c r="A315" s="10">
        <v>676391.0</v>
      </c>
      <c r="B315" s="11" t="s">
        <v>330</v>
      </c>
      <c r="C315" s="12">
        <v>1082.0</v>
      </c>
      <c r="D315" s="10">
        <v>577.0</v>
      </c>
      <c r="E315" s="13">
        <v>286.0</v>
      </c>
      <c r="F315" s="14">
        <v>0.093</v>
      </c>
      <c r="G315" s="15">
        <v>92.0</v>
      </c>
      <c r="H315" s="15">
        <v>82.0</v>
      </c>
      <c r="I315" s="15">
        <v>120.0</v>
      </c>
      <c r="J315" s="15">
        <v>76.0</v>
      </c>
      <c r="K315" s="15">
        <v>128.0</v>
      </c>
      <c r="L315" s="15">
        <v>83.0</v>
      </c>
      <c r="M315" s="16">
        <v>84.0</v>
      </c>
      <c r="N315" s="16">
        <v>96.0</v>
      </c>
      <c r="O315" s="15">
        <f t="shared" si="1"/>
        <v>86.8582996</v>
      </c>
      <c r="P315" s="15">
        <f t="shared" si="2"/>
        <v>120.7927928</v>
      </c>
      <c r="Q315" s="15">
        <f t="shared" si="3"/>
        <v>86.53185596</v>
      </c>
      <c r="R315" s="15">
        <f t="shared" si="4"/>
        <v>88.31848853</v>
      </c>
    </row>
    <row r="316">
      <c r="A316" s="10">
        <v>643396.0</v>
      </c>
      <c r="B316" s="11" t="s">
        <v>331</v>
      </c>
      <c r="C316" s="12">
        <v>1039.0</v>
      </c>
      <c r="D316" s="10">
        <v>494.0</v>
      </c>
      <c r="E316" s="13">
        <v>228.0</v>
      </c>
      <c r="F316" s="14">
        <v>-0.016</v>
      </c>
      <c r="G316" s="15">
        <v>71.0</v>
      </c>
      <c r="H316" s="15">
        <v>90.0</v>
      </c>
      <c r="I316" s="15">
        <v>82.0</v>
      </c>
      <c r="J316" s="15">
        <v>97.0</v>
      </c>
      <c r="K316" s="15">
        <v>117.0</v>
      </c>
      <c r="L316" s="15">
        <v>83.0</v>
      </c>
      <c r="M316" s="16">
        <v>83.0</v>
      </c>
      <c r="N316" s="16">
        <v>96.0</v>
      </c>
      <c r="O316" s="15">
        <f t="shared" si="1"/>
        <v>92.77970813</v>
      </c>
      <c r="P316" s="15">
        <f t="shared" si="2"/>
        <v>112.1008646</v>
      </c>
      <c r="Q316" s="15">
        <f t="shared" si="3"/>
        <v>87.20792079</v>
      </c>
      <c r="R316" s="15">
        <f t="shared" si="4"/>
        <v>87.72550382</v>
      </c>
    </row>
    <row r="317">
      <c r="A317" s="10">
        <v>669364.0</v>
      </c>
      <c r="B317" s="11" t="s">
        <v>332</v>
      </c>
      <c r="C317" s="12">
        <v>1296.0</v>
      </c>
      <c r="D317" s="10">
        <v>617.0</v>
      </c>
      <c r="E317" s="13">
        <v>272.0</v>
      </c>
      <c r="F317" s="14">
        <v>-0.008</v>
      </c>
      <c r="G317" s="15">
        <v>109.0</v>
      </c>
      <c r="H317" s="15">
        <v>105.0</v>
      </c>
      <c r="I317" s="15">
        <v>98.0</v>
      </c>
      <c r="J317" s="15">
        <v>107.0</v>
      </c>
      <c r="K317" s="15">
        <v>118.0</v>
      </c>
      <c r="L317" s="15">
        <v>77.0</v>
      </c>
      <c r="M317" s="16">
        <v>83.0</v>
      </c>
      <c r="N317" s="16">
        <v>99.0</v>
      </c>
      <c r="O317" s="15">
        <f t="shared" si="1"/>
        <v>103.8207547</v>
      </c>
      <c r="P317" s="15">
        <f t="shared" si="2"/>
        <v>113.5936353</v>
      </c>
      <c r="Q317" s="15">
        <f t="shared" si="3"/>
        <v>81.97118156</v>
      </c>
      <c r="R317" s="15">
        <f t="shared" si="4"/>
        <v>87.00943396</v>
      </c>
    </row>
    <row r="318">
      <c r="A318" s="10">
        <v>641680.0</v>
      </c>
      <c r="B318" s="11" t="s">
        <v>333</v>
      </c>
      <c r="C318" s="12">
        <v>1097.0</v>
      </c>
      <c r="D318" s="10">
        <v>564.0</v>
      </c>
      <c r="E318" s="13">
        <v>199.0</v>
      </c>
      <c r="F318" s="14">
        <v>0.016</v>
      </c>
      <c r="G318" s="15">
        <v>99.0</v>
      </c>
      <c r="H318" s="15">
        <v>95.0</v>
      </c>
      <c r="I318" s="15">
        <v>116.0</v>
      </c>
      <c r="J318" s="15">
        <v>88.0</v>
      </c>
      <c r="K318" s="15">
        <v>98.0</v>
      </c>
      <c r="L318" s="15">
        <v>86.0</v>
      </c>
      <c r="M318" s="16">
        <v>83.0</v>
      </c>
      <c r="N318" s="16">
        <v>86.0</v>
      </c>
      <c r="O318" s="15">
        <f t="shared" si="1"/>
        <v>96.33600534</v>
      </c>
      <c r="P318" s="15">
        <f t="shared" si="2"/>
        <v>98.52356021</v>
      </c>
      <c r="Q318" s="15">
        <f t="shared" si="3"/>
        <v>89.83211679</v>
      </c>
      <c r="R318" s="15">
        <f t="shared" si="4"/>
        <v>87.54241817</v>
      </c>
    </row>
    <row r="319">
      <c r="A319" s="10">
        <v>663968.0</v>
      </c>
      <c r="B319" s="11" t="s">
        <v>334</v>
      </c>
      <c r="C319" s="12">
        <v>746.0</v>
      </c>
      <c r="D319" s="10">
        <v>460.0</v>
      </c>
      <c r="E319" s="13">
        <v>186.0</v>
      </c>
      <c r="F319" s="14">
        <v>0.146</v>
      </c>
      <c r="G319" s="15">
        <v>99.0</v>
      </c>
      <c r="H319" s="15">
        <v>78.0</v>
      </c>
      <c r="I319" s="15">
        <v>113.0</v>
      </c>
      <c r="J319" s="15">
        <v>73.0</v>
      </c>
      <c r="K319" s="15">
        <v>120.0</v>
      </c>
      <c r="L319" s="15">
        <v>85.0</v>
      </c>
      <c r="M319" s="16">
        <v>83.0</v>
      </c>
      <c r="N319" s="16">
        <v>99.0</v>
      </c>
      <c r="O319" s="15">
        <f t="shared" si="1"/>
        <v>85.67888307</v>
      </c>
      <c r="P319" s="15">
        <f t="shared" si="2"/>
        <v>113.9393939</v>
      </c>
      <c r="Q319" s="15">
        <f t="shared" si="3"/>
        <v>89.31034483</v>
      </c>
      <c r="R319" s="15">
        <f t="shared" si="4"/>
        <v>88.93368237</v>
      </c>
    </row>
    <row r="320">
      <c r="A320" s="10">
        <v>578428.0</v>
      </c>
      <c r="B320" s="11" t="s">
        <v>335</v>
      </c>
      <c r="C320" s="12">
        <v>819.0</v>
      </c>
      <c r="D320" s="10">
        <v>376.0</v>
      </c>
      <c r="E320" s="13">
        <v>150.0</v>
      </c>
      <c r="F320" s="14">
        <v>-0.039</v>
      </c>
      <c r="G320" s="15">
        <v>46.0</v>
      </c>
      <c r="H320" s="15">
        <v>70.0</v>
      </c>
      <c r="I320" s="15">
        <v>76.0</v>
      </c>
      <c r="J320" s="15">
        <v>79.0</v>
      </c>
      <c r="K320" s="15">
        <v>133.0</v>
      </c>
      <c r="L320" s="15">
        <v>81.0</v>
      </c>
      <c r="M320" s="16">
        <v>83.0</v>
      </c>
      <c r="N320" s="16">
        <v>84.0</v>
      </c>
      <c r="O320" s="15">
        <f t="shared" si="1"/>
        <v>79.84413454</v>
      </c>
      <c r="P320" s="15">
        <f t="shared" si="2"/>
        <v>121.5416667</v>
      </c>
      <c r="Q320" s="15">
        <f t="shared" si="3"/>
        <v>87.33333333</v>
      </c>
      <c r="R320" s="15">
        <f t="shared" si="4"/>
        <v>88.5783429</v>
      </c>
    </row>
    <row r="321">
      <c r="A321" s="10">
        <v>500743.0</v>
      </c>
      <c r="B321" s="11" t="s">
        <v>336</v>
      </c>
      <c r="C321" s="12">
        <v>511.0</v>
      </c>
      <c r="D321" s="10">
        <v>237.0</v>
      </c>
      <c r="E321" s="13">
        <v>110.0</v>
      </c>
      <c r="F321" s="14">
        <v>-0.012</v>
      </c>
      <c r="G321" s="15">
        <v>101.0</v>
      </c>
      <c r="H321" s="15">
        <v>101.0</v>
      </c>
      <c r="I321" s="15">
        <v>107.0</v>
      </c>
      <c r="J321" s="15">
        <v>98.0</v>
      </c>
      <c r="K321" s="15">
        <v>121.0</v>
      </c>
      <c r="L321" s="15">
        <v>77.0</v>
      </c>
      <c r="M321" s="16">
        <v>83.0</v>
      </c>
      <c r="N321" s="16">
        <v>91.0</v>
      </c>
      <c r="O321" s="15">
        <f t="shared" si="1"/>
        <v>100.5609221</v>
      </c>
      <c r="P321" s="15">
        <f t="shared" si="2"/>
        <v>111.389016</v>
      </c>
      <c r="Q321" s="15">
        <f t="shared" si="3"/>
        <v>86.32432432</v>
      </c>
      <c r="R321" s="15">
        <f t="shared" si="4"/>
        <v>90.46432492</v>
      </c>
    </row>
    <row r="322">
      <c r="A322" s="10">
        <v>677595.0</v>
      </c>
      <c r="B322" s="11" t="s">
        <v>337</v>
      </c>
      <c r="C322" s="12">
        <v>401.0</v>
      </c>
      <c r="D322" s="10">
        <v>207.0</v>
      </c>
      <c r="E322" s="13">
        <v>64.0</v>
      </c>
      <c r="F322" s="14">
        <v>0.052</v>
      </c>
      <c r="G322" s="15">
        <v>67.0</v>
      </c>
      <c r="H322" s="15">
        <v>62.0</v>
      </c>
      <c r="I322" s="15">
        <v>85.0</v>
      </c>
      <c r="J322" s="15">
        <v>70.0</v>
      </c>
      <c r="K322" s="15">
        <v>104.0</v>
      </c>
      <c r="L322" s="15">
        <v>94.0</v>
      </c>
      <c r="M322" s="16">
        <v>82.0</v>
      </c>
      <c r="N322" s="16">
        <v>93.0</v>
      </c>
      <c r="O322" s="15">
        <f t="shared" si="1"/>
        <v>80.97627965</v>
      </c>
      <c r="P322" s="15">
        <f t="shared" si="2"/>
        <v>102.034398</v>
      </c>
      <c r="Q322" s="15">
        <f t="shared" si="3"/>
        <v>97.23741007</v>
      </c>
      <c r="R322" s="15">
        <f t="shared" si="4"/>
        <v>90.98876404</v>
      </c>
    </row>
    <row r="323">
      <c r="A323" s="10">
        <v>656180.0</v>
      </c>
      <c r="B323" s="11" t="s">
        <v>338</v>
      </c>
      <c r="C323" s="12">
        <v>432.0</v>
      </c>
      <c r="D323" s="10">
        <v>218.0</v>
      </c>
      <c r="E323" s="13">
        <v>57.0</v>
      </c>
      <c r="F323" s="14">
        <v>0.001</v>
      </c>
      <c r="G323" s="15">
        <v>79.0</v>
      </c>
      <c r="H323" s="15">
        <v>85.0</v>
      </c>
      <c r="I323" s="15">
        <v>99.0</v>
      </c>
      <c r="J323" s="15">
        <v>85.0</v>
      </c>
      <c r="K323" s="15">
        <v>52.0</v>
      </c>
      <c r="L323" s="15">
        <v>117.0</v>
      </c>
      <c r="M323" s="16">
        <v>81.0</v>
      </c>
      <c r="N323" s="16">
        <v>71.0</v>
      </c>
      <c r="O323" s="15">
        <f t="shared" si="1"/>
        <v>92.21153846</v>
      </c>
      <c r="P323" s="15">
        <f t="shared" si="2"/>
        <v>74.96650718</v>
      </c>
      <c r="Q323" s="15">
        <f t="shared" si="3"/>
        <v>107.3409091</v>
      </c>
      <c r="R323" s="15">
        <f t="shared" si="4"/>
        <v>90.13461538</v>
      </c>
    </row>
    <row r="324">
      <c r="A324" s="10">
        <v>669289.0</v>
      </c>
      <c r="B324" s="11" t="s">
        <v>339</v>
      </c>
      <c r="C324" s="12">
        <v>1065.0</v>
      </c>
      <c r="D324" s="10">
        <v>474.0</v>
      </c>
      <c r="E324" s="13">
        <v>218.0</v>
      </c>
      <c r="F324" s="14">
        <v>-0.057</v>
      </c>
      <c r="G324" s="15">
        <v>97.0</v>
      </c>
      <c r="H324" s="15">
        <v>112.0</v>
      </c>
      <c r="I324" s="15">
        <v>108.0</v>
      </c>
      <c r="J324" s="15">
        <v>109.0</v>
      </c>
      <c r="K324" s="15">
        <v>121.0</v>
      </c>
      <c r="L324" s="15">
        <v>71.0</v>
      </c>
      <c r="M324" s="16">
        <v>81.0</v>
      </c>
      <c r="N324" s="16">
        <v>86.0</v>
      </c>
      <c r="O324" s="15">
        <f t="shared" si="1"/>
        <v>108.7235495</v>
      </c>
      <c r="P324" s="15">
        <f t="shared" si="2"/>
        <v>114.768546</v>
      </c>
      <c r="Q324" s="15">
        <f t="shared" si="3"/>
        <v>78.42320819</v>
      </c>
      <c r="R324" s="15">
        <f t="shared" si="4"/>
        <v>86.18771331</v>
      </c>
    </row>
    <row r="325">
      <c r="A325" s="10">
        <v>571657.0</v>
      </c>
      <c r="B325" s="11" t="s">
        <v>340</v>
      </c>
      <c r="C325" s="12">
        <v>781.0</v>
      </c>
      <c r="D325" s="10">
        <v>380.0</v>
      </c>
      <c r="E325" s="13">
        <v>159.0</v>
      </c>
      <c r="F325" s="14">
        <v>-0.02</v>
      </c>
      <c r="G325" s="15">
        <v>83.0</v>
      </c>
      <c r="H325" s="15">
        <v>92.0</v>
      </c>
      <c r="I325" s="15">
        <v>99.0</v>
      </c>
      <c r="J325" s="15">
        <v>92.0</v>
      </c>
      <c r="K325" s="15">
        <v>96.0</v>
      </c>
      <c r="L325" s="15">
        <v>88.0</v>
      </c>
      <c r="M325" s="16">
        <v>81.0</v>
      </c>
      <c r="N325" s="16">
        <v>81.0</v>
      </c>
      <c r="O325" s="15">
        <f t="shared" si="1"/>
        <v>94.70956816</v>
      </c>
      <c r="P325" s="15">
        <f t="shared" si="2"/>
        <v>97.37931034</v>
      </c>
      <c r="Q325" s="15">
        <f t="shared" si="3"/>
        <v>91.84615385</v>
      </c>
      <c r="R325" s="15">
        <f t="shared" si="4"/>
        <v>87.43522439</v>
      </c>
    </row>
    <row r="326">
      <c r="A326" s="10">
        <v>672724.0</v>
      </c>
      <c r="B326" s="11" t="s">
        <v>341</v>
      </c>
      <c r="C326" s="12">
        <v>579.0</v>
      </c>
      <c r="D326" s="10">
        <v>316.0</v>
      </c>
      <c r="E326" s="13">
        <v>103.0</v>
      </c>
      <c r="F326" s="14">
        <v>0.027</v>
      </c>
      <c r="G326" s="15">
        <v>106.0</v>
      </c>
      <c r="H326" s="15">
        <v>103.0</v>
      </c>
      <c r="I326" s="15">
        <v>116.0</v>
      </c>
      <c r="J326" s="15">
        <v>97.0</v>
      </c>
      <c r="K326" s="15">
        <v>79.0</v>
      </c>
      <c r="L326" s="15">
        <v>91.0</v>
      </c>
      <c r="M326" s="16">
        <v>81.0</v>
      </c>
      <c r="N326" s="16">
        <v>63.0</v>
      </c>
      <c r="O326" s="15">
        <f t="shared" si="1"/>
        <v>101.7742594</v>
      </c>
      <c r="P326" s="15">
        <f t="shared" si="2"/>
        <v>87.13953488</v>
      </c>
      <c r="Q326" s="15">
        <f t="shared" si="3"/>
        <v>94.79213483</v>
      </c>
      <c r="R326" s="15">
        <f t="shared" si="4"/>
        <v>88.76302349</v>
      </c>
    </row>
    <row r="327">
      <c r="A327" s="10">
        <v>686797.0</v>
      </c>
      <c r="B327" s="11" t="s">
        <v>342</v>
      </c>
      <c r="C327" s="12">
        <v>1134.0</v>
      </c>
      <c r="D327" s="10">
        <v>574.0</v>
      </c>
      <c r="E327" s="13">
        <v>224.0</v>
      </c>
      <c r="F327" s="14">
        <v>0.034</v>
      </c>
      <c r="G327" s="15">
        <v>94.0</v>
      </c>
      <c r="H327" s="15">
        <v>81.0</v>
      </c>
      <c r="I327" s="15">
        <v>100.0</v>
      </c>
      <c r="J327" s="15">
        <v>82.0</v>
      </c>
      <c r="K327" s="15">
        <v>109.0</v>
      </c>
      <c r="L327" s="15">
        <v>86.0</v>
      </c>
      <c r="M327" s="16">
        <v>81.0</v>
      </c>
      <c r="N327" s="16">
        <v>91.0</v>
      </c>
      <c r="O327" s="15">
        <f t="shared" si="1"/>
        <v>85.95436767</v>
      </c>
      <c r="P327" s="15">
        <f t="shared" si="2"/>
        <v>106.6744186</v>
      </c>
      <c r="Q327" s="15">
        <f t="shared" si="3"/>
        <v>89.51170569</v>
      </c>
      <c r="R327" s="15">
        <f t="shared" si="4"/>
        <v>85.95436767</v>
      </c>
    </row>
    <row r="328">
      <c r="A328" s="10">
        <v>807713.0</v>
      </c>
      <c r="B328" s="11" t="s">
        <v>343</v>
      </c>
      <c r="C328" s="12">
        <v>904.0</v>
      </c>
      <c r="D328" s="10">
        <v>431.0</v>
      </c>
      <c r="E328" s="13">
        <v>161.0</v>
      </c>
      <c r="F328" s="14">
        <v>-0.04</v>
      </c>
      <c r="G328" s="15">
        <v>89.0</v>
      </c>
      <c r="H328" s="15">
        <v>98.0</v>
      </c>
      <c r="I328" s="15">
        <v>93.0</v>
      </c>
      <c r="J328" s="15">
        <v>100.0</v>
      </c>
      <c r="K328" s="15">
        <v>102.0</v>
      </c>
      <c r="L328" s="15">
        <v>81.0</v>
      </c>
      <c r="M328" s="16">
        <v>81.0</v>
      </c>
      <c r="N328" s="16">
        <v>81.0</v>
      </c>
      <c r="O328" s="15">
        <f t="shared" si="1"/>
        <v>98.61349693</v>
      </c>
      <c r="P328" s="15">
        <f t="shared" si="2"/>
        <v>101.3660856</v>
      </c>
      <c r="Q328" s="15">
        <f t="shared" si="3"/>
        <v>87.03813559</v>
      </c>
      <c r="R328" s="15">
        <f t="shared" si="4"/>
        <v>86.82822086</v>
      </c>
    </row>
    <row r="329">
      <c r="A329" s="10">
        <v>687401.0</v>
      </c>
      <c r="B329" s="11" t="s">
        <v>344</v>
      </c>
      <c r="C329" s="12">
        <v>1176.0</v>
      </c>
      <c r="D329" s="10">
        <v>543.0</v>
      </c>
      <c r="E329" s="13">
        <v>238.0</v>
      </c>
      <c r="F329" s="14">
        <v>-0.061</v>
      </c>
      <c r="G329" s="15">
        <v>66.0</v>
      </c>
      <c r="H329" s="15">
        <v>82.0</v>
      </c>
      <c r="I329" s="15">
        <v>72.0</v>
      </c>
      <c r="J329" s="15">
        <v>93.0</v>
      </c>
      <c r="K329" s="15">
        <v>125.0</v>
      </c>
      <c r="L329" s="15">
        <v>80.0</v>
      </c>
      <c r="M329" s="16">
        <v>81.0</v>
      </c>
      <c r="N329" s="16">
        <v>81.0</v>
      </c>
      <c r="O329" s="15">
        <f t="shared" si="1"/>
        <v>86.56852792</v>
      </c>
      <c r="P329" s="15">
        <f t="shared" si="2"/>
        <v>118.2705249</v>
      </c>
      <c r="Q329" s="15">
        <f t="shared" si="3"/>
        <v>84.79233227</v>
      </c>
      <c r="R329" s="15">
        <f t="shared" si="4"/>
        <v>85.82233503</v>
      </c>
    </row>
    <row r="330">
      <c r="A330" s="10">
        <v>670224.0</v>
      </c>
      <c r="B330" s="11" t="s">
        <v>345</v>
      </c>
      <c r="C330" s="12">
        <v>916.0</v>
      </c>
      <c r="D330" s="10">
        <v>433.0</v>
      </c>
      <c r="E330" s="13">
        <v>131.0</v>
      </c>
      <c r="F330" s="14">
        <v>-0.035</v>
      </c>
      <c r="G330" s="15">
        <v>83.0</v>
      </c>
      <c r="H330" s="15">
        <v>96.0</v>
      </c>
      <c r="I330" s="15">
        <v>87.0</v>
      </c>
      <c r="J330" s="15">
        <v>101.0</v>
      </c>
      <c r="K330" s="15">
        <v>89.0</v>
      </c>
      <c r="L330" s="15">
        <v>85.0</v>
      </c>
      <c r="M330" s="16">
        <v>80.0</v>
      </c>
      <c r="N330" s="16">
        <v>92.0</v>
      </c>
      <c r="O330" s="15">
        <f t="shared" si="1"/>
        <v>97.21580547</v>
      </c>
      <c r="P330" s="15">
        <f t="shared" si="2"/>
        <v>92.47551343</v>
      </c>
      <c r="Q330" s="15">
        <f t="shared" si="3"/>
        <v>90.46116505</v>
      </c>
      <c r="R330" s="15">
        <f t="shared" si="4"/>
        <v>86.07902736</v>
      </c>
    </row>
    <row r="331">
      <c r="A331" s="10">
        <v>672016.0</v>
      </c>
      <c r="B331" s="11" t="s">
        <v>346</v>
      </c>
      <c r="C331" s="12">
        <v>607.0</v>
      </c>
      <c r="D331" s="10">
        <v>281.0</v>
      </c>
      <c r="E331" s="13">
        <v>80.0</v>
      </c>
      <c r="F331" s="14">
        <v>-0.037</v>
      </c>
      <c r="G331" s="15">
        <v>93.0</v>
      </c>
      <c r="H331" s="15">
        <v>73.0</v>
      </c>
      <c r="I331" s="15">
        <v>37.0</v>
      </c>
      <c r="J331" s="15">
        <v>96.0</v>
      </c>
      <c r="K331" s="15">
        <v>83.0</v>
      </c>
      <c r="L331" s="15">
        <v>100.0</v>
      </c>
      <c r="M331" s="16">
        <v>80.0</v>
      </c>
      <c r="N331" s="16">
        <v>86.0</v>
      </c>
      <c r="O331" s="15">
        <f t="shared" si="1"/>
        <v>83.72492552</v>
      </c>
      <c r="P331" s="15">
        <f t="shared" si="2"/>
        <v>90.06860707</v>
      </c>
      <c r="Q331" s="15">
        <f t="shared" si="3"/>
        <v>100</v>
      </c>
      <c r="R331" s="15">
        <f t="shared" si="4"/>
        <v>87.94438928</v>
      </c>
    </row>
    <row r="332">
      <c r="A332" s="10">
        <v>682668.0</v>
      </c>
      <c r="B332" s="11" t="s">
        <v>347</v>
      </c>
      <c r="C332" s="12">
        <v>584.0</v>
      </c>
      <c r="D332" s="10">
        <v>294.0</v>
      </c>
      <c r="E332" s="13">
        <v>122.0</v>
      </c>
      <c r="F332" s="14">
        <v>0.029</v>
      </c>
      <c r="G332" s="15">
        <v>93.0</v>
      </c>
      <c r="H332" s="15">
        <v>83.0</v>
      </c>
      <c r="I332" s="15">
        <v>92.0</v>
      </c>
      <c r="J332" s="15">
        <v>87.0</v>
      </c>
      <c r="K332" s="15">
        <v>110.0</v>
      </c>
      <c r="L332" s="15">
        <v>84.0</v>
      </c>
      <c r="M332" s="16">
        <v>80.0</v>
      </c>
      <c r="N332" s="16">
        <v>81.0</v>
      </c>
      <c r="O332" s="15">
        <f t="shared" si="1"/>
        <v>89.91056911</v>
      </c>
      <c r="P332" s="15">
        <f t="shared" si="2"/>
        <v>105.951417</v>
      </c>
      <c r="Q332" s="15">
        <f t="shared" si="3"/>
        <v>90.09137056</v>
      </c>
      <c r="R332" s="15">
        <f t="shared" si="4"/>
        <v>88.1300813</v>
      </c>
    </row>
    <row r="333">
      <c r="A333" s="10">
        <v>672275.0</v>
      </c>
      <c r="B333" s="11" t="s">
        <v>348</v>
      </c>
      <c r="C333" s="12">
        <v>954.0</v>
      </c>
      <c r="D333" s="10">
        <v>477.0</v>
      </c>
      <c r="E333" s="13">
        <v>151.0</v>
      </c>
      <c r="F333" s="14">
        <v>-0.004</v>
      </c>
      <c r="G333" s="15">
        <v>94.0</v>
      </c>
      <c r="H333" s="15">
        <v>96.0</v>
      </c>
      <c r="I333" s="15">
        <v>102.0</v>
      </c>
      <c r="J333" s="15">
        <v>95.0</v>
      </c>
      <c r="K333" s="15">
        <v>88.0</v>
      </c>
      <c r="L333" s="15">
        <v>87.0</v>
      </c>
      <c r="M333" s="16">
        <v>80.0</v>
      </c>
      <c r="N333" s="16">
        <v>82.0</v>
      </c>
      <c r="O333" s="15">
        <f t="shared" si="1"/>
        <v>97.1816839</v>
      </c>
      <c r="P333" s="15">
        <f t="shared" si="2"/>
        <v>91.5450517</v>
      </c>
      <c r="Q333" s="15">
        <f t="shared" si="3"/>
        <v>91.31415929</v>
      </c>
      <c r="R333" s="15">
        <f t="shared" si="4"/>
        <v>85.9084195</v>
      </c>
    </row>
    <row r="334">
      <c r="A334" s="10">
        <v>645444.0</v>
      </c>
      <c r="B334" s="11" t="s">
        <v>349</v>
      </c>
      <c r="C334" s="12">
        <v>664.0</v>
      </c>
      <c r="D334" s="10">
        <v>244.0</v>
      </c>
      <c r="E334" s="13">
        <v>103.0</v>
      </c>
      <c r="F334" s="14">
        <v>-0.11</v>
      </c>
      <c r="G334" s="15">
        <v>106.0</v>
      </c>
      <c r="H334" s="15">
        <v>113.0</v>
      </c>
      <c r="I334" s="15">
        <v>69.0</v>
      </c>
      <c r="J334" s="15">
        <v>126.0</v>
      </c>
      <c r="K334" s="15">
        <v>102.0</v>
      </c>
      <c r="L334" s="15">
        <v>71.0</v>
      </c>
      <c r="M334" s="16">
        <v>80.0</v>
      </c>
      <c r="N334" s="16">
        <v>81.0</v>
      </c>
      <c r="O334" s="15">
        <f t="shared" si="1"/>
        <v>108.112782</v>
      </c>
      <c r="P334" s="15">
        <f t="shared" si="2"/>
        <v>101.0990991</v>
      </c>
      <c r="Q334" s="15">
        <f t="shared" si="3"/>
        <v>83.21910112</v>
      </c>
      <c r="R334" s="15">
        <f t="shared" si="4"/>
        <v>87.51879699</v>
      </c>
    </row>
    <row r="335">
      <c r="A335" s="10">
        <v>642731.0</v>
      </c>
      <c r="B335" s="11" t="s">
        <v>350</v>
      </c>
      <c r="C335" s="12">
        <v>434.0</v>
      </c>
      <c r="D335" s="10">
        <v>236.0</v>
      </c>
      <c r="E335" s="13">
        <v>103.0</v>
      </c>
      <c r="F335" s="14">
        <v>0.05</v>
      </c>
      <c r="G335" s="15">
        <v>104.0</v>
      </c>
      <c r="H335" s="15">
        <v>90.0</v>
      </c>
      <c r="I335" s="15">
        <v>115.0</v>
      </c>
      <c r="J335" s="15">
        <v>84.0</v>
      </c>
      <c r="K335" s="15">
        <v>117.0</v>
      </c>
      <c r="L335" s="15">
        <v>80.0</v>
      </c>
      <c r="M335" s="16">
        <v>80.0</v>
      </c>
      <c r="N335" s="16">
        <v>99.0</v>
      </c>
      <c r="O335" s="15">
        <f t="shared" si="1"/>
        <v>94.79616307</v>
      </c>
      <c r="P335" s="15">
        <f t="shared" si="2"/>
        <v>109.2018349</v>
      </c>
      <c r="Q335" s="15">
        <f t="shared" si="3"/>
        <v>88.42696629</v>
      </c>
      <c r="R335" s="15">
        <f t="shared" si="4"/>
        <v>89.59232614</v>
      </c>
    </row>
    <row r="336">
      <c r="A336" s="10">
        <v>656537.0</v>
      </c>
      <c r="B336" s="11" t="s">
        <v>351</v>
      </c>
      <c r="C336" s="12">
        <v>402.0</v>
      </c>
      <c r="D336" s="10">
        <v>212.0</v>
      </c>
      <c r="E336" s="13">
        <v>54.0</v>
      </c>
      <c r="F336" s="14">
        <v>0.025</v>
      </c>
      <c r="G336" s="15">
        <v>81.0</v>
      </c>
      <c r="H336" s="15">
        <v>70.0</v>
      </c>
      <c r="I336" s="15">
        <v>67.0</v>
      </c>
      <c r="J336" s="15">
        <v>83.0</v>
      </c>
      <c r="K336" s="15">
        <v>86.0</v>
      </c>
      <c r="L336" s="15">
        <v>99.0</v>
      </c>
      <c r="M336" s="16">
        <v>80.0</v>
      </c>
      <c r="N336" s="16">
        <v>83.0</v>
      </c>
      <c r="O336" s="15">
        <f t="shared" si="1"/>
        <v>84.96259352</v>
      </c>
      <c r="P336" s="15">
        <f t="shared" si="2"/>
        <v>92.7961165</v>
      </c>
      <c r="Q336" s="15">
        <f t="shared" si="3"/>
        <v>99.58139535</v>
      </c>
      <c r="R336" s="15">
        <f t="shared" si="4"/>
        <v>89.97506234</v>
      </c>
    </row>
    <row r="337">
      <c r="A337" s="10">
        <v>660688.0</v>
      </c>
      <c r="B337" s="11" t="s">
        <v>352</v>
      </c>
      <c r="C337" s="12">
        <v>885.0</v>
      </c>
      <c r="D337" s="10">
        <v>469.0</v>
      </c>
      <c r="E337" s="13">
        <v>230.0</v>
      </c>
      <c r="F337" s="14">
        <v>0.07</v>
      </c>
      <c r="G337" s="15">
        <v>84.0</v>
      </c>
      <c r="H337" s="15">
        <v>80.0</v>
      </c>
      <c r="I337" s="15">
        <v>110.0</v>
      </c>
      <c r="J337" s="15">
        <v>76.0</v>
      </c>
      <c r="K337" s="15">
        <v>127.0</v>
      </c>
      <c r="L337" s="15">
        <v>81.0</v>
      </c>
      <c r="M337" s="16">
        <v>80.0</v>
      </c>
      <c r="N337" s="16">
        <v>80.0</v>
      </c>
      <c r="O337" s="15">
        <f t="shared" si="1"/>
        <v>86.22568093</v>
      </c>
      <c r="P337" s="15">
        <f t="shared" si="2"/>
        <v>118.9282511</v>
      </c>
      <c r="Q337" s="15">
        <f t="shared" si="3"/>
        <v>85.67213115</v>
      </c>
      <c r="R337" s="15">
        <f t="shared" si="4"/>
        <v>86.22568093</v>
      </c>
    </row>
    <row r="338">
      <c r="A338" s="10">
        <v>687363.0</v>
      </c>
      <c r="B338" s="11" t="s">
        <v>353</v>
      </c>
      <c r="C338" s="12">
        <v>1208.0</v>
      </c>
      <c r="D338" s="10">
        <v>594.0</v>
      </c>
      <c r="E338" s="13">
        <v>200.0</v>
      </c>
      <c r="F338" s="14">
        <v>0.032</v>
      </c>
      <c r="G338" s="15">
        <v>121.0</v>
      </c>
      <c r="H338" s="15">
        <v>105.0</v>
      </c>
      <c r="I338" s="15">
        <v>105.0</v>
      </c>
      <c r="J338" s="15">
        <v>103.0</v>
      </c>
      <c r="K338" s="15">
        <v>77.0</v>
      </c>
      <c r="L338" s="15">
        <v>88.0</v>
      </c>
      <c r="M338" s="16">
        <v>80.0</v>
      </c>
      <c r="N338" s="16">
        <v>92.0</v>
      </c>
      <c r="O338" s="15">
        <f t="shared" si="1"/>
        <v>103.7562189</v>
      </c>
      <c r="P338" s="15">
        <f t="shared" si="2"/>
        <v>82.79345088</v>
      </c>
      <c r="Q338" s="15">
        <f t="shared" si="3"/>
        <v>91.27272727</v>
      </c>
      <c r="R338" s="15">
        <f t="shared" si="4"/>
        <v>84.97512438</v>
      </c>
    </row>
    <row r="339">
      <c r="A339" s="10">
        <v>700242.0</v>
      </c>
      <c r="B339" s="11" t="s">
        <v>354</v>
      </c>
      <c r="C339" s="12">
        <v>897.0</v>
      </c>
      <c r="D339" s="10">
        <v>463.0</v>
      </c>
      <c r="E339" s="13">
        <v>163.0</v>
      </c>
      <c r="F339" s="14">
        <v>0.027</v>
      </c>
      <c r="G339" s="15">
        <v>107.0</v>
      </c>
      <c r="H339" s="15">
        <v>91.0</v>
      </c>
      <c r="I339" s="15">
        <v>87.0</v>
      </c>
      <c r="J339" s="15">
        <v>96.0</v>
      </c>
      <c r="K339" s="15">
        <v>95.0</v>
      </c>
      <c r="L339" s="15">
        <v>86.0</v>
      </c>
      <c r="M339" s="16">
        <v>79.0</v>
      </c>
      <c r="N339" s="16">
        <v>84.0</v>
      </c>
      <c r="O339" s="15">
        <f t="shared" si="1"/>
        <v>93.77563608</v>
      </c>
      <c r="P339" s="15">
        <f t="shared" si="2"/>
        <v>96.50829563</v>
      </c>
      <c r="Q339" s="15">
        <f t="shared" si="3"/>
        <v>90.41176471</v>
      </c>
      <c r="R339" s="15">
        <f t="shared" si="4"/>
        <v>85.47648419</v>
      </c>
    </row>
    <row r="340">
      <c r="A340" s="10">
        <v>696285.0</v>
      </c>
      <c r="B340" s="11" t="s">
        <v>355</v>
      </c>
      <c r="C340" s="12">
        <v>791.0</v>
      </c>
      <c r="D340" s="10">
        <v>352.0</v>
      </c>
      <c r="E340" s="13">
        <v>170.0</v>
      </c>
      <c r="F340" s="14">
        <v>-0.064</v>
      </c>
      <c r="G340" s="15">
        <v>89.0</v>
      </c>
      <c r="H340" s="15">
        <v>104.0</v>
      </c>
      <c r="I340" s="15">
        <v>82.0</v>
      </c>
      <c r="J340" s="15">
        <v>113.0</v>
      </c>
      <c r="K340" s="15">
        <v>113.0</v>
      </c>
      <c r="L340" s="15">
        <v>76.0</v>
      </c>
      <c r="M340" s="16">
        <v>79.0</v>
      </c>
      <c r="N340" s="16">
        <v>85.0</v>
      </c>
      <c r="O340" s="15">
        <f t="shared" si="1"/>
        <v>102.6565911</v>
      </c>
      <c r="P340" s="15">
        <f t="shared" si="2"/>
        <v>108.2898551</v>
      </c>
      <c r="Q340" s="15">
        <f t="shared" si="3"/>
        <v>83.34693878</v>
      </c>
      <c r="R340" s="15">
        <f t="shared" si="4"/>
        <v>86.05289673</v>
      </c>
    </row>
    <row r="341">
      <c r="A341" s="10">
        <v>681146.0</v>
      </c>
      <c r="B341" s="11" t="s">
        <v>356</v>
      </c>
      <c r="C341" s="12">
        <v>552.0</v>
      </c>
      <c r="D341" s="10">
        <v>183.0</v>
      </c>
      <c r="E341" s="13">
        <v>72.0</v>
      </c>
      <c r="F341" s="14">
        <v>-0.172</v>
      </c>
      <c r="G341" s="15">
        <v>63.0</v>
      </c>
      <c r="H341" s="15">
        <v>105.0</v>
      </c>
      <c r="I341" s="15">
        <v>60.0</v>
      </c>
      <c r="J341" s="15">
        <v>120.0</v>
      </c>
      <c r="K341" s="15">
        <v>86.0</v>
      </c>
      <c r="L341" s="15">
        <v>76.0</v>
      </c>
      <c r="M341" s="16">
        <v>79.0</v>
      </c>
      <c r="N341" s="16">
        <v>78.0</v>
      </c>
      <c r="O341" s="15">
        <f t="shared" si="1"/>
        <v>102.8991597</v>
      </c>
      <c r="P341" s="15">
        <f t="shared" si="2"/>
        <v>93.31070496</v>
      </c>
      <c r="Q341" s="15">
        <f t="shared" si="3"/>
        <v>88.24489796</v>
      </c>
      <c r="R341" s="15">
        <f t="shared" si="4"/>
        <v>87.82352941</v>
      </c>
    </row>
    <row r="342">
      <c r="A342" s="10">
        <v>810938.0</v>
      </c>
      <c r="B342" s="11" t="s">
        <v>357</v>
      </c>
      <c r="C342" s="12">
        <v>1039.0</v>
      </c>
      <c r="D342" s="10">
        <v>508.0</v>
      </c>
      <c r="E342" s="13">
        <v>182.0</v>
      </c>
      <c r="F342" s="14">
        <v>-0.027</v>
      </c>
      <c r="G342" s="15">
        <v>67.0</v>
      </c>
      <c r="H342" s="15">
        <v>82.0</v>
      </c>
      <c r="I342" s="15">
        <v>86.0</v>
      </c>
      <c r="J342" s="15">
        <v>87.0</v>
      </c>
      <c r="K342" s="15">
        <v>106.0</v>
      </c>
      <c r="L342" s="15">
        <v>83.0</v>
      </c>
      <c r="M342" s="16">
        <v>78.0</v>
      </c>
      <c r="N342" s="16">
        <v>92.0</v>
      </c>
      <c r="O342" s="15">
        <f t="shared" si="1"/>
        <v>87.00347464</v>
      </c>
      <c r="P342" s="15">
        <f t="shared" si="2"/>
        <v>104.3050847</v>
      </c>
      <c r="Q342" s="15">
        <f t="shared" si="3"/>
        <v>87.96108949</v>
      </c>
      <c r="R342" s="15">
        <f t="shared" si="4"/>
        <v>84.11535789</v>
      </c>
    </row>
    <row r="343">
      <c r="A343" s="10">
        <v>455117.0</v>
      </c>
      <c r="B343" s="11" t="s">
        <v>358</v>
      </c>
      <c r="C343" s="12">
        <v>494.0</v>
      </c>
      <c r="D343" s="10">
        <v>227.0</v>
      </c>
      <c r="E343" s="13">
        <v>82.0</v>
      </c>
      <c r="F343" s="14">
        <v>-0.049</v>
      </c>
      <c r="G343" s="15">
        <v>56.0</v>
      </c>
      <c r="H343" s="15">
        <v>80.0</v>
      </c>
      <c r="I343" s="15">
        <v>72.0</v>
      </c>
      <c r="J343" s="15">
        <v>91.0</v>
      </c>
      <c r="K343" s="15">
        <v>74.0</v>
      </c>
      <c r="L343" s="15">
        <v>98.0</v>
      </c>
      <c r="M343" s="16">
        <v>78.0</v>
      </c>
      <c r="N343" s="16">
        <v>73.0</v>
      </c>
      <c r="O343" s="15">
        <f t="shared" si="1"/>
        <v>88.94854586</v>
      </c>
      <c r="P343" s="15">
        <f t="shared" si="2"/>
        <v>86.17798595</v>
      </c>
      <c r="Q343" s="15">
        <f t="shared" si="3"/>
        <v>98.95541401</v>
      </c>
      <c r="R343" s="15">
        <f t="shared" si="4"/>
        <v>87.84340045</v>
      </c>
    </row>
    <row r="344">
      <c r="A344" s="10">
        <v>645277.0</v>
      </c>
      <c r="B344" s="11" t="s">
        <v>359</v>
      </c>
      <c r="C344" s="12">
        <v>1421.0</v>
      </c>
      <c r="D344" s="10">
        <v>767.0</v>
      </c>
      <c r="E344" s="13">
        <v>303.0</v>
      </c>
      <c r="F344" s="14">
        <v>0.099</v>
      </c>
      <c r="G344" s="15">
        <v>110.0</v>
      </c>
      <c r="H344" s="15">
        <v>90.0</v>
      </c>
      <c r="I344" s="15">
        <v>135.0</v>
      </c>
      <c r="J344" s="15">
        <v>79.0</v>
      </c>
      <c r="K344" s="15">
        <v>106.0</v>
      </c>
      <c r="L344" s="15">
        <v>82.0</v>
      </c>
      <c r="M344" s="16">
        <v>77.0</v>
      </c>
      <c r="N344" s="16">
        <v>79.0</v>
      </c>
      <c r="O344" s="15">
        <f t="shared" si="1"/>
        <v>92.19659528</v>
      </c>
      <c r="P344" s="15">
        <f t="shared" si="2"/>
        <v>104.7590486</v>
      </c>
      <c r="Q344" s="15">
        <f t="shared" si="3"/>
        <v>85.57142857</v>
      </c>
      <c r="R344" s="15">
        <f t="shared" si="4"/>
        <v>82.05216914</v>
      </c>
    </row>
    <row r="345">
      <c r="A345" s="10">
        <v>670223.0</v>
      </c>
      <c r="B345" s="11" t="s">
        <v>360</v>
      </c>
      <c r="C345" s="12">
        <v>536.0</v>
      </c>
      <c r="D345" s="10">
        <v>293.0</v>
      </c>
      <c r="E345" s="13">
        <v>71.0</v>
      </c>
      <c r="F345" s="14">
        <v>0.047</v>
      </c>
      <c r="G345" s="15">
        <v>105.0</v>
      </c>
      <c r="H345" s="15">
        <v>99.0</v>
      </c>
      <c r="I345" s="15">
        <v>116.0</v>
      </c>
      <c r="J345" s="15">
        <v>93.0</v>
      </c>
      <c r="K345" s="15">
        <v>71.0</v>
      </c>
      <c r="L345" s="15">
        <v>93.0</v>
      </c>
      <c r="M345" s="16">
        <v>77.0</v>
      </c>
      <c r="N345" s="16">
        <v>91.0</v>
      </c>
      <c r="O345" s="15">
        <f t="shared" si="1"/>
        <v>99.42735043</v>
      </c>
      <c r="P345" s="15">
        <f t="shared" si="2"/>
        <v>82.76470588</v>
      </c>
      <c r="Q345" s="15">
        <f t="shared" si="3"/>
        <v>96.59589041</v>
      </c>
      <c r="R345" s="15">
        <f t="shared" si="4"/>
        <v>86.82905983</v>
      </c>
    </row>
    <row r="346">
      <c r="A346" s="10">
        <v>643289.0</v>
      </c>
      <c r="B346" s="11" t="s">
        <v>361</v>
      </c>
      <c r="C346" s="12">
        <v>674.0</v>
      </c>
      <c r="D346" s="10">
        <v>386.0</v>
      </c>
      <c r="E346" s="13">
        <v>184.0</v>
      </c>
      <c r="F346" s="14">
        <v>0.087</v>
      </c>
      <c r="G346" s="15">
        <v>93.0</v>
      </c>
      <c r="H346" s="15">
        <v>92.0</v>
      </c>
      <c r="I346" s="15">
        <v>127.0</v>
      </c>
      <c r="J346" s="15">
        <v>81.0</v>
      </c>
      <c r="K346" s="15">
        <v>130.0</v>
      </c>
      <c r="L346" s="15">
        <v>76.0</v>
      </c>
      <c r="M346" s="16">
        <v>77.0</v>
      </c>
      <c r="N346" s="16">
        <v>99.0</v>
      </c>
      <c r="O346" s="15">
        <f t="shared" si="1"/>
        <v>94.97951583</v>
      </c>
      <c r="P346" s="15">
        <f t="shared" si="2"/>
        <v>119.7610922</v>
      </c>
      <c r="Q346" s="15">
        <f t="shared" si="3"/>
        <v>82.94980695</v>
      </c>
      <c r="R346" s="15">
        <f t="shared" si="4"/>
        <v>85.56610801</v>
      </c>
    </row>
    <row r="347">
      <c r="A347" s="10">
        <v>553869.0</v>
      </c>
      <c r="B347" s="11" t="s">
        <v>362</v>
      </c>
      <c r="C347" s="12">
        <v>763.0</v>
      </c>
      <c r="D347" s="10">
        <v>384.0</v>
      </c>
      <c r="E347" s="13">
        <v>133.0</v>
      </c>
      <c r="F347" s="14">
        <v>0.028</v>
      </c>
      <c r="G347" s="15">
        <v>102.0</v>
      </c>
      <c r="H347" s="15">
        <v>104.0</v>
      </c>
      <c r="I347" s="15">
        <v>112.0</v>
      </c>
      <c r="J347" s="15">
        <v>99.0</v>
      </c>
      <c r="K347" s="15">
        <v>85.0</v>
      </c>
      <c r="L347" s="15">
        <v>83.0</v>
      </c>
      <c r="M347" s="16">
        <v>77.0</v>
      </c>
      <c r="N347" s="16">
        <v>80.0</v>
      </c>
      <c r="O347" s="15">
        <f t="shared" si="1"/>
        <v>102.6242476</v>
      </c>
      <c r="P347" s="15">
        <f t="shared" si="2"/>
        <v>90.1369863</v>
      </c>
      <c r="Q347" s="15">
        <f t="shared" si="3"/>
        <v>89.12980769</v>
      </c>
      <c r="R347" s="15">
        <f t="shared" si="4"/>
        <v>84.9105761</v>
      </c>
    </row>
    <row r="348">
      <c r="A348" s="10">
        <v>668709.0</v>
      </c>
      <c r="B348" s="11" t="s">
        <v>363</v>
      </c>
      <c r="C348" s="12">
        <v>880.0</v>
      </c>
      <c r="D348" s="10">
        <v>369.0</v>
      </c>
      <c r="E348" s="13">
        <v>148.0</v>
      </c>
      <c r="F348" s="14">
        <v>-0.042</v>
      </c>
      <c r="G348" s="15">
        <v>101.0</v>
      </c>
      <c r="H348" s="15">
        <v>108.0</v>
      </c>
      <c r="I348" s="15">
        <v>95.0</v>
      </c>
      <c r="J348" s="15">
        <v>108.0</v>
      </c>
      <c r="K348" s="15">
        <v>92.0</v>
      </c>
      <c r="L348" s="15">
        <v>76.0</v>
      </c>
      <c r="M348" s="16">
        <v>77.0</v>
      </c>
      <c r="N348" s="16">
        <v>87.0</v>
      </c>
      <c r="O348" s="15">
        <f t="shared" si="1"/>
        <v>105.5</v>
      </c>
      <c r="P348" s="15">
        <f t="shared" si="2"/>
        <v>94.81195079</v>
      </c>
      <c r="Q348" s="15">
        <f t="shared" si="3"/>
        <v>84.07174888</v>
      </c>
      <c r="R348" s="15">
        <f t="shared" si="4"/>
        <v>84.1875</v>
      </c>
    </row>
    <row r="349">
      <c r="A349" s="10">
        <v>671221.0</v>
      </c>
      <c r="B349" s="11" t="s">
        <v>364</v>
      </c>
      <c r="C349" s="12">
        <v>790.0</v>
      </c>
      <c r="D349" s="10">
        <v>446.0</v>
      </c>
      <c r="E349" s="13">
        <v>144.0</v>
      </c>
      <c r="F349" s="14">
        <v>0.069</v>
      </c>
      <c r="G349" s="15">
        <v>114.0</v>
      </c>
      <c r="H349" s="15">
        <v>97.0</v>
      </c>
      <c r="I349" s="15">
        <v>115.0</v>
      </c>
      <c r="J349" s="15">
        <v>91.0</v>
      </c>
      <c r="K349" s="15">
        <v>81.0</v>
      </c>
      <c r="L349" s="15">
        <v>89.0</v>
      </c>
      <c r="M349" s="16">
        <v>76.0</v>
      </c>
      <c r="N349" s="16">
        <v>82.0</v>
      </c>
      <c r="O349" s="15">
        <f t="shared" si="1"/>
        <v>98.00840336</v>
      </c>
      <c r="P349" s="15">
        <f t="shared" si="2"/>
        <v>86.88235294</v>
      </c>
      <c r="Q349" s="15">
        <f t="shared" si="3"/>
        <v>92.76712329</v>
      </c>
      <c r="R349" s="15">
        <f t="shared" si="4"/>
        <v>84.06722689</v>
      </c>
    </row>
    <row r="350">
      <c r="A350" s="10">
        <v>682657.0</v>
      </c>
      <c r="B350" s="11" t="s">
        <v>365</v>
      </c>
      <c r="C350" s="12">
        <v>1033.0</v>
      </c>
      <c r="D350" s="10">
        <v>579.0</v>
      </c>
      <c r="E350" s="13">
        <v>212.0</v>
      </c>
      <c r="F350" s="14">
        <v>0.081</v>
      </c>
      <c r="G350" s="15">
        <v>72.0</v>
      </c>
      <c r="H350" s="15">
        <v>67.0</v>
      </c>
      <c r="I350" s="15">
        <v>101.0</v>
      </c>
      <c r="J350" s="15">
        <v>67.0</v>
      </c>
      <c r="K350" s="15">
        <v>110.0</v>
      </c>
      <c r="L350" s="15">
        <v>85.0</v>
      </c>
      <c r="M350" s="16">
        <v>75.0</v>
      </c>
      <c r="N350" s="16">
        <v>88.0</v>
      </c>
      <c r="O350" s="15">
        <f t="shared" si="1"/>
        <v>76.21144452</v>
      </c>
      <c r="P350" s="15">
        <f t="shared" si="2"/>
        <v>107.4326059</v>
      </c>
      <c r="Q350" s="15">
        <f t="shared" si="3"/>
        <v>88.91986063</v>
      </c>
      <c r="R350" s="15">
        <f t="shared" si="4"/>
        <v>81.97836706</v>
      </c>
    </row>
    <row r="351">
      <c r="A351" s="10">
        <v>543877.0</v>
      </c>
      <c r="B351" s="11" t="s">
        <v>366</v>
      </c>
      <c r="C351" s="12">
        <v>633.0</v>
      </c>
      <c r="D351" s="10">
        <v>276.0</v>
      </c>
      <c r="E351" s="13">
        <v>120.0</v>
      </c>
      <c r="F351" s="14">
        <v>-0.038</v>
      </c>
      <c r="G351" s="15">
        <v>98.0</v>
      </c>
      <c r="H351" s="15">
        <v>99.0</v>
      </c>
      <c r="I351" s="15">
        <v>99.0</v>
      </c>
      <c r="J351" s="15">
        <v>99.0</v>
      </c>
      <c r="K351" s="15">
        <v>104.0</v>
      </c>
      <c r="L351" s="15">
        <v>76.0</v>
      </c>
      <c r="M351" s="16">
        <v>75.0</v>
      </c>
      <c r="N351" s="16">
        <v>70.0</v>
      </c>
      <c r="O351" s="15">
        <f t="shared" si="1"/>
        <v>99.38722168</v>
      </c>
      <c r="P351" s="15">
        <f t="shared" si="2"/>
        <v>102.3193277</v>
      </c>
      <c r="Q351" s="15">
        <f t="shared" si="3"/>
        <v>85.23076923</v>
      </c>
      <c r="R351" s="15">
        <f t="shared" si="4"/>
        <v>84.68054211</v>
      </c>
    </row>
    <row r="352">
      <c r="A352" s="10">
        <v>657041.0</v>
      </c>
      <c r="B352" s="11" t="s">
        <v>367</v>
      </c>
      <c r="C352" s="12">
        <v>546.0</v>
      </c>
      <c r="D352" s="10">
        <v>239.0</v>
      </c>
      <c r="E352" s="13">
        <v>82.0</v>
      </c>
      <c r="F352" s="14">
        <v>-0.038</v>
      </c>
      <c r="G352" s="15">
        <v>114.0</v>
      </c>
      <c r="H352" s="15">
        <v>112.0</v>
      </c>
      <c r="I352" s="15">
        <v>89.0</v>
      </c>
      <c r="J352" s="15">
        <v>116.0</v>
      </c>
      <c r="K352" s="15">
        <v>77.0</v>
      </c>
      <c r="L352" s="15">
        <v>77.0</v>
      </c>
      <c r="M352" s="16">
        <v>75.0</v>
      </c>
      <c r="N352" s="16">
        <v>76.0</v>
      </c>
      <c r="O352" s="15">
        <f t="shared" si="1"/>
        <v>106.9260042</v>
      </c>
      <c r="P352" s="15">
        <f t="shared" si="2"/>
        <v>87.47835991</v>
      </c>
      <c r="Q352" s="15">
        <f t="shared" si="3"/>
        <v>87.98726115</v>
      </c>
      <c r="R352" s="15">
        <f t="shared" si="4"/>
        <v>85.57082452</v>
      </c>
    </row>
    <row r="353">
      <c r="A353" s="10">
        <v>686681.0</v>
      </c>
      <c r="B353" s="11" t="s">
        <v>368</v>
      </c>
      <c r="C353" s="12">
        <v>758.0</v>
      </c>
      <c r="D353" s="10">
        <v>409.0</v>
      </c>
      <c r="E353" s="13">
        <v>171.0</v>
      </c>
      <c r="F353" s="14">
        <v>0.058</v>
      </c>
      <c r="G353" s="15">
        <v>84.0</v>
      </c>
      <c r="H353" s="15">
        <v>88.0</v>
      </c>
      <c r="I353" s="15">
        <v>111.0</v>
      </c>
      <c r="J353" s="15">
        <v>83.0</v>
      </c>
      <c r="K353" s="15">
        <v>113.0</v>
      </c>
      <c r="L353" s="15">
        <v>78.0</v>
      </c>
      <c r="M353" s="16">
        <v>74.0</v>
      </c>
      <c r="N353" s="16">
        <v>64.0</v>
      </c>
      <c r="O353" s="15">
        <f t="shared" si="1"/>
        <v>92.14507772</v>
      </c>
      <c r="P353" s="15">
        <f t="shared" si="2"/>
        <v>108.7307061</v>
      </c>
      <c r="Q353" s="15">
        <f t="shared" si="3"/>
        <v>84.70731707</v>
      </c>
      <c r="R353" s="15">
        <f t="shared" si="4"/>
        <v>82.98100173</v>
      </c>
    </row>
    <row r="354">
      <c r="A354" s="10">
        <v>664728.0</v>
      </c>
      <c r="B354" s="11" t="s">
        <v>369</v>
      </c>
      <c r="C354" s="12">
        <v>887.0</v>
      </c>
      <c r="D354" s="10">
        <v>422.0</v>
      </c>
      <c r="E354" s="13">
        <v>191.0</v>
      </c>
      <c r="F354" s="14">
        <v>-0.008</v>
      </c>
      <c r="G354" s="15">
        <v>87.0</v>
      </c>
      <c r="H354" s="15">
        <v>86.0</v>
      </c>
      <c r="I354" s="15">
        <v>88.0</v>
      </c>
      <c r="J354" s="15">
        <v>90.0</v>
      </c>
      <c r="K354" s="15">
        <v>118.0</v>
      </c>
      <c r="L354" s="15">
        <v>77.0</v>
      </c>
      <c r="M354" s="16">
        <v>74.0</v>
      </c>
      <c r="N354" s="16">
        <v>84.0</v>
      </c>
      <c r="O354" s="15">
        <f t="shared" si="1"/>
        <v>90.35120435</v>
      </c>
      <c r="P354" s="15">
        <f t="shared" si="2"/>
        <v>112.2122186</v>
      </c>
      <c r="Q354" s="15">
        <f t="shared" si="3"/>
        <v>83.48496241</v>
      </c>
      <c r="R354" s="15">
        <f t="shared" si="4"/>
        <v>82.08080808</v>
      </c>
    </row>
    <row r="355">
      <c r="A355" s="10">
        <v>666152.0</v>
      </c>
      <c r="B355" s="11" t="s">
        <v>370</v>
      </c>
      <c r="C355" s="12">
        <v>484.0</v>
      </c>
      <c r="D355" s="10">
        <v>222.0</v>
      </c>
      <c r="E355" s="13">
        <v>94.0</v>
      </c>
      <c r="F355" s="14">
        <v>-0.013</v>
      </c>
      <c r="G355" s="15">
        <v>95.0</v>
      </c>
      <c r="H355" s="15">
        <v>91.0</v>
      </c>
      <c r="I355" s="15">
        <v>96.0</v>
      </c>
      <c r="J355" s="15">
        <v>92.0</v>
      </c>
      <c r="K355" s="15">
        <v>102.0</v>
      </c>
      <c r="L355" s="15">
        <v>79.0</v>
      </c>
      <c r="M355" s="16">
        <v>74.0</v>
      </c>
      <c r="N355" s="16">
        <v>67.0</v>
      </c>
      <c r="O355" s="15">
        <f t="shared" si="1"/>
        <v>95.07239819</v>
      </c>
      <c r="P355" s="15">
        <f t="shared" si="2"/>
        <v>101.0521327</v>
      </c>
      <c r="Q355" s="15">
        <f t="shared" si="3"/>
        <v>88.31952663</v>
      </c>
      <c r="R355" s="15">
        <f t="shared" si="4"/>
        <v>85.76470588</v>
      </c>
    </row>
    <row r="356">
      <c r="A356" s="10">
        <v>682729.0</v>
      </c>
      <c r="B356" s="11" t="s">
        <v>371</v>
      </c>
      <c r="C356" s="12">
        <v>438.0</v>
      </c>
      <c r="D356" s="10">
        <v>207.0</v>
      </c>
      <c r="E356" s="13">
        <v>73.0</v>
      </c>
      <c r="F356" s="14">
        <v>-0.001</v>
      </c>
      <c r="G356" s="15">
        <v>93.0</v>
      </c>
      <c r="H356" s="15">
        <v>77.0</v>
      </c>
      <c r="I356" s="15">
        <v>65.0</v>
      </c>
      <c r="J356" s="15">
        <v>90.0</v>
      </c>
      <c r="K356" s="15">
        <v>105.0</v>
      </c>
      <c r="L356" s="15">
        <v>80.0</v>
      </c>
      <c r="M356" s="16">
        <v>74.0</v>
      </c>
      <c r="N356" s="16">
        <v>83.0</v>
      </c>
      <c r="O356" s="15">
        <f t="shared" si="1"/>
        <v>87.97852029</v>
      </c>
      <c r="P356" s="15">
        <f t="shared" si="2"/>
        <v>102.5429975</v>
      </c>
      <c r="Q356" s="15">
        <f t="shared" si="3"/>
        <v>90.13513514</v>
      </c>
      <c r="R356" s="15">
        <f t="shared" si="4"/>
        <v>86.41050119</v>
      </c>
    </row>
    <row r="357">
      <c r="A357" s="10">
        <v>686780.0</v>
      </c>
      <c r="B357" s="11" t="s">
        <v>372</v>
      </c>
      <c r="C357" s="12">
        <v>963.0</v>
      </c>
      <c r="D357" s="10">
        <v>477.0</v>
      </c>
      <c r="E357" s="13">
        <v>167.0</v>
      </c>
      <c r="F357" s="14">
        <v>0.013</v>
      </c>
      <c r="G357" s="15">
        <v>88.0</v>
      </c>
      <c r="H357" s="15">
        <v>79.0</v>
      </c>
      <c r="I357" s="15">
        <v>93.0</v>
      </c>
      <c r="J357" s="15">
        <v>82.0</v>
      </c>
      <c r="K357" s="15">
        <v>98.0</v>
      </c>
      <c r="L357" s="15">
        <v>83.0</v>
      </c>
      <c r="M357" s="16">
        <v>73.0</v>
      </c>
      <c r="N357" s="16">
        <v>82.0</v>
      </c>
      <c r="O357" s="15">
        <f t="shared" si="1"/>
        <v>85.16287601</v>
      </c>
      <c r="P357" s="15">
        <f t="shared" si="2"/>
        <v>98.59084195</v>
      </c>
      <c r="Q357" s="15">
        <f t="shared" si="3"/>
        <v>88.26859504</v>
      </c>
      <c r="R357" s="15">
        <f t="shared" si="4"/>
        <v>80.92369773</v>
      </c>
    </row>
    <row r="358">
      <c r="A358" s="10">
        <v>668942.0</v>
      </c>
      <c r="B358" s="11" t="s">
        <v>373</v>
      </c>
      <c r="C358" s="12">
        <v>669.0</v>
      </c>
      <c r="D358" s="10">
        <v>303.0</v>
      </c>
      <c r="E358" s="13">
        <v>117.0</v>
      </c>
      <c r="F358" s="14">
        <v>-0.015</v>
      </c>
      <c r="G358" s="15">
        <v>125.0</v>
      </c>
      <c r="H358" s="15">
        <v>112.0</v>
      </c>
      <c r="I358" s="15">
        <v>101.0</v>
      </c>
      <c r="J358" s="15">
        <v>112.0</v>
      </c>
      <c r="K358" s="15">
        <v>81.0</v>
      </c>
      <c r="L358" s="15">
        <v>78.0</v>
      </c>
      <c r="M358" s="16">
        <v>73.0</v>
      </c>
      <c r="N358" s="16">
        <v>65.0</v>
      </c>
      <c r="O358" s="15">
        <f t="shared" si="1"/>
        <v>107.5098223</v>
      </c>
      <c r="P358" s="15">
        <f t="shared" si="2"/>
        <v>88.55467197</v>
      </c>
      <c r="Q358" s="15">
        <f t="shared" si="3"/>
        <v>86.59375</v>
      </c>
      <c r="R358" s="15">
        <f t="shared" si="4"/>
        <v>83.10289991</v>
      </c>
    </row>
    <row r="359">
      <c r="A359" s="10">
        <v>669397.0</v>
      </c>
      <c r="B359" s="11" t="s">
        <v>374</v>
      </c>
      <c r="C359" s="12">
        <v>1092.0</v>
      </c>
      <c r="D359" s="10">
        <v>515.0</v>
      </c>
      <c r="E359" s="13">
        <v>192.0</v>
      </c>
      <c r="F359" s="14">
        <v>-0.026</v>
      </c>
      <c r="G359" s="15">
        <v>110.0</v>
      </c>
      <c r="H359" s="15">
        <v>108.0</v>
      </c>
      <c r="I359" s="15">
        <v>101.0</v>
      </c>
      <c r="J359" s="15">
        <v>107.0</v>
      </c>
      <c r="K359" s="15">
        <v>88.0</v>
      </c>
      <c r="L359" s="15">
        <v>76.0</v>
      </c>
      <c r="M359" s="16">
        <v>73.0</v>
      </c>
      <c r="N359" s="16">
        <v>85.0</v>
      </c>
      <c r="O359" s="15">
        <f t="shared" si="1"/>
        <v>105.8552279</v>
      </c>
      <c r="P359" s="15">
        <f t="shared" si="2"/>
        <v>91.35664336</v>
      </c>
      <c r="Q359" s="15">
        <f t="shared" si="3"/>
        <v>82.74157303</v>
      </c>
      <c r="R359" s="15">
        <f t="shared" si="4"/>
        <v>80.2386059</v>
      </c>
    </row>
    <row r="360">
      <c r="A360" s="10">
        <v>642180.0</v>
      </c>
      <c r="B360" s="11" t="s">
        <v>375</v>
      </c>
      <c r="C360" s="12">
        <v>486.0</v>
      </c>
      <c r="D360" s="10">
        <v>213.0</v>
      </c>
      <c r="E360" s="13">
        <v>77.0</v>
      </c>
      <c r="F360" s="14">
        <v>-0.031</v>
      </c>
      <c r="G360" s="15">
        <v>88.0</v>
      </c>
      <c r="H360" s="15">
        <v>104.0</v>
      </c>
      <c r="I360" s="15">
        <v>106.0</v>
      </c>
      <c r="J360" s="15">
        <v>101.0</v>
      </c>
      <c r="K360" s="15">
        <v>88.0</v>
      </c>
      <c r="L360" s="15">
        <v>74.0</v>
      </c>
      <c r="M360" s="16">
        <v>73.0</v>
      </c>
      <c r="N360" s="16">
        <v>83.0</v>
      </c>
      <c r="O360" s="15">
        <f t="shared" si="1"/>
        <v>102.1941309</v>
      </c>
      <c r="P360" s="15">
        <f t="shared" si="2"/>
        <v>93.81113801</v>
      </c>
      <c r="Q360" s="15">
        <f t="shared" si="3"/>
        <v>86.82894737</v>
      </c>
      <c r="R360" s="15">
        <f t="shared" si="4"/>
        <v>85.18961625</v>
      </c>
    </row>
    <row r="361">
      <c r="A361" s="10">
        <v>665828.0</v>
      </c>
      <c r="B361" s="11" t="s">
        <v>376</v>
      </c>
      <c r="C361" s="12">
        <v>439.0</v>
      </c>
      <c r="D361" s="10">
        <v>212.0</v>
      </c>
      <c r="E361" s="13">
        <v>84.0</v>
      </c>
      <c r="F361" s="14">
        <v>0.025</v>
      </c>
      <c r="G361" s="15">
        <v>107.0</v>
      </c>
      <c r="H361" s="15">
        <v>89.0</v>
      </c>
      <c r="I361" s="15">
        <v>100.0</v>
      </c>
      <c r="J361" s="15">
        <v>90.0</v>
      </c>
      <c r="K361" s="15">
        <v>103.0</v>
      </c>
      <c r="L361" s="15">
        <v>77.0</v>
      </c>
      <c r="M361" s="16">
        <v>72.0</v>
      </c>
      <c r="N361" s="16">
        <v>82.0</v>
      </c>
      <c r="O361" s="15">
        <f t="shared" si="1"/>
        <v>94.2443385</v>
      </c>
      <c r="P361" s="15">
        <f t="shared" si="2"/>
        <v>101.5436893</v>
      </c>
      <c r="Q361" s="15">
        <f t="shared" si="3"/>
        <v>87.8490566</v>
      </c>
      <c r="R361" s="15">
        <f t="shared" si="4"/>
        <v>85.34922527</v>
      </c>
    </row>
    <row r="362">
      <c r="A362" s="10">
        <v>665750.0</v>
      </c>
      <c r="B362" s="11" t="s">
        <v>377</v>
      </c>
      <c r="C362" s="12">
        <v>692.0</v>
      </c>
      <c r="D362" s="10">
        <v>361.0</v>
      </c>
      <c r="E362" s="13">
        <v>125.0</v>
      </c>
      <c r="F362" s="14">
        <v>0.013</v>
      </c>
      <c r="G362" s="15">
        <v>83.0</v>
      </c>
      <c r="H362" s="15">
        <v>86.0</v>
      </c>
      <c r="I362" s="15">
        <v>98.0</v>
      </c>
      <c r="J362" s="15">
        <v>86.0</v>
      </c>
      <c r="K362" s="15">
        <v>98.0</v>
      </c>
      <c r="L362" s="15">
        <v>79.0</v>
      </c>
      <c r="M362" s="16">
        <v>71.0</v>
      </c>
      <c r="N362" s="16">
        <v>77.0</v>
      </c>
      <c r="O362" s="15">
        <f t="shared" si="1"/>
        <v>91.12820513</v>
      </c>
      <c r="P362" s="15">
        <f t="shared" si="2"/>
        <v>98.71301248</v>
      </c>
      <c r="Q362" s="15">
        <f t="shared" si="3"/>
        <v>86.875</v>
      </c>
      <c r="R362" s="15">
        <f t="shared" si="4"/>
        <v>81.62271062</v>
      </c>
    </row>
    <row r="363">
      <c r="A363" s="10">
        <v>666149.0</v>
      </c>
      <c r="B363" s="11" t="s">
        <v>378</v>
      </c>
      <c r="C363" s="12">
        <v>850.0</v>
      </c>
      <c r="D363" s="10">
        <v>447.0</v>
      </c>
      <c r="E363" s="13">
        <v>143.0</v>
      </c>
      <c r="F363" s="14">
        <v>0.03</v>
      </c>
      <c r="G363" s="15">
        <v>101.0</v>
      </c>
      <c r="H363" s="15">
        <v>93.0</v>
      </c>
      <c r="I363" s="15">
        <v>102.0</v>
      </c>
      <c r="J363" s="15">
        <v>92.0</v>
      </c>
      <c r="K363" s="15">
        <v>88.0</v>
      </c>
      <c r="L363" s="15">
        <v>79.0</v>
      </c>
      <c r="M363" s="16">
        <v>70.0</v>
      </c>
      <c r="N363" s="16">
        <v>84.0</v>
      </c>
      <c r="O363" s="15">
        <f t="shared" si="1"/>
        <v>95.24</v>
      </c>
      <c r="P363" s="15">
        <f t="shared" si="2"/>
        <v>91.70942813</v>
      </c>
      <c r="Q363" s="15">
        <f t="shared" si="3"/>
        <v>86.22477064</v>
      </c>
      <c r="R363" s="15">
        <f t="shared" si="4"/>
        <v>79.6</v>
      </c>
    </row>
    <row r="364">
      <c r="A364" s="10">
        <v>605361.0</v>
      </c>
      <c r="B364" s="11" t="s">
        <v>379</v>
      </c>
      <c r="C364" s="12">
        <v>432.0</v>
      </c>
      <c r="D364" s="10">
        <v>194.0</v>
      </c>
      <c r="E364" s="13">
        <v>84.0</v>
      </c>
      <c r="F364" s="14">
        <v>-0.012</v>
      </c>
      <c r="G364" s="15">
        <v>96.0</v>
      </c>
      <c r="H364" s="15">
        <v>91.0</v>
      </c>
      <c r="I364" s="15">
        <v>93.0</v>
      </c>
      <c r="J364" s="15">
        <v>93.0</v>
      </c>
      <c r="K364" s="15">
        <v>118.0</v>
      </c>
      <c r="L364" s="15">
        <v>70.0</v>
      </c>
      <c r="M364" s="16">
        <v>70.0</v>
      </c>
      <c r="N364" s="16">
        <v>76.0</v>
      </c>
      <c r="O364" s="15">
        <f t="shared" si="1"/>
        <v>95.32692308</v>
      </c>
      <c r="P364" s="15">
        <f t="shared" si="2"/>
        <v>108.8629442</v>
      </c>
      <c r="Q364" s="15">
        <f t="shared" si="3"/>
        <v>84.1509434</v>
      </c>
      <c r="R364" s="15">
        <f t="shared" si="4"/>
        <v>84.42307692</v>
      </c>
    </row>
    <row r="365">
      <c r="A365" s="10">
        <v>606115.0</v>
      </c>
      <c r="B365" s="11" t="s">
        <v>380</v>
      </c>
      <c r="C365" s="12">
        <v>436.0</v>
      </c>
      <c r="D365" s="10">
        <v>231.0</v>
      </c>
      <c r="E365" s="13">
        <v>91.0</v>
      </c>
      <c r="F365" s="14">
        <v>0.024</v>
      </c>
      <c r="G365" s="15">
        <v>103.0</v>
      </c>
      <c r="H365" s="15">
        <v>104.0</v>
      </c>
      <c r="I365" s="15">
        <v>120.0</v>
      </c>
      <c r="J365" s="15">
        <v>96.0</v>
      </c>
      <c r="K365" s="15">
        <v>100.0</v>
      </c>
      <c r="L365" s="15">
        <v>72.0</v>
      </c>
      <c r="M365" s="16">
        <v>68.0</v>
      </c>
      <c r="N365" s="16">
        <v>67.0</v>
      </c>
      <c r="O365" s="15">
        <f t="shared" si="1"/>
        <v>102.0861244</v>
      </c>
      <c r="P365" s="15">
        <f t="shared" si="2"/>
        <v>100</v>
      </c>
      <c r="Q365" s="15">
        <f t="shared" si="3"/>
        <v>84.65060241</v>
      </c>
      <c r="R365" s="15">
        <f t="shared" si="4"/>
        <v>83.31100478</v>
      </c>
    </row>
    <row r="366">
      <c r="A366" s="10">
        <v>679032.0</v>
      </c>
      <c r="B366" s="11" t="s">
        <v>381</v>
      </c>
      <c r="C366" s="12">
        <v>555.0</v>
      </c>
      <c r="D366" s="10">
        <v>301.0</v>
      </c>
      <c r="E366" s="13">
        <v>107.0</v>
      </c>
      <c r="F366" s="14">
        <v>0.068</v>
      </c>
      <c r="G366" s="15">
        <v>66.0</v>
      </c>
      <c r="H366" s="15">
        <v>75.0</v>
      </c>
      <c r="I366" s="15">
        <v>94.0</v>
      </c>
      <c r="J366" s="15">
        <v>78.0</v>
      </c>
      <c r="K366" s="15">
        <v>100.0</v>
      </c>
      <c r="L366" s="15">
        <v>80.0</v>
      </c>
      <c r="M366" s="16">
        <v>67.0</v>
      </c>
      <c r="N366" s="16">
        <v>77.0</v>
      </c>
      <c r="O366" s="15">
        <f t="shared" si="1"/>
        <v>85.47120419</v>
      </c>
      <c r="P366" s="15">
        <f t="shared" si="2"/>
        <v>100</v>
      </c>
      <c r="Q366" s="15">
        <f t="shared" si="3"/>
        <v>88.24175824</v>
      </c>
      <c r="R366" s="15">
        <f t="shared" si="4"/>
        <v>80.82198953</v>
      </c>
    </row>
    <row r="367">
      <c r="A367" s="10">
        <v>607732.0</v>
      </c>
      <c r="B367" s="11" t="s">
        <v>382</v>
      </c>
      <c r="C367" s="12">
        <v>428.0</v>
      </c>
      <c r="D367" s="10">
        <v>238.0</v>
      </c>
      <c r="E367" s="13">
        <v>68.0</v>
      </c>
      <c r="F367" s="14">
        <v>0.057</v>
      </c>
      <c r="G367" s="15">
        <v>96.0</v>
      </c>
      <c r="H367" s="15">
        <v>93.0</v>
      </c>
      <c r="I367" s="15">
        <v>126.0</v>
      </c>
      <c r="J367" s="15">
        <v>83.0</v>
      </c>
      <c r="K367" s="15">
        <v>68.0</v>
      </c>
      <c r="L367" s="15">
        <v>84.0</v>
      </c>
      <c r="M367" s="16">
        <v>64.0</v>
      </c>
      <c r="N367" s="16">
        <v>55.0</v>
      </c>
      <c r="O367" s="15">
        <f t="shared" si="1"/>
        <v>96.38164251</v>
      </c>
      <c r="P367" s="15">
        <f t="shared" si="2"/>
        <v>82.61187215</v>
      </c>
      <c r="Q367" s="15">
        <f t="shared" si="3"/>
        <v>92.39160839</v>
      </c>
      <c r="R367" s="15">
        <f t="shared" si="4"/>
        <v>81.39130435</v>
      </c>
    </row>
    <row r="368">
      <c r="A368" s="10">
        <v>702176.0</v>
      </c>
      <c r="B368" s="11" t="s">
        <v>383</v>
      </c>
      <c r="C368" s="12">
        <v>402.0</v>
      </c>
      <c r="D368" s="10">
        <v>185.0</v>
      </c>
      <c r="E368" s="13">
        <v>76.0</v>
      </c>
      <c r="F368" s="14">
        <v>-0.005</v>
      </c>
      <c r="G368" s="15">
        <v>86.0</v>
      </c>
      <c r="H368" s="15">
        <v>86.0</v>
      </c>
      <c r="I368" s="15">
        <v>92.0</v>
      </c>
      <c r="J368" s="15">
        <v>89.0</v>
      </c>
      <c r="K368" s="15">
        <v>103.0</v>
      </c>
      <c r="L368" s="15">
        <v>65.0</v>
      </c>
      <c r="M368" s="16">
        <v>58.0</v>
      </c>
      <c r="N368" s="16">
        <v>81.0</v>
      </c>
      <c r="O368" s="15">
        <f t="shared" si="1"/>
        <v>92.98254364</v>
      </c>
      <c r="P368" s="15">
        <f t="shared" si="2"/>
        <v>101.4415584</v>
      </c>
      <c r="Q368" s="15">
        <f t="shared" si="3"/>
        <v>82.38410596</v>
      </c>
      <c r="R368" s="15">
        <f t="shared" si="4"/>
        <v>78.94763092</v>
      </c>
    </row>
    <row r="369">
      <c r="A369" s="10">
        <v>678877.0</v>
      </c>
      <c r="B369" s="11" t="s">
        <v>384</v>
      </c>
      <c r="C369" s="12">
        <v>415.0</v>
      </c>
      <c r="D369" s="10">
        <v>247.0</v>
      </c>
      <c r="E369" s="13">
        <v>73.0</v>
      </c>
      <c r="F369" s="14">
        <v>0.134</v>
      </c>
      <c r="G369" s="15">
        <v>87.0</v>
      </c>
      <c r="H369" s="15">
        <v>52.0</v>
      </c>
      <c r="I369" s="15">
        <v>124.0</v>
      </c>
      <c r="J369" s="15">
        <v>52.0</v>
      </c>
      <c r="K369" s="15">
        <v>95.0</v>
      </c>
      <c r="L369" s="15">
        <v>76.0</v>
      </c>
      <c r="M369" s="16">
        <v>53.0</v>
      </c>
      <c r="N369" s="16">
        <v>43.0</v>
      </c>
      <c r="O369" s="15">
        <f t="shared" si="1"/>
        <v>75.55828221</v>
      </c>
      <c r="P369" s="15">
        <f t="shared" si="2"/>
        <v>97.23713647</v>
      </c>
      <c r="Q369" s="15">
        <f t="shared" si="3"/>
        <v>88.16216216</v>
      </c>
      <c r="R369" s="15">
        <f t="shared" si="4"/>
        <v>76.06748466</v>
      </c>
    </row>
    <row r="370">
      <c r="A370" s="10"/>
      <c r="C370" s="12"/>
      <c r="D370" s="10"/>
      <c r="E370" s="13"/>
      <c r="F370" s="14"/>
      <c r="G370" s="15"/>
      <c r="H370" s="15"/>
      <c r="I370" s="15"/>
      <c r="J370" s="15"/>
      <c r="K370" s="15"/>
      <c r="L370" s="15"/>
      <c r="M370" s="16"/>
      <c r="N370" s="16"/>
      <c r="O370" s="15"/>
      <c r="P370" s="15"/>
      <c r="Q370" s="15"/>
      <c r="R370" s="15"/>
    </row>
    <row r="371">
      <c r="A371" s="10"/>
      <c r="C371" s="12"/>
      <c r="D371" s="10"/>
      <c r="E371" s="13"/>
      <c r="F371" s="14"/>
      <c r="G371" s="15"/>
      <c r="H371" s="15"/>
      <c r="I371" s="15"/>
      <c r="J371" s="15"/>
      <c r="K371" s="15"/>
      <c r="L371" s="15"/>
      <c r="M371" s="16"/>
      <c r="N371" s="16"/>
      <c r="O371" s="15"/>
      <c r="P371" s="15"/>
      <c r="Q371" s="15"/>
      <c r="R371" s="15"/>
    </row>
    <row r="372">
      <c r="A372" s="10"/>
      <c r="C372" s="12"/>
      <c r="D372" s="10"/>
      <c r="E372" s="13"/>
      <c r="F372" s="14"/>
      <c r="G372" s="15"/>
      <c r="H372" s="15"/>
      <c r="I372" s="15"/>
      <c r="J372" s="15"/>
      <c r="K372" s="15"/>
      <c r="L372" s="15"/>
      <c r="M372" s="16"/>
      <c r="N372" s="16"/>
      <c r="O372" s="15"/>
      <c r="P372" s="15"/>
      <c r="Q372" s="15"/>
      <c r="R372" s="15"/>
    </row>
    <row r="373">
      <c r="A373" s="10"/>
      <c r="C373" s="12"/>
      <c r="D373" s="10"/>
      <c r="E373" s="13"/>
      <c r="F373" s="14"/>
      <c r="G373" s="15"/>
      <c r="H373" s="15"/>
      <c r="I373" s="15"/>
      <c r="J373" s="15"/>
      <c r="K373" s="15"/>
      <c r="L373" s="15"/>
      <c r="M373" s="16"/>
      <c r="N373" s="16"/>
      <c r="O373" s="15"/>
      <c r="P373" s="15"/>
      <c r="Q373" s="15"/>
      <c r="R373" s="15"/>
    </row>
    <row r="374">
      <c r="A374" s="10"/>
      <c r="C374" s="12"/>
      <c r="D374" s="10"/>
      <c r="E374" s="13"/>
      <c r="F374" s="14"/>
      <c r="G374" s="15"/>
      <c r="H374" s="15"/>
      <c r="I374" s="15"/>
      <c r="J374" s="15"/>
      <c r="K374" s="15"/>
      <c r="L374" s="15"/>
      <c r="M374" s="16"/>
      <c r="N374" s="16"/>
      <c r="O374" s="15"/>
      <c r="P374" s="15"/>
      <c r="Q374" s="15"/>
      <c r="R374" s="15"/>
    </row>
    <row r="375">
      <c r="A375" s="10"/>
      <c r="C375" s="12"/>
      <c r="D375" s="10"/>
      <c r="E375" s="13"/>
      <c r="F375" s="14"/>
      <c r="G375" s="15"/>
      <c r="H375" s="15"/>
      <c r="I375" s="15"/>
      <c r="J375" s="15"/>
      <c r="K375" s="15"/>
      <c r="L375" s="15"/>
      <c r="M375" s="16"/>
      <c r="N375" s="16"/>
      <c r="O375" s="15"/>
      <c r="P375" s="15"/>
      <c r="Q375" s="15"/>
      <c r="R375" s="15"/>
    </row>
    <row r="376">
      <c r="A376" s="10"/>
      <c r="C376" s="12"/>
      <c r="D376" s="10"/>
      <c r="E376" s="13"/>
      <c r="F376" s="14"/>
      <c r="G376" s="15"/>
      <c r="H376" s="15"/>
      <c r="I376" s="15"/>
      <c r="J376" s="15"/>
      <c r="K376" s="15"/>
      <c r="L376" s="15"/>
      <c r="M376" s="16"/>
      <c r="N376" s="16"/>
      <c r="O376" s="15"/>
      <c r="P376" s="15"/>
      <c r="Q376" s="15"/>
      <c r="R376" s="15"/>
    </row>
    <row r="377">
      <c r="A377" s="10"/>
      <c r="C377" s="12"/>
      <c r="D377" s="10"/>
      <c r="E377" s="13"/>
      <c r="F377" s="14"/>
      <c r="G377" s="15"/>
      <c r="H377" s="15"/>
      <c r="I377" s="15"/>
      <c r="J377" s="15"/>
      <c r="K377" s="15"/>
      <c r="L377" s="15"/>
      <c r="M377" s="16"/>
      <c r="N377" s="16"/>
      <c r="O377" s="15"/>
      <c r="P377" s="15"/>
      <c r="Q377" s="15"/>
      <c r="R377" s="15"/>
    </row>
    <row r="378">
      <c r="A378" s="10"/>
      <c r="C378" s="12"/>
      <c r="D378" s="10"/>
      <c r="E378" s="13"/>
      <c r="F378" s="14"/>
      <c r="G378" s="15"/>
      <c r="H378" s="15"/>
      <c r="I378" s="15"/>
      <c r="J378" s="15"/>
      <c r="K378" s="15"/>
      <c r="L378" s="15"/>
      <c r="M378" s="16"/>
      <c r="N378" s="16"/>
      <c r="O378" s="15"/>
      <c r="P378" s="15"/>
      <c r="Q378" s="15"/>
      <c r="R378" s="15"/>
    </row>
    <row r="379">
      <c r="A379" s="10"/>
      <c r="C379" s="12"/>
      <c r="D379" s="10"/>
      <c r="E379" s="13"/>
      <c r="F379" s="14"/>
      <c r="G379" s="15"/>
      <c r="H379" s="15"/>
      <c r="I379" s="15"/>
      <c r="J379" s="15"/>
      <c r="K379" s="15"/>
      <c r="L379" s="15"/>
      <c r="M379" s="16"/>
      <c r="N379" s="16"/>
      <c r="O379" s="15"/>
      <c r="P379" s="15"/>
      <c r="Q379" s="15"/>
      <c r="R379" s="15"/>
    </row>
    <row r="380">
      <c r="A380" s="10"/>
      <c r="C380" s="12"/>
      <c r="D380" s="10"/>
      <c r="E380" s="13"/>
      <c r="F380" s="14"/>
      <c r="G380" s="15"/>
      <c r="H380" s="15"/>
      <c r="I380" s="15"/>
      <c r="J380" s="15"/>
      <c r="K380" s="15"/>
      <c r="L380" s="15"/>
      <c r="M380" s="16"/>
      <c r="N380" s="16"/>
      <c r="O380" s="15"/>
      <c r="P380" s="15"/>
      <c r="Q380" s="15"/>
      <c r="R380" s="15"/>
    </row>
    <row r="381">
      <c r="A381" s="10"/>
      <c r="C381" s="12"/>
      <c r="D381" s="10"/>
      <c r="E381" s="13"/>
      <c r="F381" s="14"/>
      <c r="G381" s="15"/>
      <c r="H381" s="15"/>
      <c r="I381" s="15"/>
      <c r="J381" s="15"/>
      <c r="K381" s="15"/>
      <c r="L381" s="15"/>
      <c r="M381" s="16"/>
      <c r="N381" s="16"/>
      <c r="O381" s="15"/>
      <c r="P381" s="15"/>
      <c r="Q381" s="15"/>
      <c r="R381" s="15"/>
    </row>
    <row r="382">
      <c r="A382" s="10"/>
      <c r="C382" s="12"/>
      <c r="D382" s="10"/>
      <c r="E382" s="13"/>
      <c r="F382" s="14"/>
      <c r="G382" s="15"/>
      <c r="H382" s="15"/>
      <c r="I382" s="15"/>
      <c r="J382" s="15"/>
      <c r="K382" s="15"/>
      <c r="L382" s="15"/>
      <c r="M382" s="16"/>
      <c r="N382" s="16"/>
      <c r="O382" s="15"/>
      <c r="P382" s="15"/>
      <c r="Q382" s="15"/>
      <c r="R382" s="15"/>
    </row>
    <row r="383">
      <c r="A383" s="10"/>
      <c r="C383" s="12"/>
      <c r="D383" s="10"/>
      <c r="E383" s="13"/>
      <c r="F383" s="14"/>
      <c r="G383" s="15"/>
      <c r="H383" s="15"/>
      <c r="I383" s="15"/>
      <c r="J383" s="15"/>
      <c r="K383" s="15"/>
      <c r="L383" s="15"/>
      <c r="M383" s="16"/>
      <c r="N383" s="16"/>
      <c r="O383" s="15"/>
      <c r="P383" s="15"/>
      <c r="Q383" s="15"/>
      <c r="R383" s="15"/>
    </row>
    <row r="384">
      <c r="A384" s="10"/>
      <c r="C384" s="12"/>
      <c r="D384" s="10"/>
      <c r="E384" s="13"/>
      <c r="F384" s="14"/>
      <c r="G384" s="15"/>
      <c r="H384" s="15"/>
      <c r="I384" s="15"/>
      <c r="J384" s="15"/>
      <c r="K384" s="15"/>
      <c r="L384" s="15"/>
      <c r="M384" s="16"/>
      <c r="N384" s="16"/>
      <c r="O384" s="15"/>
      <c r="P384" s="15"/>
      <c r="Q384" s="15"/>
      <c r="R384" s="15"/>
    </row>
    <row r="385">
      <c r="A385" s="10"/>
      <c r="C385" s="12"/>
      <c r="D385" s="10"/>
      <c r="E385" s="13"/>
      <c r="F385" s="14"/>
      <c r="G385" s="15"/>
      <c r="H385" s="15"/>
      <c r="I385" s="15"/>
      <c r="J385" s="15"/>
      <c r="K385" s="15"/>
      <c r="L385" s="15"/>
      <c r="M385" s="16"/>
      <c r="N385" s="16"/>
      <c r="O385" s="15"/>
      <c r="P385" s="15"/>
      <c r="Q385" s="15"/>
      <c r="R385" s="15"/>
    </row>
    <row r="386">
      <c r="A386" s="10"/>
      <c r="C386" s="12"/>
      <c r="D386" s="10"/>
      <c r="E386" s="13"/>
      <c r="F386" s="14"/>
      <c r="G386" s="15"/>
      <c r="H386" s="15"/>
      <c r="I386" s="15"/>
      <c r="J386" s="15"/>
      <c r="K386" s="15"/>
      <c r="L386" s="15"/>
      <c r="M386" s="16"/>
      <c r="N386" s="16"/>
      <c r="O386" s="15"/>
      <c r="P386" s="15"/>
      <c r="Q386" s="15"/>
      <c r="R386" s="15"/>
    </row>
    <row r="387">
      <c r="A387" s="10"/>
      <c r="C387" s="12"/>
      <c r="D387" s="10"/>
      <c r="E387" s="13"/>
      <c r="F387" s="14"/>
      <c r="G387" s="15"/>
      <c r="H387" s="15"/>
      <c r="I387" s="15"/>
      <c r="J387" s="15"/>
      <c r="K387" s="15"/>
      <c r="L387" s="15"/>
      <c r="M387" s="16"/>
      <c r="N387" s="16"/>
      <c r="O387" s="15"/>
      <c r="P387" s="15"/>
      <c r="Q387" s="15"/>
      <c r="R387" s="15"/>
    </row>
    <row r="388">
      <c r="A388" s="10"/>
      <c r="C388" s="12"/>
      <c r="D388" s="10"/>
      <c r="E388" s="13"/>
      <c r="F388" s="14"/>
      <c r="G388" s="15"/>
      <c r="H388" s="15"/>
      <c r="I388" s="15"/>
      <c r="J388" s="15"/>
      <c r="K388" s="15"/>
      <c r="L388" s="15"/>
      <c r="M388" s="16"/>
      <c r="N388" s="16"/>
      <c r="O388" s="15"/>
      <c r="P388" s="15"/>
      <c r="Q388" s="15"/>
      <c r="R388" s="15"/>
    </row>
    <row r="389">
      <c r="A389" s="10"/>
      <c r="C389" s="12"/>
      <c r="D389" s="10"/>
      <c r="E389" s="13"/>
      <c r="F389" s="14"/>
      <c r="G389" s="15"/>
      <c r="H389" s="15"/>
      <c r="I389" s="15"/>
      <c r="J389" s="15"/>
      <c r="K389" s="15"/>
      <c r="L389" s="15"/>
      <c r="M389" s="16"/>
      <c r="N389" s="16"/>
      <c r="O389" s="15"/>
      <c r="P389" s="15"/>
      <c r="Q389" s="15"/>
      <c r="R389" s="15"/>
    </row>
    <row r="390">
      <c r="A390" s="10"/>
      <c r="C390" s="12"/>
      <c r="D390" s="10"/>
      <c r="E390" s="13"/>
      <c r="F390" s="14"/>
      <c r="G390" s="15"/>
      <c r="H390" s="15"/>
      <c r="I390" s="15"/>
      <c r="J390" s="15"/>
      <c r="K390" s="15"/>
      <c r="L390" s="15"/>
      <c r="M390" s="16"/>
      <c r="N390" s="16"/>
      <c r="O390" s="15"/>
      <c r="P390" s="15"/>
      <c r="Q390" s="15"/>
      <c r="R390" s="15"/>
    </row>
    <row r="391">
      <c r="A391" s="10"/>
      <c r="C391" s="12"/>
      <c r="D391" s="10"/>
      <c r="E391" s="13"/>
      <c r="F391" s="14"/>
      <c r="G391" s="15"/>
      <c r="H391" s="15"/>
      <c r="I391" s="15"/>
      <c r="J391" s="15"/>
      <c r="K391" s="15"/>
      <c r="L391" s="15"/>
      <c r="M391" s="16"/>
      <c r="N391" s="16"/>
      <c r="O391" s="15"/>
      <c r="P391" s="15"/>
      <c r="Q391" s="15"/>
      <c r="R391" s="15"/>
    </row>
    <row r="392">
      <c r="A392" s="10"/>
      <c r="C392" s="12"/>
      <c r="D392" s="10"/>
      <c r="E392" s="13"/>
      <c r="F392" s="14"/>
      <c r="G392" s="15"/>
      <c r="H392" s="15"/>
      <c r="I392" s="15"/>
      <c r="J392" s="15"/>
      <c r="K392" s="15"/>
      <c r="L392" s="15"/>
      <c r="M392" s="16"/>
      <c r="N392" s="16"/>
      <c r="O392" s="15"/>
      <c r="P392" s="15"/>
      <c r="Q392" s="15"/>
      <c r="R392" s="15"/>
    </row>
    <row r="393">
      <c r="A393" s="10"/>
      <c r="C393" s="12"/>
      <c r="D393" s="10"/>
      <c r="E393" s="13"/>
      <c r="F393" s="14"/>
      <c r="G393" s="15"/>
      <c r="H393" s="15"/>
      <c r="I393" s="15"/>
      <c r="J393" s="15"/>
      <c r="K393" s="15"/>
      <c r="L393" s="15"/>
      <c r="M393" s="16"/>
      <c r="N393" s="16"/>
      <c r="O393" s="15"/>
      <c r="P393" s="15"/>
      <c r="Q393" s="15"/>
      <c r="R393" s="15"/>
    </row>
    <row r="394">
      <c r="A394" s="10"/>
      <c r="C394" s="12"/>
      <c r="D394" s="10"/>
      <c r="E394" s="13"/>
      <c r="F394" s="14"/>
      <c r="G394" s="15"/>
      <c r="H394" s="15"/>
      <c r="I394" s="15"/>
      <c r="J394" s="15"/>
      <c r="K394" s="15"/>
      <c r="L394" s="15"/>
      <c r="M394" s="16"/>
      <c r="N394" s="16"/>
      <c r="O394" s="15"/>
      <c r="P394" s="15"/>
      <c r="Q394" s="15"/>
      <c r="R394" s="15"/>
    </row>
    <row r="395">
      <c r="A395" s="10"/>
      <c r="C395" s="12"/>
      <c r="D395" s="10"/>
      <c r="E395" s="13"/>
      <c r="F395" s="14"/>
      <c r="G395" s="15"/>
      <c r="H395" s="15"/>
      <c r="I395" s="15"/>
      <c r="J395" s="15"/>
      <c r="K395" s="15"/>
      <c r="L395" s="15"/>
      <c r="M395" s="16"/>
      <c r="N395" s="16"/>
      <c r="O395" s="15"/>
      <c r="P395" s="15"/>
      <c r="Q395" s="15"/>
      <c r="R395" s="15"/>
    </row>
    <row r="396">
      <c r="A396" s="10"/>
      <c r="C396" s="12"/>
      <c r="D396" s="10"/>
      <c r="E396" s="13"/>
      <c r="F396" s="14"/>
      <c r="G396" s="15"/>
      <c r="H396" s="15"/>
      <c r="I396" s="15"/>
      <c r="J396" s="15"/>
      <c r="K396" s="15"/>
      <c r="L396" s="15"/>
      <c r="M396" s="16"/>
      <c r="N396" s="16"/>
      <c r="O396" s="15"/>
      <c r="P396" s="15"/>
      <c r="Q396" s="15"/>
      <c r="R396" s="15"/>
    </row>
    <row r="397">
      <c r="A397" s="10"/>
      <c r="C397" s="12"/>
      <c r="D397" s="10"/>
      <c r="E397" s="13"/>
      <c r="F397" s="14"/>
      <c r="G397" s="15"/>
      <c r="H397" s="15"/>
      <c r="I397" s="15"/>
      <c r="J397" s="15"/>
      <c r="K397" s="15"/>
      <c r="L397" s="15"/>
      <c r="M397" s="16"/>
      <c r="N397" s="16"/>
      <c r="O397" s="15"/>
      <c r="P397" s="15"/>
      <c r="Q397" s="15"/>
      <c r="R397" s="15"/>
    </row>
    <row r="398">
      <c r="A398" s="10"/>
      <c r="C398" s="12"/>
      <c r="D398" s="10"/>
      <c r="E398" s="13"/>
      <c r="F398" s="14"/>
      <c r="G398" s="15"/>
      <c r="H398" s="15"/>
      <c r="I398" s="15"/>
      <c r="J398" s="15"/>
      <c r="K398" s="15"/>
      <c r="L398" s="15"/>
      <c r="M398" s="16"/>
      <c r="N398" s="16"/>
      <c r="O398" s="15"/>
      <c r="P398" s="15"/>
      <c r="Q398" s="15"/>
      <c r="R398" s="15"/>
    </row>
    <row r="399">
      <c r="A399" s="10"/>
      <c r="C399" s="12"/>
      <c r="D399" s="10"/>
      <c r="E399" s="13"/>
      <c r="F399" s="14"/>
      <c r="G399" s="15"/>
      <c r="H399" s="15"/>
      <c r="I399" s="15"/>
      <c r="J399" s="15"/>
      <c r="K399" s="15"/>
      <c r="L399" s="15"/>
      <c r="M399" s="16"/>
      <c r="N399" s="16"/>
      <c r="O399" s="15"/>
      <c r="P399" s="15"/>
      <c r="Q399" s="15"/>
      <c r="R399" s="15"/>
    </row>
    <row r="400">
      <c r="A400" s="10"/>
      <c r="C400" s="12"/>
      <c r="D400" s="10"/>
      <c r="E400" s="13"/>
      <c r="F400" s="14"/>
      <c r="G400" s="15"/>
      <c r="H400" s="15"/>
      <c r="I400" s="15"/>
      <c r="J400" s="15"/>
      <c r="K400" s="15"/>
      <c r="L400" s="15"/>
      <c r="M400" s="16"/>
      <c r="N400" s="16"/>
      <c r="O400" s="15"/>
      <c r="P400" s="15"/>
      <c r="Q400" s="15"/>
      <c r="R400" s="15"/>
    </row>
    <row r="401">
      <c r="A401" s="10"/>
      <c r="C401" s="12"/>
      <c r="D401" s="10"/>
      <c r="E401" s="13"/>
      <c r="F401" s="14"/>
      <c r="G401" s="15"/>
      <c r="H401" s="15"/>
      <c r="I401" s="15"/>
      <c r="J401" s="15"/>
      <c r="K401" s="15"/>
      <c r="L401" s="15"/>
      <c r="M401" s="16"/>
      <c r="N401" s="16"/>
      <c r="O401" s="15"/>
      <c r="P401" s="15"/>
      <c r="Q401" s="15"/>
      <c r="R401" s="15"/>
    </row>
    <row r="402">
      <c r="A402" s="10"/>
      <c r="C402" s="12"/>
      <c r="D402" s="10"/>
      <c r="E402" s="13"/>
      <c r="F402" s="14"/>
      <c r="G402" s="15"/>
      <c r="H402" s="15"/>
      <c r="I402" s="15"/>
      <c r="J402" s="15"/>
      <c r="K402" s="15"/>
      <c r="L402" s="15"/>
      <c r="M402" s="16"/>
      <c r="N402" s="16"/>
      <c r="O402" s="15"/>
      <c r="P402" s="15"/>
      <c r="Q402" s="15"/>
      <c r="R402" s="15"/>
    </row>
    <row r="403">
      <c r="A403" s="10"/>
      <c r="C403" s="12"/>
      <c r="D403" s="10"/>
      <c r="E403" s="13"/>
      <c r="F403" s="14"/>
      <c r="G403" s="15"/>
      <c r="H403" s="15"/>
      <c r="I403" s="15"/>
      <c r="J403" s="15"/>
      <c r="K403" s="15"/>
      <c r="L403" s="15"/>
      <c r="M403" s="16"/>
      <c r="N403" s="16"/>
      <c r="O403" s="15"/>
      <c r="P403" s="15"/>
      <c r="Q403" s="15"/>
      <c r="R403" s="15"/>
    </row>
    <row r="404">
      <c r="A404" s="10"/>
      <c r="C404" s="12"/>
      <c r="D404" s="10"/>
      <c r="E404" s="13"/>
      <c r="F404" s="14"/>
      <c r="G404" s="15"/>
      <c r="H404" s="15"/>
      <c r="I404" s="15"/>
      <c r="J404" s="15"/>
      <c r="K404" s="15"/>
      <c r="L404" s="15"/>
      <c r="M404" s="16"/>
      <c r="N404" s="16"/>
      <c r="O404" s="15"/>
      <c r="P404" s="15"/>
      <c r="Q404" s="15"/>
      <c r="R404" s="15"/>
    </row>
    <row r="405">
      <c r="A405" s="10"/>
      <c r="C405" s="12"/>
      <c r="D405" s="10"/>
      <c r="E405" s="13"/>
      <c r="F405" s="14"/>
      <c r="G405" s="15"/>
      <c r="H405" s="15"/>
      <c r="I405" s="15"/>
      <c r="J405" s="15"/>
      <c r="K405" s="15"/>
      <c r="L405" s="15"/>
      <c r="M405" s="16"/>
      <c r="N405" s="16"/>
      <c r="O405" s="15"/>
      <c r="P405" s="15"/>
      <c r="Q405" s="15"/>
      <c r="R405" s="15"/>
    </row>
    <row r="406">
      <c r="A406" s="10"/>
      <c r="C406" s="12"/>
      <c r="D406" s="10"/>
      <c r="E406" s="13"/>
      <c r="F406" s="14"/>
      <c r="G406" s="15"/>
      <c r="H406" s="15"/>
      <c r="I406" s="15"/>
      <c r="J406" s="15"/>
      <c r="K406" s="15"/>
      <c r="L406" s="15"/>
      <c r="M406" s="16"/>
      <c r="N406" s="16"/>
      <c r="O406" s="15"/>
      <c r="P406" s="15"/>
      <c r="Q406" s="15"/>
      <c r="R406" s="15"/>
    </row>
    <row r="407">
      <c r="A407" s="10"/>
      <c r="C407" s="12"/>
      <c r="D407" s="10"/>
      <c r="E407" s="13"/>
      <c r="F407" s="14"/>
      <c r="G407" s="15"/>
      <c r="H407" s="15"/>
      <c r="I407" s="15"/>
      <c r="J407" s="15"/>
      <c r="K407" s="15"/>
      <c r="L407" s="15"/>
      <c r="M407" s="16"/>
      <c r="N407" s="16"/>
      <c r="O407" s="15"/>
      <c r="P407" s="15"/>
      <c r="Q407" s="15"/>
      <c r="R407" s="15"/>
    </row>
    <row r="408">
      <c r="A408" s="10"/>
      <c r="C408" s="12"/>
      <c r="D408" s="10"/>
      <c r="E408" s="13"/>
      <c r="F408" s="14"/>
      <c r="G408" s="15"/>
      <c r="H408" s="15"/>
      <c r="I408" s="15"/>
      <c r="J408" s="15"/>
      <c r="K408" s="15"/>
      <c r="L408" s="15"/>
      <c r="M408" s="16"/>
      <c r="N408" s="16"/>
      <c r="O408" s="15"/>
      <c r="P408" s="15"/>
      <c r="Q408" s="15"/>
      <c r="R408" s="15"/>
    </row>
    <row r="409">
      <c r="A409" s="10"/>
      <c r="C409" s="12"/>
      <c r="D409" s="10"/>
      <c r="E409" s="13"/>
      <c r="F409" s="14"/>
      <c r="G409" s="15"/>
      <c r="H409" s="15"/>
      <c r="I409" s="15"/>
      <c r="J409" s="15"/>
      <c r="K409" s="15"/>
      <c r="L409" s="15"/>
      <c r="M409" s="16"/>
      <c r="N409" s="16"/>
      <c r="O409" s="15"/>
      <c r="P409" s="15"/>
      <c r="Q409" s="15"/>
      <c r="R409" s="15"/>
    </row>
    <row r="410">
      <c r="A410" s="10"/>
      <c r="C410" s="10"/>
      <c r="D410" s="10"/>
      <c r="E410" s="10"/>
      <c r="F410" s="14"/>
      <c r="G410" s="15"/>
      <c r="H410" s="15"/>
      <c r="I410" s="15"/>
      <c r="J410" s="15"/>
      <c r="K410" s="15"/>
      <c r="L410" s="15"/>
      <c r="M410" s="16"/>
      <c r="N410" s="16"/>
      <c r="O410" s="15"/>
      <c r="P410" s="15"/>
      <c r="Q410" s="15"/>
      <c r="R410" s="15"/>
    </row>
    <row r="411">
      <c r="A411" s="10"/>
      <c r="C411" s="10"/>
      <c r="D411" s="10"/>
      <c r="E411" s="10"/>
      <c r="F411" s="14"/>
      <c r="G411" s="15"/>
      <c r="H411" s="15"/>
      <c r="I411" s="15"/>
      <c r="J411" s="15"/>
      <c r="K411" s="15"/>
      <c r="L411" s="15"/>
      <c r="M411" s="16"/>
      <c r="N411" s="16"/>
      <c r="O411" s="15"/>
      <c r="P411" s="15"/>
      <c r="Q411" s="15"/>
      <c r="R411" s="15"/>
    </row>
    <row r="412">
      <c r="A412" s="10"/>
      <c r="C412" s="10"/>
      <c r="D412" s="10"/>
      <c r="E412" s="10"/>
      <c r="F412" s="14"/>
      <c r="G412" s="15"/>
      <c r="H412" s="15"/>
      <c r="I412" s="15"/>
      <c r="J412" s="15"/>
      <c r="K412" s="15"/>
      <c r="L412" s="15"/>
      <c r="M412" s="16"/>
      <c r="N412" s="16"/>
      <c r="O412" s="15"/>
      <c r="P412" s="15"/>
      <c r="Q412" s="15"/>
      <c r="R412" s="15"/>
    </row>
    <row r="413">
      <c r="A413" s="10"/>
      <c r="C413" s="10"/>
      <c r="D413" s="10"/>
      <c r="E413" s="10"/>
      <c r="F413" s="14"/>
      <c r="G413" s="15"/>
      <c r="H413" s="15"/>
      <c r="I413" s="15"/>
      <c r="J413" s="15"/>
      <c r="K413" s="15"/>
      <c r="L413" s="15"/>
      <c r="M413" s="16"/>
      <c r="N413" s="16"/>
      <c r="O413" s="15"/>
      <c r="P413" s="15"/>
      <c r="Q413" s="15"/>
      <c r="R413" s="15"/>
    </row>
    <row r="414">
      <c r="A414" s="10"/>
      <c r="C414" s="10"/>
      <c r="D414" s="10"/>
      <c r="E414" s="10"/>
      <c r="F414" s="14"/>
      <c r="G414" s="15"/>
      <c r="H414" s="15"/>
      <c r="I414" s="15"/>
      <c r="J414" s="15"/>
      <c r="K414" s="15"/>
      <c r="L414" s="15"/>
      <c r="M414" s="16"/>
      <c r="N414" s="16"/>
      <c r="O414" s="15"/>
      <c r="P414" s="15"/>
      <c r="Q414" s="15"/>
      <c r="R414" s="15"/>
    </row>
    <row r="415">
      <c r="A415" s="10"/>
      <c r="C415" s="10"/>
      <c r="D415" s="10"/>
      <c r="E415" s="10"/>
      <c r="F415" s="14"/>
      <c r="G415" s="15"/>
      <c r="H415" s="15"/>
      <c r="I415" s="15"/>
      <c r="J415" s="15"/>
      <c r="K415" s="15"/>
      <c r="L415" s="15"/>
      <c r="M415" s="16"/>
      <c r="N415" s="16"/>
      <c r="O415" s="15"/>
      <c r="P415" s="15"/>
      <c r="Q415" s="15"/>
      <c r="R415" s="15"/>
    </row>
    <row r="416">
      <c r="A416" s="10"/>
      <c r="C416" s="10"/>
      <c r="D416" s="10"/>
      <c r="E416" s="10"/>
      <c r="F416" s="14"/>
      <c r="G416" s="15"/>
      <c r="H416" s="15"/>
      <c r="I416" s="15"/>
      <c r="J416" s="15"/>
      <c r="K416" s="15"/>
      <c r="L416" s="15"/>
      <c r="M416" s="16"/>
      <c r="N416" s="16"/>
      <c r="O416" s="15"/>
      <c r="P416" s="15"/>
      <c r="Q416" s="15"/>
      <c r="R416" s="15"/>
    </row>
    <row r="417">
      <c r="A417" s="10"/>
      <c r="C417" s="10"/>
      <c r="D417" s="10"/>
      <c r="E417" s="10"/>
      <c r="F417" s="14"/>
      <c r="G417" s="15"/>
      <c r="H417" s="15"/>
      <c r="I417" s="15"/>
      <c r="J417" s="15"/>
      <c r="K417" s="15"/>
      <c r="L417" s="15"/>
      <c r="M417" s="16"/>
      <c r="N417" s="16"/>
      <c r="O417" s="15"/>
      <c r="P417" s="15"/>
      <c r="Q417" s="15"/>
      <c r="R417" s="15"/>
    </row>
    <row r="418">
      <c r="A418" s="10"/>
      <c r="C418" s="10"/>
      <c r="D418" s="10"/>
      <c r="E418" s="10"/>
      <c r="F418" s="14"/>
      <c r="G418" s="15"/>
      <c r="H418" s="15"/>
      <c r="I418" s="15"/>
      <c r="J418" s="15"/>
      <c r="K418" s="15"/>
      <c r="L418" s="15"/>
      <c r="M418" s="16"/>
      <c r="N418" s="16"/>
      <c r="O418" s="15"/>
      <c r="P418" s="15"/>
      <c r="Q418" s="15"/>
      <c r="R418" s="15"/>
    </row>
    <row r="419">
      <c r="A419" s="10"/>
      <c r="C419" s="10"/>
      <c r="D419" s="10"/>
      <c r="E419" s="10"/>
      <c r="F419" s="14"/>
      <c r="G419" s="15"/>
      <c r="H419" s="15"/>
      <c r="I419" s="15"/>
      <c r="J419" s="15"/>
      <c r="K419" s="15"/>
      <c r="L419" s="15"/>
      <c r="M419" s="16"/>
      <c r="N419" s="16"/>
      <c r="O419" s="15"/>
      <c r="P419" s="15"/>
      <c r="Q419" s="15"/>
      <c r="R419" s="15"/>
    </row>
    <row r="420">
      <c r="A420" s="10"/>
      <c r="C420" s="10"/>
      <c r="D420" s="10"/>
      <c r="E420" s="10"/>
      <c r="F420" s="14"/>
      <c r="G420" s="15"/>
      <c r="H420" s="15"/>
      <c r="I420" s="15"/>
      <c r="J420" s="15"/>
      <c r="K420" s="15"/>
      <c r="L420" s="15"/>
      <c r="M420" s="16"/>
      <c r="N420" s="16"/>
      <c r="O420" s="15"/>
      <c r="P420" s="15"/>
      <c r="Q420" s="15"/>
      <c r="R420" s="15"/>
    </row>
    <row r="421">
      <c r="A421" s="10"/>
      <c r="C421" s="10"/>
      <c r="D421" s="10"/>
      <c r="E421" s="10"/>
      <c r="F421" s="14"/>
      <c r="G421" s="15"/>
      <c r="H421" s="15"/>
      <c r="I421" s="15"/>
      <c r="J421" s="15"/>
      <c r="K421" s="15"/>
      <c r="L421" s="15"/>
      <c r="M421" s="16"/>
      <c r="N421" s="16"/>
      <c r="O421" s="15"/>
      <c r="P421" s="15"/>
      <c r="Q421" s="15"/>
      <c r="R421" s="15"/>
    </row>
    <row r="422">
      <c r="A422" s="10"/>
      <c r="C422" s="10"/>
      <c r="D422" s="10"/>
      <c r="E422" s="10"/>
      <c r="F422" s="14"/>
      <c r="G422" s="15"/>
      <c r="H422" s="15"/>
      <c r="I422" s="15"/>
      <c r="J422" s="15"/>
      <c r="K422" s="15"/>
      <c r="L422" s="15"/>
      <c r="M422" s="16"/>
      <c r="N422" s="16"/>
      <c r="O422" s="15"/>
      <c r="P422" s="15"/>
      <c r="Q422" s="15"/>
      <c r="R422" s="15"/>
    </row>
    <row r="423">
      <c r="A423" s="10"/>
      <c r="C423" s="10"/>
      <c r="D423" s="10"/>
      <c r="E423" s="10"/>
      <c r="F423" s="14"/>
      <c r="G423" s="15"/>
      <c r="H423" s="15"/>
      <c r="I423" s="15"/>
      <c r="J423" s="15"/>
      <c r="K423" s="15"/>
      <c r="L423" s="15"/>
      <c r="M423" s="16"/>
      <c r="N423" s="16"/>
      <c r="O423" s="15"/>
      <c r="P423" s="15"/>
      <c r="Q423" s="15"/>
      <c r="R423" s="15"/>
    </row>
    <row r="424">
      <c r="A424" s="10"/>
      <c r="C424" s="10"/>
      <c r="D424" s="10"/>
      <c r="E424" s="10"/>
      <c r="F424" s="14"/>
      <c r="G424" s="15"/>
      <c r="H424" s="15"/>
      <c r="I424" s="15"/>
      <c r="J424" s="15"/>
      <c r="K424" s="15"/>
      <c r="L424" s="15"/>
      <c r="M424" s="16"/>
      <c r="N424" s="16"/>
      <c r="O424" s="15"/>
      <c r="P424" s="15"/>
      <c r="Q424" s="15"/>
      <c r="R424" s="15"/>
    </row>
    <row r="425">
      <c r="A425" s="10"/>
      <c r="C425" s="10"/>
      <c r="D425" s="10"/>
      <c r="E425" s="10"/>
      <c r="F425" s="14"/>
      <c r="G425" s="15"/>
      <c r="H425" s="15"/>
      <c r="I425" s="15"/>
      <c r="J425" s="15"/>
      <c r="K425" s="15"/>
      <c r="L425" s="15"/>
      <c r="M425" s="16"/>
      <c r="N425" s="16"/>
      <c r="O425" s="15"/>
      <c r="P425" s="15"/>
      <c r="Q425" s="15"/>
      <c r="R425" s="15"/>
    </row>
    <row r="426">
      <c r="A426" s="10"/>
      <c r="C426" s="10"/>
      <c r="D426" s="10"/>
      <c r="E426" s="10"/>
      <c r="F426" s="14"/>
      <c r="G426" s="15"/>
      <c r="H426" s="15"/>
      <c r="I426" s="15"/>
      <c r="J426" s="15"/>
      <c r="K426" s="15"/>
      <c r="L426" s="15"/>
      <c r="M426" s="16"/>
      <c r="N426" s="16"/>
      <c r="O426" s="15"/>
      <c r="P426" s="15"/>
      <c r="Q426" s="15"/>
      <c r="R426" s="15"/>
    </row>
    <row r="427">
      <c r="A427" s="10"/>
      <c r="C427" s="10"/>
      <c r="D427" s="10"/>
      <c r="E427" s="10"/>
      <c r="F427" s="14"/>
      <c r="G427" s="15"/>
      <c r="H427" s="15"/>
      <c r="I427" s="15"/>
      <c r="J427" s="15"/>
      <c r="K427" s="15"/>
      <c r="L427" s="15"/>
      <c r="M427" s="16"/>
      <c r="N427" s="16"/>
      <c r="O427" s="15"/>
      <c r="P427" s="15"/>
      <c r="Q427" s="15"/>
      <c r="R427" s="15"/>
    </row>
    <row r="428">
      <c r="A428" s="10"/>
      <c r="C428" s="10"/>
      <c r="D428" s="10"/>
      <c r="E428" s="10"/>
      <c r="F428" s="14"/>
      <c r="G428" s="15"/>
      <c r="H428" s="15"/>
      <c r="I428" s="15"/>
      <c r="J428" s="15"/>
      <c r="K428" s="15"/>
      <c r="L428" s="15"/>
      <c r="M428" s="15"/>
      <c r="N428" s="16"/>
      <c r="O428" s="15"/>
      <c r="P428" s="15"/>
      <c r="Q428" s="15"/>
      <c r="R428" s="15"/>
    </row>
    <row r="429">
      <c r="A429" s="10"/>
      <c r="C429" s="10"/>
      <c r="D429" s="10"/>
      <c r="E429" s="10"/>
      <c r="F429" s="14"/>
      <c r="G429" s="15"/>
      <c r="H429" s="15"/>
      <c r="I429" s="15"/>
      <c r="J429" s="15"/>
      <c r="K429" s="15"/>
      <c r="L429" s="15"/>
      <c r="M429" s="15"/>
      <c r="N429" s="16"/>
      <c r="O429" s="15"/>
      <c r="P429" s="15"/>
      <c r="Q429" s="15"/>
      <c r="R429" s="15"/>
    </row>
    <row r="430">
      <c r="A430" s="10"/>
      <c r="C430" s="10"/>
      <c r="D430" s="10"/>
      <c r="E430" s="10"/>
      <c r="F430" s="14"/>
      <c r="G430" s="15"/>
      <c r="H430" s="15"/>
      <c r="I430" s="15"/>
      <c r="J430" s="15"/>
      <c r="K430" s="15"/>
      <c r="L430" s="15"/>
      <c r="M430" s="15"/>
      <c r="N430" s="16"/>
      <c r="O430" s="15"/>
      <c r="P430" s="15"/>
      <c r="Q430" s="15"/>
      <c r="R430" s="15"/>
    </row>
    <row r="431">
      <c r="A431" s="10"/>
      <c r="C431" s="10"/>
      <c r="D431" s="10"/>
      <c r="E431" s="10"/>
      <c r="F431" s="14"/>
      <c r="G431" s="15"/>
      <c r="H431" s="15"/>
      <c r="I431" s="15"/>
      <c r="J431" s="15"/>
      <c r="K431" s="15"/>
      <c r="L431" s="15"/>
      <c r="M431" s="15"/>
      <c r="N431" s="16"/>
      <c r="O431" s="15"/>
      <c r="P431" s="15"/>
      <c r="Q431" s="15"/>
      <c r="R431" s="15"/>
    </row>
    <row r="432">
      <c r="A432" s="10"/>
      <c r="C432" s="10"/>
      <c r="D432" s="10"/>
      <c r="E432" s="10"/>
      <c r="F432" s="14"/>
      <c r="G432" s="15"/>
      <c r="H432" s="15"/>
      <c r="I432" s="15"/>
      <c r="J432" s="15"/>
      <c r="K432" s="15"/>
      <c r="L432" s="15"/>
      <c r="M432" s="15"/>
      <c r="N432" s="16"/>
      <c r="O432" s="15"/>
      <c r="P432" s="15"/>
      <c r="Q432" s="15"/>
      <c r="R432" s="15"/>
    </row>
    <row r="433">
      <c r="A433" s="10"/>
      <c r="C433" s="10"/>
      <c r="D433" s="10"/>
      <c r="E433" s="10"/>
      <c r="F433" s="14"/>
      <c r="G433" s="15"/>
      <c r="H433" s="15"/>
      <c r="I433" s="15"/>
      <c r="J433" s="15"/>
      <c r="K433" s="15"/>
      <c r="L433" s="15"/>
      <c r="M433" s="15"/>
      <c r="N433" s="16"/>
      <c r="O433" s="15"/>
      <c r="P433" s="15"/>
      <c r="Q433" s="15"/>
      <c r="R433" s="15"/>
    </row>
    <row r="434">
      <c r="A434" s="10"/>
      <c r="C434" s="10"/>
      <c r="D434" s="10"/>
      <c r="E434" s="10"/>
      <c r="F434" s="14"/>
      <c r="G434" s="15"/>
      <c r="H434" s="15"/>
      <c r="I434" s="15"/>
      <c r="J434" s="15"/>
      <c r="K434" s="15"/>
      <c r="L434" s="15"/>
      <c r="M434" s="15"/>
      <c r="N434" s="16"/>
      <c r="O434" s="15"/>
      <c r="P434" s="15"/>
      <c r="Q434" s="15"/>
      <c r="R434" s="15"/>
    </row>
    <row r="435">
      <c r="A435" s="10"/>
      <c r="C435" s="10"/>
      <c r="D435" s="10"/>
      <c r="E435" s="10"/>
      <c r="F435" s="14"/>
      <c r="G435" s="15"/>
      <c r="H435" s="15"/>
      <c r="I435" s="15"/>
      <c r="J435" s="15"/>
      <c r="K435" s="15"/>
      <c r="L435" s="15"/>
      <c r="M435" s="15"/>
      <c r="N435" s="16"/>
      <c r="O435" s="15"/>
      <c r="P435" s="15"/>
      <c r="Q435" s="15"/>
      <c r="R435" s="15"/>
    </row>
    <row r="436">
      <c r="A436" s="10"/>
      <c r="C436" s="10"/>
      <c r="D436" s="10"/>
      <c r="E436" s="10"/>
      <c r="F436" s="14"/>
      <c r="G436" s="15"/>
      <c r="H436" s="15"/>
      <c r="I436" s="15"/>
      <c r="J436" s="15"/>
      <c r="K436" s="15"/>
      <c r="L436" s="15"/>
      <c r="M436" s="15"/>
      <c r="N436" s="16"/>
      <c r="O436" s="15"/>
      <c r="P436" s="15"/>
      <c r="Q436" s="15"/>
      <c r="R436" s="15"/>
    </row>
    <row r="437">
      <c r="A437" s="10"/>
      <c r="C437" s="10"/>
      <c r="D437" s="10"/>
      <c r="E437" s="10"/>
      <c r="F437" s="14"/>
      <c r="G437" s="15"/>
      <c r="H437" s="15"/>
      <c r="I437" s="15"/>
      <c r="J437" s="15"/>
      <c r="K437" s="15"/>
      <c r="L437" s="15"/>
      <c r="M437" s="15"/>
      <c r="N437" s="16"/>
      <c r="O437" s="15"/>
      <c r="P437" s="15"/>
      <c r="Q437" s="15"/>
      <c r="R437" s="15"/>
    </row>
    <row r="438">
      <c r="A438" s="10"/>
      <c r="C438" s="10"/>
      <c r="D438" s="10"/>
      <c r="E438" s="10"/>
      <c r="F438" s="14"/>
      <c r="G438" s="15"/>
      <c r="H438" s="15"/>
      <c r="I438" s="15"/>
      <c r="J438" s="15"/>
      <c r="K438" s="15"/>
      <c r="L438" s="15"/>
      <c r="M438" s="15"/>
      <c r="N438" s="16"/>
      <c r="O438" s="15"/>
      <c r="P438" s="15"/>
      <c r="Q438" s="15"/>
      <c r="R438" s="15"/>
    </row>
    <row r="439">
      <c r="A439" s="10"/>
      <c r="C439" s="10"/>
      <c r="D439" s="10"/>
      <c r="E439" s="10"/>
      <c r="F439" s="14"/>
      <c r="G439" s="15"/>
      <c r="H439" s="15"/>
      <c r="I439" s="15"/>
      <c r="J439" s="15"/>
      <c r="K439" s="15"/>
      <c r="L439" s="15"/>
      <c r="M439" s="15"/>
      <c r="N439" s="16"/>
      <c r="O439" s="15"/>
      <c r="P439" s="15"/>
      <c r="Q439" s="15"/>
      <c r="R439" s="15"/>
    </row>
    <row r="440">
      <c r="A440" s="10"/>
      <c r="C440" s="10"/>
      <c r="D440" s="10"/>
      <c r="E440" s="10"/>
      <c r="F440" s="14"/>
      <c r="G440" s="15"/>
      <c r="H440" s="15"/>
      <c r="I440" s="15"/>
      <c r="J440" s="15"/>
      <c r="K440" s="15"/>
      <c r="L440" s="15"/>
      <c r="M440" s="15"/>
      <c r="N440" s="16"/>
      <c r="O440" s="15"/>
      <c r="P440" s="15"/>
      <c r="Q440" s="15"/>
      <c r="R440" s="15"/>
    </row>
    <row r="441">
      <c r="A441" s="10"/>
      <c r="C441" s="10"/>
      <c r="D441" s="10"/>
      <c r="E441" s="10"/>
      <c r="F441" s="14"/>
      <c r="G441" s="15"/>
      <c r="H441" s="15"/>
      <c r="I441" s="15"/>
      <c r="J441" s="15"/>
      <c r="K441" s="15"/>
      <c r="L441" s="15"/>
      <c r="M441" s="15"/>
      <c r="N441" s="16"/>
      <c r="O441" s="15"/>
      <c r="P441" s="15"/>
      <c r="Q441" s="15"/>
      <c r="R441" s="15"/>
    </row>
    <row r="442">
      <c r="A442" s="10"/>
      <c r="C442" s="10"/>
      <c r="D442" s="10"/>
      <c r="E442" s="10"/>
      <c r="F442" s="14"/>
      <c r="G442" s="15"/>
      <c r="H442" s="15"/>
      <c r="I442" s="15"/>
      <c r="J442" s="15"/>
      <c r="K442" s="15"/>
      <c r="L442" s="15"/>
      <c r="M442" s="15"/>
      <c r="N442" s="16"/>
      <c r="O442" s="15"/>
      <c r="P442" s="15"/>
      <c r="Q442" s="15"/>
      <c r="R442" s="15"/>
    </row>
    <row r="443">
      <c r="A443" s="10"/>
      <c r="C443" s="10"/>
      <c r="D443" s="10"/>
      <c r="E443" s="10"/>
      <c r="F443" s="14"/>
      <c r="G443" s="15"/>
      <c r="H443" s="15"/>
      <c r="I443" s="15"/>
      <c r="J443" s="15"/>
      <c r="K443" s="15"/>
      <c r="L443" s="15"/>
      <c r="M443" s="15"/>
      <c r="N443" s="16"/>
      <c r="O443" s="15"/>
      <c r="P443" s="15"/>
      <c r="Q443" s="15"/>
      <c r="R443" s="15"/>
    </row>
    <row r="444">
      <c r="A444" s="10"/>
      <c r="C444" s="10"/>
      <c r="D444" s="10"/>
      <c r="E444" s="10"/>
      <c r="F444" s="14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</row>
  </sheetData>
  <conditionalFormatting sqref="G1:R444">
    <cfRule type="colorScale" priority="1">
      <colorScale>
        <cfvo type="formula" val="60"/>
        <cfvo type="formula" val="100"/>
        <cfvo type="formula" val="140"/>
        <color rgb="FFE67C73"/>
        <color rgb="FFFFFFFF"/>
        <color rgb="FF57BB8A"/>
      </colorScale>
    </cfRule>
  </conditionalFormatting>
  <conditionalFormatting sqref="C1:C444">
    <cfRule type="cellIs" dxfId="0" priority="2" operator="greaterThanOrEqual">
      <formula>400</formula>
    </cfRule>
  </conditionalFormatting>
  <conditionalFormatting sqref="D1:D444">
    <cfRule type="cellIs" dxfId="0" priority="3" operator="greaterThanOrEqual">
      <formula>200</formula>
    </cfRule>
  </conditionalFormatting>
  <conditionalFormatting sqref="E1:E444">
    <cfRule type="cellIs" dxfId="0" priority="4" operator="greaterThanOrEqual">
      <formula>75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9.38"/>
    <col customWidth="1" min="4" max="4" width="9.0"/>
    <col customWidth="1" min="5" max="5" width="8.38"/>
    <col customWidth="1" min="6" max="6" width="8.25"/>
    <col customWidth="1" min="7" max="7" width="9.63"/>
  </cols>
  <sheetData>
    <row r="1">
      <c r="A1" s="17" t="str">
        <f>IFERROR(__xludf.DUMMYFUNCTION("FILTER('Hitter Stats'!A:A, arrayformula(ISNUMBER(MATCH('Hitter Stats'!A:A,'2024'!A:A,0))))"),"MLBAMID")</f>
        <v>MLBAMID</v>
      </c>
      <c r="B1" s="11" t="s">
        <v>1</v>
      </c>
      <c r="C1" s="10" t="s">
        <v>385</v>
      </c>
      <c r="D1" s="18" t="s">
        <v>386</v>
      </c>
      <c r="E1" s="18" t="s">
        <v>387</v>
      </c>
      <c r="F1" s="18" t="s">
        <v>388</v>
      </c>
      <c r="G1" s="18" t="s">
        <v>389</v>
      </c>
    </row>
    <row r="2">
      <c r="A2" s="11">
        <f>IFERROR(__xludf.DUMMYFUNCTION("""COMPUTED_VALUE"""),592450.0)</f>
        <v>592450</v>
      </c>
      <c r="B2" s="17" t="str">
        <f t="array" ref="B2">index('Hitter Stats'!B:B,match(A2,'Hitter Stats'!A:A,0))</f>
        <v>Aaron Judge</v>
      </c>
      <c r="C2" s="14">
        <f t="array" ref="C2">index('Hitter Stats'!F:F,match($A2,'Hitter Stats'!$A:$A,0))-index('2024'!F:F,match($A2,'2024'!$A:$A,0))</f>
        <v>0.031494324</v>
      </c>
      <c r="D2" s="19">
        <f t="array" ref="D2">index('Hitter Stats'!H:H,match($A2,'Hitter Stats'!$A:$A,0))-index('2024'!H:H,match($A2,'2024'!$A:$A,0))</f>
        <v>-21</v>
      </c>
      <c r="E2" s="19">
        <f t="array" ref="E2">index('Hitter Stats'!K:K,match($A2,'Hitter Stats'!$A:$A,0))-index('2024'!K:K,match($A2,'2024'!$A:$A,0))</f>
        <v>-1</v>
      </c>
      <c r="F2" s="19">
        <f t="array" ref="F2">index('Hitter Stats'!L:L,match($A2,'Hitter Stats'!$A:$A,0))-index('2024'!L:L,match($A2,'2024'!$A:$A,0))</f>
        <v>-5</v>
      </c>
      <c r="G2" s="19">
        <f t="array" ref="G2">index('Hitter Stats'!M:M,match($A2,'Hitter Stats'!$A:$A,0))-index('2024'!M:M,match($A2,'2024'!$A:$A,0))</f>
        <v>-11</v>
      </c>
    </row>
    <row r="3">
      <c r="A3" s="11">
        <f>IFERROR(__xludf.DUMMYFUNCTION("""COMPUTED_VALUE"""),665742.0)</f>
        <v>665742</v>
      </c>
      <c r="B3" s="17" t="str">
        <f t="array" ref="B3">index('Hitter Stats'!B:B,match(A3,'Hitter Stats'!A:A,0))</f>
        <v>Juan Soto</v>
      </c>
      <c r="C3" s="14">
        <f t="array" ref="C3">index('Hitter Stats'!F:F,match($A3,'Hitter Stats'!$A:$A,0))-index('2024'!F:F,match($A3,'2024'!$A:$A,0))</f>
        <v>-0.056528718</v>
      </c>
      <c r="D3" s="19">
        <f t="array" ref="D3">index('Hitter Stats'!H:H,match($A3,'Hitter Stats'!$A:$A,0))-index('2024'!H:H,match($A3,'2024'!$A:$A,0))</f>
        <v>3</v>
      </c>
      <c r="E3" s="19">
        <f t="array" ref="E3">index('Hitter Stats'!K:K,match($A3,'Hitter Stats'!$A:$A,0))-index('2024'!K:K,match($A3,'2024'!$A:$A,0))</f>
        <v>-1</v>
      </c>
      <c r="F3" s="19">
        <f t="array" ref="F3">index('Hitter Stats'!L:L,match($A3,'Hitter Stats'!$A:$A,0))-index('2024'!L:L,match($A3,'2024'!$A:$A,0))</f>
        <v>-12</v>
      </c>
      <c r="G3" s="19">
        <f t="array" ref="G3">index('Hitter Stats'!M:M,match($A3,'Hitter Stats'!$A:$A,0))-index('2024'!M:M,match($A3,'2024'!$A:$A,0))</f>
        <v>-13</v>
      </c>
    </row>
    <row r="4">
      <c r="A4" s="11">
        <f>IFERROR(__xludf.DUMMYFUNCTION("""COMPUTED_VALUE"""),660271.0)</f>
        <v>660271</v>
      </c>
      <c r="B4" s="17" t="str">
        <f t="array" ref="B4">index('Hitter Stats'!B:B,match(A4,'Hitter Stats'!A:A,0))</f>
        <v>Shohei Ohtani</v>
      </c>
      <c r="C4" s="14">
        <f t="array" ref="C4">index('Hitter Stats'!F:F,match($A4,'Hitter Stats'!$A:$A,0))-index('2024'!F:F,match($A4,'2024'!$A:$A,0))</f>
        <v>-0.035351378</v>
      </c>
      <c r="D4" s="19">
        <f t="array" ref="D4">index('Hitter Stats'!H:H,match($A4,'Hitter Stats'!$A:$A,0))-index('2024'!H:H,match($A4,'2024'!$A:$A,0))</f>
        <v>10</v>
      </c>
      <c r="E4" s="19">
        <f t="array" ref="E4">index('Hitter Stats'!K:K,match($A4,'Hitter Stats'!$A:$A,0))-index('2024'!K:K,match($A4,'2024'!$A:$A,0))</f>
        <v>-10</v>
      </c>
      <c r="F4" s="19">
        <f t="array" ref="F4">index('Hitter Stats'!L:L,match($A4,'Hitter Stats'!$A:$A,0))-index('2024'!L:L,match($A4,'2024'!$A:$A,0))</f>
        <v>-9</v>
      </c>
      <c r="G4" s="19">
        <f t="array" ref="G4">index('Hitter Stats'!M:M,match($A4,'Hitter Stats'!$A:$A,0))-index('2024'!M:M,match($A4,'2024'!$A:$A,0))</f>
        <v>-12</v>
      </c>
    </row>
    <row r="5">
      <c r="A5" s="11">
        <f>IFERROR(__xludf.DUMMYFUNCTION("""COMPUTED_VALUE"""),624413.0)</f>
        <v>624413</v>
      </c>
      <c r="B5" s="17" t="str">
        <f t="array" ref="B5">index('Hitter Stats'!B:B,match(A5,'Hitter Stats'!A:A,0))</f>
        <v>Pete Alonso</v>
      </c>
      <c r="C5" s="14">
        <f t="array" ref="C5">index('Hitter Stats'!F:F,match($A5,'Hitter Stats'!$A:$A,0))-index('2024'!F:F,match($A5,'2024'!$A:$A,0))</f>
        <v>0.025634912</v>
      </c>
      <c r="D5" s="19">
        <f t="array" ref="D5">index('Hitter Stats'!H:H,match($A5,'Hitter Stats'!$A:$A,0))-index('2024'!H:H,match($A5,'2024'!$A:$A,0))</f>
        <v>4</v>
      </c>
      <c r="E5" s="19">
        <f t="array" ref="E5">index('Hitter Stats'!K:K,match($A5,'Hitter Stats'!$A:$A,0))-index('2024'!K:K,match($A5,'2024'!$A:$A,0))</f>
        <v>-8</v>
      </c>
      <c r="F5" s="19">
        <f t="array" ref="F5">index('Hitter Stats'!L:L,match($A5,'Hitter Stats'!$A:$A,0))-index('2024'!L:L,match($A5,'2024'!$A:$A,0))</f>
        <v>16</v>
      </c>
      <c r="G5" s="19">
        <f t="array" ref="G5">index('Hitter Stats'!M:M,match($A5,'Hitter Stats'!$A:$A,0))-index('2024'!M:M,match($A5,'2024'!$A:$A,0))</f>
        <v>12</v>
      </c>
    </row>
    <row r="6">
      <c r="A6" s="11">
        <f>IFERROR(__xludf.DUMMYFUNCTION("""COMPUTED_VALUE"""),660670.0)</f>
        <v>660670</v>
      </c>
      <c r="B6" s="17" t="str">
        <f t="array" ref="B6">index('Hitter Stats'!B:B,match(A6,'Hitter Stats'!A:A,0))</f>
        <v>Ronald Acuña Jr.</v>
      </c>
      <c r="C6" s="14">
        <f t="array" ref="C6">index('Hitter Stats'!F:F,match($A6,'Hitter Stats'!$A:$A,0))-index('2024'!F:F,match($A6,'2024'!$A:$A,0))</f>
        <v>-0.010444394</v>
      </c>
      <c r="D6" s="19">
        <f t="array" ref="D6">index('Hitter Stats'!H:H,match($A6,'Hitter Stats'!$A:$A,0))-index('2024'!H:H,match($A6,'2024'!$A:$A,0))</f>
        <v>12</v>
      </c>
      <c r="E6" s="19">
        <f t="array" ref="E6">index('Hitter Stats'!K:K,match($A6,'Hitter Stats'!$A:$A,0))-index('2024'!K:K,match($A6,'2024'!$A:$A,0))</f>
        <v>-2</v>
      </c>
      <c r="F6" s="19">
        <f t="array" ref="F6">index('Hitter Stats'!L:L,match($A6,'Hitter Stats'!$A:$A,0))-index('2024'!L:L,match($A6,'2024'!$A:$A,0))</f>
        <v>27</v>
      </c>
      <c r="G6" s="19">
        <f t="array" ref="G6">index('Hitter Stats'!M:M,match($A6,'Hitter Stats'!$A:$A,0))-index('2024'!M:M,match($A6,'2024'!$A:$A,0))</f>
        <v>25</v>
      </c>
    </row>
    <row r="7">
      <c r="A7" s="11">
        <f>IFERROR(__xludf.DUMMYFUNCTION("""COMPUTED_VALUE"""),545361.0)</f>
        <v>545361</v>
      </c>
      <c r="B7" s="17" t="str">
        <f t="array" ref="B7">index('Hitter Stats'!B:B,match(A7,'Hitter Stats'!A:A,0))</f>
        <v>Mike Trout</v>
      </c>
      <c r="C7" s="14">
        <f t="array" ref="C7">index('Hitter Stats'!F:F,match($A7,'Hitter Stats'!$A:$A,0))-index('2024'!F:F,match($A7,'2024'!$A:$A,0))</f>
        <v>-0.024878802</v>
      </c>
      <c r="D7" s="19">
        <f t="array" ref="D7">index('Hitter Stats'!H:H,match($A7,'Hitter Stats'!$A:$A,0))-index('2024'!H:H,match($A7,'2024'!$A:$A,0))</f>
        <v>-8</v>
      </c>
      <c r="E7" s="19">
        <f t="array" ref="E7">index('Hitter Stats'!K:K,match($A7,'Hitter Stats'!$A:$A,0))-index('2024'!K:K,match($A7,'2024'!$A:$A,0))</f>
        <v>-3</v>
      </c>
      <c r="F7" s="19">
        <f t="array" ref="F7">index('Hitter Stats'!L:L,match($A7,'Hitter Stats'!$A:$A,0))-index('2024'!L:L,match($A7,'2024'!$A:$A,0))</f>
        <v>1</v>
      </c>
      <c r="G7" s="19">
        <f t="array" ref="G7">index('Hitter Stats'!M:M,match($A7,'Hitter Stats'!$A:$A,0))-index('2024'!M:M,match($A7,'2024'!$A:$A,0))</f>
        <v>-9</v>
      </c>
    </row>
    <row r="8">
      <c r="A8" s="11">
        <f>IFERROR(__xludf.DUMMYFUNCTION("""COMPUTED_VALUE"""),543807.0)</f>
        <v>543807</v>
      </c>
      <c r="B8" s="17" t="str">
        <f t="array" ref="B8">index('Hitter Stats'!B:B,match(A8,'Hitter Stats'!A:A,0))</f>
        <v>George Springer</v>
      </c>
      <c r="C8" s="14">
        <f t="array" ref="C8">index('Hitter Stats'!F:F,match($A8,'Hitter Stats'!$A:$A,0))-index('2024'!F:F,match($A8,'2024'!$A:$A,0))</f>
        <v>-0.03191522</v>
      </c>
      <c r="D8" s="19">
        <f t="array" ref="D8">index('Hitter Stats'!H:H,match($A8,'Hitter Stats'!$A:$A,0))-index('2024'!H:H,match($A8,'2024'!$A:$A,0))</f>
        <v>-8</v>
      </c>
      <c r="E8" s="19">
        <f t="array" ref="E8">index('Hitter Stats'!K:K,match($A8,'Hitter Stats'!$A:$A,0))-index('2024'!K:K,match($A8,'2024'!$A:$A,0))</f>
        <v>2</v>
      </c>
      <c r="F8" s="19">
        <f t="array" ref="F8">index('Hitter Stats'!L:L,match($A8,'Hitter Stats'!$A:$A,0))-index('2024'!L:L,match($A8,'2024'!$A:$A,0))</f>
        <v>25</v>
      </c>
      <c r="G8" s="19">
        <f t="array" ref="G8">index('Hitter Stats'!M:M,match($A8,'Hitter Stats'!$A:$A,0))-index('2024'!M:M,match($A8,'2024'!$A:$A,0))</f>
        <v>20</v>
      </c>
    </row>
    <row r="9">
      <c r="A9" s="11">
        <f>IFERROR(__xludf.DUMMYFUNCTION("""COMPUTED_VALUE"""),650402.0)</f>
        <v>650402</v>
      </c>
      <c r="B9" s="17" t="str">
        <f t="array" ref="B9">index('Hitter Stats'!B:B,match(A9,'Hitter Stats'!A:A,0))</f>
        <v>Gleyber Torres</v>
      </c>
      <c r="C9" s="14">
        <f t="array" ref="C9">index('Hitter Stats'!F:F,match($A9,'Hitter Stats'!$A:$A,0))-index('2024'!F:F,match($A9,'2024'!$A:$A,0))</f>
        <v>-0.037591473</v>
      </c>
      <c r="D9" s="19">
        <f t="array" ref="D9">index('Hitter Stats'!H:H,match($A9,'Hitter Stats'!$A:$A,0))-index('2024'!H:H,match($A9,'2024'!$A:$A,0))</f>
        <v>17</v>
      </c>
      <c r="E9" s="19">
        <f t="array" ref="E9">index('Hitter Stats'!K:K,match($A9,'Hitter Stats'!$A:$A,0))-index('2024'!K:K,match($A9,'2024'!$A:$A,0))</f>
        <v>9</v>
      </c>
      <c r="F9" s="19">
        <f t="array" ref="F9">index('Hitter Stats'!L:L,match($A9,'Hitter Stats'!$A:$A,0))-index('2024'!L:L,match($A9,'2024'!$A:$A,0))</f>
        <v>11</v>
      </c>
      <c r="G9" s="19">
        <f t="array" ref="G9">index('Hitter Stats'!M:M,match($A9,'Hitter Stats'!$A:$A,0))-index('2024'!M:M,match($A9,'2024'!$A:$A,0))</f>
        <v>21</v>
      </c>
    </row>
    <row r="10">
      <c r="A10" s="11">
        <f>IFERROR(__xludf.DUMMYFUNCTION("""COMPUTED_VALUE"""),683737.0)</f>
        <v>683737</v>
      </c>
      <c r="B10" s="17" t="str">
        <f t="array" ref="B10">index('Hitter Stats'!B:B,match(A10,'Hitter Stats'!A:A,0))</f>
        <v>Michael Busch</v>
      </c>
      <c r="C10" s="14">
        <f t="array" ref="C10">index('Hitter Stats'!F:F,match($A10,'Hitter Stats'!$A:$A,0))-index('2024'!F:F,match($A10,'2024'!$A:$A,0))</f>
        <v>-0.011556007</v>
      </c>
      <c r="D10" s="19">
        <f t="array" ref="D10">index('Hitter Stats'!H:H,match($A10,'Hitter Stats'!$A:$A,0))-index('2024'!H:H,match($A10,'2024'!$A:$A,0))</f>
        <v>9</v>
      </c>
      <c r="E10" s="19">
        <f t="array" ref="E10">index('Hitter Stats'!K:K,match($A10,'Hitter Stats'!$A:$A,0))-index('2024'!K:K,match($A10,'2024'!$A:$A,0))</f>
        <v>10</v>
      </c>
      <c r="F10" s="19">
        <f t="array" ref="F10">index('Hitter Stats'!L:L,match($A10,'Hitter Stats'!$A:$A,0))-index('2024'!L:L,match($A10,'2024'!$A:$A,0))</f>
        <v>12</v>
      </c>
      <c r="G10" s="19">
        <f t="array" ref="G10">index('Hitter Stats'!M:M,match($A10,'Hitter Stats'!$A:$A,0))-index('2024'!M:M,match($A10,'2024'!$A:$A,0))</f>
        <v>23</v>
      </c>
    </row>
    <row r="11">
      <c r="A11" s="11">
        <f>IFERROR(__xludf.DUMMYFUNCTION("""COMPUTED_VALUE"""),608369.0)</f>
        <v>608369</v>
      </c>
      <c r="B11" s="17" t="str">
        <f t="array" ref="B11">index('Hitter Stats'!B:B,match(A11,'Hitter Stats'!A:A,0))</f>
        <v>Corey Seager</v>
      </c>
      <c r="C11" s="14">
        <f t="array" ref="C11">index('Hitter Stats'!F:F,match($A11,'Hitter Stats'!$A:$A,0))-index('2024'!F:F,match($A11,'2024'!$A:$A,0))</f>
        <v>-0.014142568</v>
      </c>
      <c r="D11" s="19">
        <f t="array" ref="D11">index('Hitter Stats'!H:H,match($A11,'Hitter Stats'!$A:$A,0))-index('2024'!H:H,match($A11,'2024'!$A:$A,0))</f>
        <v>-2</v>
      </c>
      <c r="E11" s="19">
        <f t="array" ref="E11">index('Hitter Stats'!K:K,match($A11,'Hitter Stats'!$A:$A,0))-index('2024'!K:K,match($A11,'2024'!$A:$A,0))</f>
        <v>-2</v>
      </c>
      <c r="F11" s="19">
        <f t="array" ref="F11">index('Hitter Stats'!L:L,match($A11,'Hitter Stats'!$A:$A,0))-index('2024'!L:L,match($A11,'2024'!$A:$A,0))</f>
        <v>-2</v>
      </c>
      <c r="G11" s="19">
        <f t="array" ref="G11">index('Hitter Stats'!M:M,match($A11,'Hitter Stats'!$A:$A,0))-index('2024'!M:M,match($A11,'2024'!$A:$A,0))</f>
        <v>-8</v>
      </c>
    </row>
    <row r="12">
      <c r="A12" s="11">
        <f>IFERROR(__xludf.DUMMYFUNCTION("""COMPUTED_VALUE"""),663853.0)</f>
        <v>663853</v>
      </c>
      <c r="B12" s="17" t="str">
        <f t="array" ref="B12">index('Hitter Stats'!B:B,match(A12,'Hitter Stats'!A:A,0))</f>
        <v>Romy González</v>
      </c>
      <c r="C12" s="14">
        <f t="array" ref="C12">index('Hitter Stats'!F:F,match($A12,'Hitter Stats'!$A:$A,0))-index('2024'!F:F,match($A12,'2024'!$A:$A,0))</f>
        <v>0.007405749</v>
      </c>
      <c r="D12" s="19">
        <f t="array" ref="D12">index('Hitter Stats'!H:H,match($A12,'Hitter Stats'!$A:$A,0))-index('2024'!H:H,match($A12,'2024'!$A:$A,0))</f>
        <v>-9</v>
      </c>
      <c r="E12" s="19">
        <f t="array" ref="E12">index('Hitter Stats'!K:K,match($A12,'Hitter Stats'!$A:$A,0))-index('2024'!K:K,match($A12,'2024'!$A:$A,0))</f>
        <v>12</v>
      </c>
      <c r="F12" s="19">
        <f t="array" ref="F12">index('Hitter Stats'!L:L,match($A12,'Hitter Stats'!$A:$A,0))-index('2024'!L:L,match($A12,'2024'!$A:$A,0))</f>
        <v>21</v>
      </c>
      <c r="G12" s="19">
        <f t="array" ref="G12">index('Hitter Stats'!M:M,match($A12,'Hitter Stats'!$A:$A,0))-index('2024'!M:M,match($A12,'2024'!$A:$A,0))</f>
        <v>29</v>
      </c>
    </row>
    <row r="13">
      <c r="A13" s="11">
        <f>IFERROR(__xludf.DUMMYFUNCTION("""COMPUTED_VALUE"""),666176.0)</f>
        <v>666176</v>
      </c>
      <c r="B13" s="17" t="str">
        <f t="array" ref="B13">index('Hitter Stats'!B:B,match(A13,'Hitter Stats'!A:A,0))</f>
        <v>Jo Adell</v>
      </c>
      <c r="C13" s="14">
        <f t="array" ref="C13">index('Hitter Stats'!F:F,match($A13,'Hitter Stats'!$A:$A,0))-index('2024'!F:F,match($A13,'2024'!$A:$A,0))</f>
        <v>0.029297328</v>
      </c>
      <c r="D13" s="19">
        <f t="array" ref="D13">index('Hitter Stats'!H:H,match($A13,'Hitter Stats'!$A:$A,0))-index('2024'!H:H,match($A13,'2024'!$A:$A,0))</f>
        <v>-1</v>
      </c>
      <c r="E13" s="19">
        <f t="array" ref="E13">index('Hitter Stats'!K:K,match($A13,'Hitter Stats'!$A:$A,0))-index('2024'!K:K,match($A13,'2024'!$A:$A,0))</f>
        <v>5</v>
      </c>
      <c r="F13" s="19">
        <f t="array" ref="F13">index('Hitter Stats'!L:L,match($A13,'Hitter Stats'!$A:$A,0))-index('2024'!L:L,match($A13,'2024'!$A:$A,0))</f>
        <v>24</v>
      </c>
      <c r="G13" s="19">
        <f t="array" ref="G13">index('Hitter Stats'!M:M,match($A13,'Hitter Stats'!$A:$A,0))-index('2024'!M:M,match($A13,'2024'!$A:$A,0))</f>
        <v>28</v>
      </c>
    </row>
    <row r="14">
      <c r="A14" s="11">
        <f>IFERROR(__xludf.DUMMYFUNCTION("""COMPUTED_VALUE"""),592518.0)</f>
        <v>592518</v>
      </c>
      <c r="B14" s="17" t="str">
        <f t="array" ref="B14">index('Hitter Stats'!B:B,match(A14,'Hitter Stats'!A:A,0))</f>
        <v>Manny Machado</v>
      </c>
      <c r="C14" s="14">
        <f t="array" ref="C14">index('Hitter Stats'!F:F,match($A14,'Hitter Stats'!$A:$A,0))-index('2024'!F:F,match($A14,'2024'!$A:$A,0))</f>
        <v>-0.014340139</v>
      </c>
      <c r="D14" s="19">
        <f t="array" ref="D14">index('Hitter Stats'!H:H,match($A14,'Hitter Stats'!$A:$A,0))-index('2024'!H:H,match($A14,'2024'!$A:$A,0))</f>
        <v>-5</v>
      </c>
      <c r="E14" s="19">
        <f t="array" ref="E14">index('Hitter Stats'!K:K,match($A14,'Hitter Stats'!$A:$A,0))-index('2024'!K:K,match($A14,'2024'!$A:$A,0))</f>
        <v>6</v>
      </c>
      <c r="F14" s="19">
        <f t="array" ref="F14">index('Hitter Stats'!L:L,match($A14,'Hitter Stats'!$A:$A,0))-index('2024'!L:L,match($A14,'2024'!$A:$A,0))</f>
        <v>8</v>
      </c>
      <c r="G14" s="19">
        <f t="array" ref="G14">index('Hitter Stats'!M:M,match($A14,'Hitter Stats'!$A:$A,0))-index('2024'!M:M,match($A14,'2024'!$A:$A,0))</f>
        <v>9</v>
      </c>
    </row>
    <row r="15">
      <c r="A15" s="11">
        <f>IFERROR(__xludf.DUMMYFUNCTION("""COMPUTED_VALUE"""),700250.0)</f>
        <v>700250</v>
      </c>
      <c r="B15" s="17" t="str">
        <f t="array" ref="B15">index('Hitter Stats'!B:B,match(A15,'Hitter Stats'!A:A,0))</f>
        <v>Ben Rice</v>
      </c>
      <c r="C15" s="14">
        <f t="array" ref="C15">index('Hitter Stats'!F:F,match($A15,'Hitter Stats'!$A:$A,0))-index('2024'!F:F,match($A15,'2024'!$A:$A,0))</f>
        <v>0.012593897</v>
      </c>
      <c r="D15" s="19">
        <f t="array" ref="D15">index('Hitter Stats'!H:H,match($A15,'Hitter Stats'!$A:$A,0))-index('2024'!H:H,match($A15,'2024'!$A:$A,0))</f>
        <v>-14</v>
      </c>
      <c r="E15" s="19">
        <f t="array" ref="E15">index('Hitter Stats'!K:K,match($A15,'Hitter Stats'!$A:$A,0))-index('2024'!K:K,match($A15,'2024'!$A:$A,0))</f>
        <v>15</v>
      </c>
      <c r="F15" s="19">
        <f t="array" ref="F15">index('Hitter Stats'!L:L,match($A15,'Hitter Stats'!$A:$A,0))-index('2024'!L:L,match($A15,'2024'!$A:$A,0))</f>
        <v>8</v>
      </c>
      <c r="G15" s="19">
        <f t="array" ref="G15">index('Hitter Stats'!M:M,match($A15,'Hitter Stats'!$A:$A,0))-index('2024'!M:M,match($A15,'2024'!$A:$A,0))</f>
        <v>12</v>
      </c>
    </row>
    <row r="16">
      <c r="A16" s="11">
        <f>IFERROR(__xludf.DUMMYFUNCTION("""COMPUTED_VALUE"""),665489.0)</f>
        <v>665489</v>
      </c>
      <c r="B16" s="17" t="str">
        <f t="array" ref="B16">index('Hitter Stats'!B:B,match(A16,'Hitter Stats'!A:A,0))</f>
        <v>Vladimir Guerrero Jr.</v>
      </c>
      <c r="C16" s="14">
        <f t="array" ref="C16">index('Hitter Stats'!F:F,match($A16,'Hitter Stats'!$A:$A,0))-index('2024'!F:F,match($A16,'2024'!$A:$A,0))</f>
        <v>-0.053443858</v>
      </c>
      <c r="D16" s="19">
        <f t="array" ref="D16">index('Hitter Stats'!H:H,match($A16,'Hitter Stats'!$A:$A,0))-index('2024'!H:H,match($A16,'2024'!$A:$A,0))</f>
        <v>6</v>
      </c>
      <c r="E16" s="19">
        <f t="array" ref="E16">index('Hitter Stats'!K:K,match($A16,'Hitter Stats'!$A:$A,0))-index('2024'!K:K,match($A16,'2024'!$A:$A,0))</f>
        <v>0</v>
      </c>
      <c r="F16" s="19">
        <f t="array" ref="F16">index('Hitter Stats'!L:L,match($A16,'Hitter Stats'!$A:$A,0))-index('2024'!L:L,match($A16,'2024'!$A:$A,0))</f>
        <v>-14</v>
      </c>
      <c r="G16" s="19">
        <f t="array" ref="G16">index('Hitter Stats'!M:M,match($A16,'Hitter Stats'!$A:$A,0))-index('2024'!M:M,match($A16,'2024'!$A:$A,0))</f>
        <v>-16</v>
      </c>
    </row>
    <row r="17">
      <c r="A17" s="11">
        <f>IFERROR(__xludf.DUMMYFUNCTION("""COMPUTED_VALUE"""),650490.0)</f>
        <v>650490</v>
      </c>
      <c r="B17" s="17" t="str">
        <f t="array" ref="B17">index('Hitter Stats'!B:B,match(A17,'Hitter Stats'!A:A,0))</f>
        <v>Yandy Díaz</v>
      </c>
      <c r="C17" s="14">
        <f t="array" ref="C17">index('Hitter Stats'!F:F,match($A17,'Hitter Stats'!$A:$A,0))-index('2024'!F:F,match($A17,'2024'!$A:$A,0))</f>
        <v>0.017333184</v>
      </c>
      <c r="D17" s="19">
        <f t="array" ref="D17">index('Hitter Stats'!H:H,match($A17,'Hitter Stats'!$A:$A,0))-index('2024'!H:H,match($A17,'2024'!$A:$A,0))</f>
        <v>-8</v>
      </c>
      <c r="E17" s="19">
        <f t="array" ref="E17">index('Hitter Stats'!K:K,match($A17,'Hitter Stats'!$A:$A,0))-index('2024'!K:K,match($A17,'2024'!$A:$A,0))</f>
        <v>-5</v>
      </c>
      <c r="F17" s="19">
        <f t="array" ref="F17">index('Hitter Stats'!L:L,match($A17,'Hitter Stats'!$A:$A,0))-index('2024'!L:L,match($A17,'2024'!$A:$A,0))</f>
        <v>10</v>
      </c>
      <c r="G17" s="19">
        <f t="array" ref="G17">index('Hitter Stats'!M:M,match($A17,'Hitter Stats'!$A:$A,0))-index('2024'!M:M,match($A17,'2024'!$A:$A,0))</f>
        <v>4</v>
      </c>
    </row>
    <row r="18">
      <c r="A18" s="11">
        <f>IFERROR(__xludf.DUMMYFUNCTION("""COMPUTED_VALUE"""),669257.0)</f>
        <v>669257</v>
      </c>
      <c r="B18" s="17" t="str">
        <f t="array" ref="B18">index('Hitter Stats'!B:B,match(A18,'Hitter Stats'!A:A,0))</f>
        <v>Will Smith</v>
      </c>
      <c r="C18" s="14">
        <f t="array" ref="C18">index('Hitter Stats'!F:F,match($A18,'Hitter Stats'!$A:$A,0))-index('2024'!F:F,match($A18,'2024'!$A:$A,0))</f>
        <v>-0.086341094</v>
      </c>
      <c r="D18" s="19">
        <f t="array" ref="D18">index('Hitter Stats'!H:H,match($A18,'Hitter Stats'!$A:$A,0))-index('2024'!H:H,match($A18,'2024'!$A:$A,0))</f>
        <v>23</v>
      </c>
      <c r="E18" s="19">
        <f t="array" ref="E18">index('Hitter Stats'!K:K,match($A18,'Hitter Stats'!$A:$A,0))-index('2024'!K:K,match($A18,'2024'!$A:$A,0))</f>
        <v>-1</v>
      </c>
      <c r="F18" s="19">
        <f t="array" ref="F18">index('Hitter Stats'!L:L,match($A18,'Hitter Stats'!$A:$A,0))-index('2024'!L:L,match($A18,'2024'!$A:$A,0))</f>
        <v>10</v>
      </c>
      <c r="G18" s="19">
        <f t="array" ref="G18">index('Hitter Stats'!M:M,match($A18,'Hitter Stats'!$A:$A,0))-index('2024'!M:M,match($A18,'2024'!$A:$A,0))</f>
        <v>17</v>
      </c>
    </row>
    <row r="19">
      <c r="A19" s="11">
        <f>IFERROR(__xludf.DUMMYFUNCTION("""COMPUTED_VALUE"""),672386.0)</f>
        <v>672386</v>
      </c>
      <c r="B19" s="17" t="str">
        <f t="array" ref="B19">index('Hitter Stats'!B:B,match(A19,'Hitter Stats'!A:A,0))</f>
        <v>Alejandro Kirk</v>
      </c>
      <c r="C19" s="14">
        <f t="array" ref="C19">index('Hitter Stats'!F:F,match($A19,'Hitter Stats'!$A:$A,0))-index('2024'!F:F,match($A19,'2024'!$A:$A,0))</f>
        <v>-0.010602024</v>
      </c>
      <c r="D19" s="19">
        <f t="array" ref="D19">index('Hitter Stats'!H:H,match($A19,'Hitter Stats'!$A:$A,0))-index('2024'!H:H,match($A19,'2024'!$A:$A,0))</f>
        <v>4</v>
      </c>
      <c r="E19" s="19">
        <f t="array" ref="E19">index('Hitter Stats'!K:K,match($A19,'Hitter Stats'!$A:$A,0))-index('2024'!K:K,match($A19,'2024'!$A:$A,0))</f>
        <v>3</v>
      </c>
      <c r="F19" s="19">
        <f t="array" ref="F19">index('Hitter Stats'!L:L,match($A19,'Hitter Stats'!$A:$A,0))-index('2024'!L:L,match($A19,'2024'!$A:$A,0))</f>
        <v>7</v>
      </c>
      <c r="G19" s="19">
        <f t="array" ref="G19">index('Hitter Stats'!M:M,match($A19,'Hitter Stats'!$A:$A,0))-index('2024'!M:M,match($A19,'2024'!$A:$A,0))</f>
        <v>12</v>
      </c>
    </row>
    <row r="20">
      <c r="A20" s="11">
        <f>IFERROR(__xludf.DUMMYFUNCTION("""COMPUTED_VALUE"""),673548.0)</f>
        <v>673548</v>
      </c>
      <c r="B20" s="17" t="str">
        <f t="array" ref="B20">index('Hitter Stats'!B:B,match(A20,'Hitter Stats'!A:A,0))</f>
        <v>Seiya Suzuki</v>
      </c>
      <c r="C20" s="14">
        <f t="array" ref="C20">index('Hitter Stats'!F:F,match($A20,'Hitter Stats'!$A:$A,0))-index('2024'!F:F,match($A20,'2024'!$A:$A,0))</f>
        <v>0.001047093</v>
      </c>
      <c r="D20" s="19">
        <f t="array" ref="D20">index('Hitter Stats'!H:H,match($A20,'Hitter Stats'!$A:$A,0))-index('2024'!H:H,match($A20,'2024'!$A:$A,0))</f>
        <v>-3</v>
      </c>
      <c r="E20" s="19">
        <f t="array" ref="E20">index('Hitter Stats'!K:K,match($A20,'Hitter Stats'!$A:$A,0))-index('2024'!K:K,match($A20,'2024'!$A:$A,0))</f>
        <v>0</v>
      </c>
      <c r="F20" s="19">
        <f t="array" ref="F20">index('Hitter Stats'!L:L,match($A20,'Hitter Stats'!$A:$A,0))-index('2024'!L:L,match($A20,'2024'!$A:$A,0))</f>
        <v>8</v>
      </c>
      <c r="G20" s="19">
        <f t="array" ref="G20">index('Hitter Stats'!M:M,match($A20,'Hitter Stats'!$A:$A,0))-index('2024'!M:M,match($A20,'2024'!$A:$A,0))</f>
        <v>9</v>
      </c>
    </row>
    <row r="21">
      <c r="A21" s="11">
        <f>IFERROR(__xludf.DUMMYFUNCTION("""COMPUTED_VALUE"""),695578.0)</f>
        <v>695578</v>
      </c>
      <c r="B21" s="17" t="str">
        <f t="array" ref="B21">index('Hitter Stats'!B:B,match(A21,'Hitter Stats'!A:A,0))</f>
        <v>James Wood</v>
      </c>
      <c r="C21" s="14">
        <f t="array" ref="C21">index('Hitter Stats'!F:F,match($A21,'Hitter Stats'!$A:$A,0))-index('2024'!F:F,match($A21,'2024'!$A:$A,0))</f>
        <v>-0.000804961</v>
      </c>
      <c r="D21" s="19">
        <f t="array" ref="D21">index('Hitter Stats'!H:H,match($A21,'Hitter Stats'!$A:$A,0))-index('2024'!H:H,match($A21,'2024'!$A:$A,0))</f>
        <v>-1</v>
      </c>
      <c r="E21" s="19">
        <f t="array" ref="E21">index('Hitter Stats'!K:K,match($A21,'Hitter Stats'!$A:$A,0))-index('2024'!K:K,match($A21,'2024'!$A:$A,0))</f>
        <v>-2</v>
      </c>
      <c r="F21" s="19">
        <f t="array" ref="F21">index('Hitter Stats'!L:L,match($A21,'Hitter Stats'!$A:$A,0))-index('2024'!L:L,match($A21,'2024'!$A:$A,0))</f>
        <v>12</v>
      </c>
      <c r="G21" s="19">
        <f t="array" ref="G21">index('Hitter Stats'!M:M,match($A21,'Hitter Stats'!$A:$A,0))-index('2024'!M:M,match($A21,'2024'!$A:$A,0))</f>
        <v>8</v>
      </c>
    </row>
    <row r="22">
      <c r="A22" s="11">
        <f>IFERROR(__xludf.DUMMYFUNCTION("""COMPUTED_VALUE"""),606466.0)</f>
        <v>606466</v>
      </c>
      <c r="B22" s="17" t="str">
        <f t="array" ref="B22">index('Hitter Stats'!B:B,match(A22,'Hitter Stats'!A:A,0))</f>
        <v>Ketel Marte</v>
      </c>
      <c r="C22" s="14">
        <f t="array" ref="C22">index('Hitter Stats'!F:F,match($A22,'Hitter Stats'!$A:$A,0))-index('2024'!F:F,match($A22,'2024'!$A:$A,0))</f>
        <v>-0.018588573</v>
      </c>
      <c r="D22" s="19">
        <f t="array" ref="D22">index('Hitter Stats'!H:H,match($A22,'Hitter Stats'!$A:$A,0))-index('2024'!H:H,match($A22,'2024'!$A:$A,0))</f>
        <v>4</v>
      </c>
      <c r="E22" s="19">
        <f t="array" ref="E22">index('Hitter Stats'!K:K,match($A22,'Hitter Stats'!$A:$A,0))-index('2024'!K:K,match($A22,'2024'!$A:$A,0))</f>
        <v>5</v>
      </c>
      <c r="F22" s="19">
        <f t="array" ref="F22">index('Hitter Stats'!L:L,match($A22,'Hitter Stats'!$A:$A,0))-index('2024'!L:L,match($A22,'2024'!$A:$A,0))</f>
        <v>-6</v>
      </c>
      <c r="G22" s="19">
        <f t="array" ref="G22">index('Hitter Stats'!M:M,match($A22,'Hitter Stats'!$A:$A,0))-index('2024'!M:M,match($A22,'2024'!$A:$A,0))</f>
        <v>-3</v>
      </c>
    </row>
    <row r="23">
      <c r="A23" s="11">
        <f>IFERROR(__xludf.DUMMYFUNCTION("""COMPUTED_VALUE"""),656941.0)</f>
        <v>656941</v>
      </c>
      <c r="B23" s="17" t="str">
        <f t="array" ref="B23">index('Hitter Stats'!B:B,match(A23,'Hitter Stats'!A:A,0))</f>
        <v>Kyle Schwarber</v>
      </c>
      <c r="C23" s="14">
        <f t="array" ref="C23">index('Hitter Stats'!F:F,match($A23,'Hitter Stats'!$A:$A,0))-index('2024'!F:F,match($A23,'2024'!$A:$A,0))</f>
        <v>0.013203541</v>
      </c>
      <c r="D23" s="19">
        <f t="array" ref="D23">index('Hitter Stats'!H:H,match($A23,'Hitter Stats'!$A:$A,0))-index('2024'!H:H,match($A23,'2024'!$A:$A,0))</f>
        <v>-11</v>
      </c>
      <c r="E23" s="19">
        <f t="array" ref="E23">index('Hitter Stats'!K:K,match($A23,'Hitter Stats'!$A:$A,0))-index('2024'!K:K,match($A23,'2024'!$A:$A,0))</f>
        <v>-1</v>
      </c>
      <c r="F23" s="19">
        <f t="array" ref="F23">index('Hitter Stats'!L:L,match($A23,'Hitter Stats'!$A:$A,0))-index('2024'!L:L,match($A23,'2024'!$A:$A,0))</f>
        <v>3</v>
      </c>
      <c r="G23" s="19">
        <f t="array" ref="G23">index('Hitter Stats'!M:M,match($A23,'Hitter Stats'!$A:$A,0))-index('2024'!M:M,match($A23,'2024'!$A:$A,0))</f>
        <v>-4</v>
      </c>
    </row>
    <row r="24">
      <c r="A24" s="11">
        <f>IFERROR(__xludf.DUMMYFUNCTION("""COMPUTED_VALUE"""),666018.0)</f>
        <v>666018</v>
      </c>
      <c r="B24" s="17" t="str">
        <f t="array" ref="B24">index('Hitter Stats'!B:B,match(A24,'Hitter Stats'!A:A,0))</f>
        <v>Jonathan Aranda</v>
      </c>
      <c r="C24" s="14">
        <f t="array" ref="C24">index('Hitter Stats'!F:F,match($A24,'Hitter Stats'!$A:$A,0))-index('2024'!F:F,match($A24,'2024'!$A:$A,0))</f>
        <v>0.026588921</v>
      </c>
      <c r="D24" s="19">
        <f t="array" ref="D24">index('Hitter Stats'!H:H,match($A24,'Hitter Stats'!$A:$A,0))-index('2024'!H:H,match($A24,'2024'!$A:$A,0))</f>
        <v>-5</v>
      </c>
      <c r="E24" s="19">
        <f t="array" ref="E24">index('Hitter Stats'!K:K,match($A24,'Hitter Stats'!$A:$A,0))-index('2024'!K:K,match($A24,'2024'!$A:$A,0))</f>
        <v>-12</v>
      </c>
      <c r="F24" s="19">
        <f t="array" ref="F24">index('Hitter Stats'!L:L,match($A24,'Hitter Stats'!$A:$A,0))-index('2024'!L:L,match($A24,'2024'!$A:$A,0))</f>
        <v>1</v>
      </c>
      <c r="G24" s="19">
        <f t="array" ref="G24">index('Hitter Stats'!M:M,match($A24,'Hitter Stats'!$A:$A,0))-index('2024'!M:M,match($A24,'2024'!$A:$A,0))</f>
        <v>-10</v>
      </c>
    </row>
    <row r="25">
      <c r="A25" s="11">
        <f>IFERROR(__xludf.DUMMYFUNCTION("""COMPUTED_VALUE"""),671056.0)</f>
        <v>671056</v>
      </c>
      <c r="B25" s="17" t="str">
        <f t="array" ref="B25">index('Hitter Stats'!B:B,match(A25,'Hitter Stats'!A:A,0))</f>
        <v>Iván Herrera</v>
      </c>
      <c r="C25" s="14">
        <f t="array" ref="C25">index('Hitter Stats'!F:F,match($A25,'Hitter Stats'!$A:$A,0))-index('2024'!F:F,match($A25,'2024'!$A:$A,0))</f>
        <v>0.020028815</v>
      </c>
      <c r="D25" s="19">
        <f t="array" ref="D25">index('Hitter Stats'!H:H,match($A25,'Hitter Stats'!$A:$A,0))-index('2024'!H:H,match($A25,'2024'!$A:$A,0))</f>
        <v>20</v>
      </c>
      <c r="E25" s="19">
        <f t="array" ref="E25">index('Hitter Stats'!K:K,match($A25,'Hitter Stats'!$A:$A,0))-index('2024'!K:K,match($A25,'2024'!$A:$A,0))</f>
        <v>5</v>
      </c>
      <c r="F25" s="19">
        <f t="array" ref="F25">index('Hitter Stats'!L:L,match($A25,'Hitter Stats'!$A:$A,0))-index('2024'!L:L,match($A25,'2024'!$A:$A,0))</f>
        <v>-9</v>
      </c>
      <c r="G25" s="19">
        <f t="array" ref="G25">index('Hitter Stats'!M:M,match($A25,'Hitter Stats'!$A:$A,0))-index('2024'!M:M,match($A25,'2024'!$A:$A,0))</f>
        <v>2</v>
      </c>
    </row>
    <row r="26">
      <c r="A26" s="11">
        <f>IFERROR(__xludf.DUMMYFUNCTION("""COMPUTED_VALUE"""),571970.0)</f>
        <v>571970</v>
      </c>
      <c r="B26" s="17" t="str">
        <f t="array" ref="B26">index('Hitter Stats'!B:B,match(A26,'Hitter Stats'!A:A,0))</f>
        <v>Max Muncy</v>
      </c>
      <c r="C26" s="14">
        <f t="array" ref="C26">index('Hitter Stats'!F:F,match($A26,'Hitter Stats'!$A:$A,0))-index('2024'!F:F,match($A26,'2024'!$A:$A,0))</f>
        <v>0.015300497</v>
      </c>
      <c r="D26" s="19">
        <f t="array" ref="D26">index('Hitter Stats'!H:H,match($A26,'Hitter Stats'!$A:$A,0))-index('2024'!H:H,match($A26,'2024'!$A:$A,0))</f>
        <v>6</v>
      </c>
      <c r="E26" s="19">
        <f t="array" ref="E26">index('Hitter Stats'!K:K,match($A26,'Hitter Stats'!$A:$A,0))-index('2024'!K:K,match($A26,'2024'!$A:$A,0))</f>
        <v>12</v>
      </c>
      <c r="F26" s="19">
        <f t="array" ref="F26">index('Hitter Stats'!L:L,match($A26,'Hitter Stats'!$A:$A,0))-index('2024'!L:L,match($A26,'2024'!$A:$A,0))</f>
        <v>-2</v>
      </c>
      <c r="G26" s="19">
        <f t="array" ref="G26">index('Hitter Stats'!M:M,match($A26,'Hitter Stats'!$A:$A,0))-index('2024'!M:M,match($A26,'2024'!$A:$A,0))</f>
        <v>7</v>
      </c>
    </row>
    <row r="27">
      <c r="A27" s="11">
        <f>IFERROR(__xludf.DUMMYFUNCTION("""COMPUTED_VALUE"""),677951.0)</f>
        <v>677951</v>
      </c>
      <c r="B27" s="17" t="str">
        <f t="array" ref="B27">index('Hitter Stats'!B:B,match(A27,'Hitter Stats'!A:A,0))</f>
        <v>Bobby Witt Jr.</v>
      </c>
      <c r="C27" s="14">
        <f t="array" ref="C27">index('Hitter Stats'!F:F,match($A27,'Hitter Stats'!$A:$A,0))-index('2024'!F:F,match($A27,'2024'!$A:$A,0))</f>
        <v>-0.008316233</v>
      </c>
      <c r="D27" s="19">
        <f t="array" ref="D27">index('Hitter Stats'!H:H,match($A27,'Hitter Stats'!$A:$A,0))-index('2024'!H:H,match($A27,'2024'!$A:$A,0))</f>
        <v>7</v>
      </c>
      <c r="E27" s="19">
        <f t="array" ref="E27">index('Hitter Stats'!K:K,match($A27,'Hitter Stats'!$A:$A,0))-index('2024'!K:K,match($A27,'2024'!$A:$A,0))</f>
        <v>-9</v>
      </c>
      <c r="F27" s="19">
        <f t="array" ref="F27">index('Hitter Stats'!L:L,match($A27,'Hitter Stats'!$A:$A,0))-index('2024'!L:L,match($A27,'2024'!$A:$A,0))</f>
        <v>-12</v>
      </c>
      <c r="G27" s="19">
        <f t="array" ref="G27">index('Hitter Stats'!M:M,match($A27,'Hitter Stats'!$A:$A,0))-index('2024'!M:M,match($A27,'2024'!$A:$A,0))</f>
        <v>-17</v>
      </c>
    </row>
    <row r="28">
      <c r="A28" s="11">
        <f>IFERROR(__xludf.DUMMYFUNCTION("""COMPUTED_VALUE"""),575929.0)</f>
        <v>575929</v>
      </c>
      <c r="B28" s="17" t="str">
        <f t="array" ref="B28">index('Hitter Stats'!B:B,match(A28,'Hitter Stats'!A:A,0))</f>
        <v>Willson Contreras</v>
      </c>
      <c r="C28" s="14">
        <f t="array" ref="C28">index('Hitter Stats'!F:F,match($A28,'Hitter Stats'!$A:$A,0))-index('2024'!F:F,match($A28,'2024'!$A:$A,0))</f>
        <v>-0.007183713</v>
      </c>
      <c r="D28" s="19">
        <f t="array" ref="D28">index('Hitter Stats'!H:H,match($A28,'Hitter Stats'!$A:$A,0))-index('2024'!H:H,match($A28,'2024'!$A:$A,0))</f>
        <v>1</v>
      </c>
      <c r="E28" s="19">
        <f t="array" ref="E28">index('Hitter Stats'!K:K,match($A28,'Hitter Stats'!$A:$A,0))-index('2024'!K:K,match($A28,'2024'!$A:$A,0))</f>
        <v>3</v>
      </c>
      <c r="F28" s="19">
        <f t="array" ref="F28">index('Hitter Stats'!L:L,match($A28,'Hitter Stats'!$A:$A,0))-index('2024'!L:L,match($A28,'2024'!$A:$A,0))</f>
        <v>2</v>
      </c>
      <c r="G28" s="19">
        <f t="array" ref="G28">index('Hitter Stats'!M:M,match($A28,'Hitter Stats'!$A:$A,0))-index('2024'!M:M,match($A28,'2024'!$A:$A,0))</f>
        <v>8</v>
      </c>
    </row>
    <row r="29">
      <c r="A29" s="11">
        <f>IFERROR(__xludf.DUMMYFUNCTION("""COMPUTED_VALUE"""),665487.0)</f>
        <v>665487</v>
      </c>
      <c r="B29" s="17" t="str">
        <f t="array" ref="B29">index('Hitter Stats'!B:B,match(A29,'Hitter Stats'!A:A,0))</f>
        <v>Fernando Tatis Jr.</v>
      </c>
      <c r="C29" s="14">
        <f t="array" ref="C29">index('Hitter Stats'!F:F,match($A29,'Hitter Stats'!$A:$A,0))-index('2024'!F:F,match($A29,'2024'!$A:$A,0))</f>
        <v>-0.014232739</v>
      </c>
      <c r="D29" s="19">
        <f t="array" ref="D29">index('Hitter Stats'!H:H,match($A29,'Hitter Stats'!$A:$A,0))-index('2024'!H:H,match($A29,'2024'!$A:$A,0))</f>
        <v>1</v>
      </c>
      <c r="E29" s="19">
        <f t="array" ref="E29">index('Hitter Stats'!K:K,match($A29,'Hitter Stats'!$A:$A,0))-index('2024'!K:K,match($A29,'2024'!$A:$A,0))</f>
        <v>5</v>
      </c>
      <c r="F29" s="19">
        <f t="array" ref="F29">index('Hitter Stats'!L:L,match($A29,'Hitter Stats'!$A:$A,0))-index('2024'!L:L,match($A29,'2024'!$A:$A,0))</f>
        <v>-16</v>
      </c>
      <c r="G29" s="19">
        <f t="array" ref="G29">index('Hitter Stats'!M:M,match($A29,'Hitter Stats'!$A:$A,0))-index('2024'!M:M,match($A29,'2024'!$A:$A,0))</f>
        <v>-16</v>
      </c>
    </row>
    <row r="30">
      <c r="A30" s="11">
        <f>IFERROR(__xludf.DUMMYFUNCTION("""COMPUTED_VALUE"""),667670.0)</f>
        <v>667670</v>
      </c>
      <c r="B30" s="17" t="str">
        <f t="array" ref="B30">index('Hitter Stats'!B:B,match(A30,'Hitter Stats'!A:A,0))</f>
        <v>Brent Rooker</v>
      </c>
      <c r="C30" s="14">
        <f t="array" ref="C30">index('Hitter Stats'!F:F,match($A30,'Hitter Stats'!$A:$A,0))-index('2024'!F:F,match($A30,'2024'!$A:$A,0))</f>
        <v>0.006732989</v>
      </c>
      <c r="D30" s="19">
        <f t="array" ref="D30">index('Hitter Stats'!H:H,match($A30,'Hitter Stats'!$A:$A,0))-index('2024'!H:H,match($A30,'2024'!$A:$A,0))</f>
        <v>14</v>
      </c>
      <c r="E30" s="19">
        <f t="array" ref="E30">index('Hitter Stats'!K:K,match($A30,'Hitter Stats'!$A:$A,0))-index('2024'!K:K,match($A30,'2024'!$A:$A,0))</f>
        <v>6</v>
      </c>
      <c r="F30" s="19">
        <f t="array" ref="F30">index('Hitter Stats'!L:L,match($A30,'Hitter Stats'!$A:$A,0))-index('2024'!L:L,match($A30,'2024'!$A:$A,0))</f>
        <v>-26</v>
      </c>
      <c r="G30" s="19">
        <f t="array" ref="G30">index('Hitter Stats'!M:M,match($A30,'Hitter Stats'!$A:$A,0))-index('2024'!M:M,match($A30,'2024'!$A:$A,0))</f>
        <v>-10</v>
      </c>
    </row>
    <row r="31">
      <c r="A31" s="11">
        <f>IFERROR(__xludf.DUMMYFUNCTION("""COMPUTED_VALUE"""),666182.0)</f>
        <v>666182</v>
      </c>
      <c r="B31" s="17" t="str">
        <f t="array" ref="B31">index('Hitter Stats'!B:B,match(A31,'Hitter Stats'!A:A,0))</f>
        <v>Bo Bichette</v>
      </c>
      <c r="C31" s="14">
        <f t="array" ref="C31">index('Hitter Stats'!F:F,match($A31,'Hitter Stats'!$A:$A,0))-index('2024'!F:F,match($A31,'2024'!$A:$A,0))</f>
        <v>-0.032500578</v>
      </c>
      <c r="D31" s="19">
        <f t="array" ref="D31">index('Hitter Stats'!H:H,match($A31,'Hitter Stats'!$A:$A,0))-index('2024'!H:H,match($A31,'2024'!$A:$A,0))</f>
        <v>-1</v>
      </c>
      <c r="E31" s="19">
        <f t="array" ref="E31">index('Hitter Stats'!K:K,match($A31,'Hitter Stats'!$A:$A,0))-index('2024'!K:K,match($A31,'2024'!$A:$A,0))</f>
        <v>-1</v>
      </c>
      <c r="F31" s="19">
        <f t="array" ref="F31">index('Hitter Stats'!L:L,match($A31,'Hitter Stats'!$A:$A,0))-index('2024'!L:L,match($A31,'2024'!$A:$A,0))</f>
        <v>19</v>
      </c>
      <c r="G31" s="19">
        <f t="array" ref="G31">index('Hitter Stats'!M:M,match($A31,'Hitter Stats'!$A:$A,0))-index('2024'!M:M,match($A31,'2024'!$A:$A,0))</f>
        <v>23</v>
      </c>
    </row>
    <row r="32">
      <c r="A32" s="11">
        <f>IFERROR(__xludf.DUMMYFUNCTION("""COMPUTED_VALUE"""),682998.0)</f>
        <v>682998</v>
      </c>
      <c r="B32" s="17" t="str">
        <f t="array" ref="B32">index('Hitter Stats'!B:B,match(A32,'Hitter Stats'!A:A,0))</f>
        <v>Corbin Carroll</v>
      </c>
      <c r="C32" s="14">
        <f t="array" ref="C32">index('Hitter Stats'!F:F,match($A32,'Hitter Stats'!$A:$A,0))-index('2024'!F:F,match($A32,'2024'!$A:$A,0))</f>
        <v>0.054026817</v>
      </c>
      <c r="D32" s="19">
        <f t="array" ref="D32">index('Hitter Stats'!H:H,match($A32,'Hitter Stats'!$A:$A,0))-index('2024'!H:H,match($A32,'2024'!$A:$A,0))</f>
        <v>-11</v>
      </c>
      <c r="E32" s="19">
        <f t="array" ref="E32">index('Hitter Stats'!K:K,match($A32,'Hitter Stats'!$A:$A,0))-index('2024'!K:K,match($A32,'2024'!$A:$A,0))</f>
        <v>-16</v>
      </c>
      <c r="F32" s="19">
        <f t="array" ref="F32">index('Hitter Stats'!L:L,match($A32,'Hitter Stats'!$A:$A,0))-index('2024'!L:L,match($A32,'2024'!$A:$A,0))</f>
        <v>31</v>
      </c>
      <c r="G32" s="19">
        <f t="array" ref="G32">index('Hitter Stats'!M:M,match($A32,'Hitter Stats'!$A:$A,0))-index('2024'!M:M,match($A32,'2024'!$A:$A,0))</f>
        <v>18</v>
      </c>
    </row>
    <row r="33">
      <c r="A33" s="11">
        <f>IFERROR(__xludf.DUMMYFUNCTION("""COMPUTED_VALUE"""),679529.0)</f>
        <v>679529</v>
      </c>
      <c r="B33" s="17" t="str">
        <f t="array" ref="B33">index('Hitter Stats'!B:B,match(A33,'Hitter Stats'!A:A,0))</f>
        <v>Spencer Torkelson</v>
      </c>
      <c r="C33" s="14">
        <f t="array" ref="C33">index('Hitter Stats'!F:F,match($A33,'Hitter Stats'!$A:$A,0))-index('2024'!F:F,match($A33,'2024'!$A:$A,0))</f>
        <v>-0.019630059</v>
      </c>
      <c r="D33" s="19">
        <f t="array" ref="D33">index('Hitter Stats'!H:H,match($A33,'Hitter Stats'!$A:$A,0))-index('2024'!H:H,match($A33,'2024'!$A:$A,0))</f>
        <v>19</v>
      </c>
      <c r="E33" s="19">
        <f t="array" ref="E33">index('Hitter Stats'!K:K,match($A33,'Hitter Stats'!$A:$A,0))-index('2024'!K:K,match($A33,'2024'!$A:$A,0))</f>
        <v>-1</v>
      </c>
      <c r="F33" s="19">
        <f t="array" ref="F33">index('Hitter Stats'!L:L,match($A33,'Hitter Stats'!$A:$A,0))-index('2024'!L:L,match($A33,'2024'!$A:$A,0))</f>
        <v>20</v>
      </c>
      <c r="G33" s="19">
        <f t="array" ref="G33">index('Hitter Stats'!M:M,match($A33,'Hitter Stats'!$A:$A,0))-index('2024'!M:M,match($A33,'2024'!$A:$A,0))</f>
        <v>25</v>
      </c>
    </row>
    <row r="34">
      <c r="A34" s="11">
        <f>IFERROR(__xludf.DUMMYFUNCTION("""COMPUTED_VALUE"""),596103.0)</f>
        <v>596103</v>
      </c>
      <c r="B34" s="17" t="str">
        <f t="array" ref="B34">index('Hitter Stats'!B:B,match(A34,'Hitter Stats'!A:A,0))</f>
        <v>Austin Slater</v>
      </c>
      <c r="C34" s="14">
        <f t="array" ref="C34">index('Hitter Stats'!F:F,match($A34,'Hitter Stats'!$A:$A,0))-index('2024'!F:F,match($A34,'2024'!$A:$A,0))</f>
        <v>0.029495083</v>
      </c>
      <c r="D34" s="19">
        <f t="array" ref="D34">index('Hitter Stats'!H:H,match($A34,'Hitter Stats'!$A:$A,0))-index('2024'!H:H,match($A34,'2024'!$A:$A,0))</f>
        <v>-5</v>
      </c>
      <c r="E34" s="19">
        <f t="array" ref="E34">index('Hitter Stats'!K:K,match($A34,'Hitter Stats'!$A:$A,0))-index('2024'!K:K,match($A34,'2024'!$A:$A,0))</f>
        <v>6</v>
      </c>
      <c r="F34" s="19">
        <f t="array" ref="F34">index('Hitter Stats'!L:L,match($A34,'Hitter Stats'!$A:$A,0))-index('2024'!L:L,match($A34,'2024'!$A:$A,0))</f>
        <v>29</v>
      </c>
      <c r="G34" s="19">
        <f t="array" ref="G34">index('Hitter Stats'!M:M,match($A34,'Hitter Stats'!$A:$A,0))-index('2024'!M:M,match($A34,'2024'!$A:$A,0))</f>
        <v>25</v>
      </c>
    </row>
    <row r="35">
      <c r="A35" s="11">
        <f>IFERROR(__xludf.DUMMYFUNCTION("""COMPUTED_VALUE"""),621566.0)</f>
        <v>621566</v>
      </c>
      <c r="B35" s="17" t="str">
        <f t="array" ref="B35">index('Hitter Stats'!B:B,match(A35,'Hitter Stats'!A:A,0))</f>
        <v>Matt Olson</v>
      </c>
      <c r="C35" s="14">
        <f t="array" ref="C35">index('Hitter Stats'!F:F,match($A35,'Hitter Stats'!$A:$A,0))-index('2024'!F:F,match($A35,'2024'!$A:$A,0))</f>
        <v>-0.060673735</v>
      </c>
      <c r="D35" s="19">
        <f t="array" ref="D35">index('Hitter Stats'!H:H,match($A35,'Hitter Stats'!$A:$A,0))-index('2024'!H:H,match($A35,'2024'!$A:$A,0))</f>
        <v>14</v>
      </c>
      <c r="E35" s="19">
        <f t="array" ref="E35">index('Hitter Stats'!K:K,match($A35,'Hitter Stats'!$A:$A,0))-index('2024'!K:K,match($A35,'2024'!$A:$A,0))</f>
        <v>4</v>
      </c>
      <c r="F35" s="19">
        <f t="array" ref="F35">index('Hitter Stats'!L:L,match($A35,'Hitter Stats'!$A:$A,0))-index('2024'!L:L,match($A35,'2024'!$A:$A,0))</f>
        <v>6</v>
      </c>
      <c r="G35" s="19">
        <f t="array" ref="G35">index('Hitter Stats'!M:M,match($A35,'Hitter Stats'!$A:$A,0))-index('2024'!M:M,match($A35,'2024'!$A:$A,0))</f>
        <v>14</v>
      </c>
    </row>
    <row r="36">
      <c r="A36" s="11">
        <f>IFERROR(__xludf.DUMMYFUNCTION("""COMPUTED_VALUE"""),687263.0)</f>
        <v>687263</v>
      </c>
      <c r="B36" s="17" t="str">
        <f t="array" ref="B36">index('Hitter Stats'!B:B,match(A36,'Hitter Stats'!A:A,0))</f>
        <v>Zach Neto</v>
      </c>
      <c r="C36" s="14">
        <f t="array" ref="C36">index('Hitter Stats'!F:F,match($A36,'Hitter Stats'!$A:$A,0))-index('2024'!F:F,match($A36,'2024'!$A:$A,0))</f>
        <v>-0.017755833</v>
      </c>
      <c r="D36" s="19">
        <f t="array" ref="D36">index('Hitter Stats'!H:H,match($A36,'Hitter Stats'!$A:$A,0))-index('2024'!H:H,match($A36,'2024'!$A:$A,0))</f>
        <v>9</v>
      </c>
      <c r="E36" s="19">
        <f t="array" ref="E36">index('Hitter Stats'!K:K,match($A36,'Hitter Stats'!$A:$A,0))-index('2024'!K:K,match($A36,'2024'!$A:$A,0))</f>
        <v>-12</v>
      </c>
      <c r="F36" s="19">
        <f t="array" ref="F36">index('Hitter Stats'!L:L,match($A36,'Hitter Stats'!$A:$A,0))-index('2024'!L:L,match($A36,'2024'!$A:$A,0))</f>
        <v>18</v>
      </c>
      <c r="G36" s="19">
        <f t="array" ref="G36">index('Hitter Stats'!M:M,match($A36,'Hitter Stats'!$A:$A,0))-index('2024'!M:M,match($A36,'2024'!$A:$A,0))</f>
        <v>17</v>
      </c>
    </row>
    <row r="37">
      <c r="A37" s="11">
        <f>IFERROR(__xludf.DUMMYFUNCTION("""COMPUTED_VALUE"""),663757.0)</f>
        <v>663757</v>
      </c>
      <c r="B37" s="17" t="str">
        <f t="array" ref="B37">index('Hitter Stats'!B:B,match(A37,'Hitter Stats'!A:A,0))</f>
        <v>Trent Grisham</v>
      </c>
      <c r="C37" s="14">
        <f t="array" ref="C37">index('Hitter Stats'!F:F,match($A37,'Hitter Stats'!$A:$A,0))-index('2024'!F:F,match($A37,'2024'!$A:$A,0))</f>
        <v>0.030526452</v>
      </c>
      <c r="D37" s="19">
        <f t="array" ref="D37">index('Hitter Stats'!H:H,match($A37,'Hitter Stats'!$A:$A,0))-index('2024'!H:H,match($A37,'2024'!$A:$A,0))</f>
        <v>-2</v>
      </c>
      <c r="E37" s="19">
        <f t="array" ref="E37">index('Hitter Stats'!K:K,match($A37,'Hitter Stats'!$A:$A,0))-index('2024'!K:K,match($A37,'2024'!$A:$A,0))</f>
        <v>-3</v>
      </c>
      <c r="F37" s="19">
        <f t="array" ref="F37">index('Hitter Stats'!L:L,match($A37,'Hitter Stats'!$A:$A,0))-index('2024'!L:L,match($A37,'2024'!$A:$A,0))</f>
        <v>27</v>
      </c>
      <c r="G37" s="19">
        <f t="array" ref="G37">index('Hitter Stats'!M:M,match($A37,'Hitter Stats'!$A:$A,0))-index('2024'!M:M,match($A37,'2024'!$A:$A,0))</f>
        <v>19</v>
      </c>
    </row>
    <row r="38">
      <c r="A38" s="11">
        <f>IFERROR(__xludf.DUMMYFUNCTION("""COMPUTED_VALUE"""),669065.0)</f>
        <v>669065</v>
      </c>
      <c r="B38" s="17" t="str">
        <f t="array" ref="B38">index('Hitter Stats'!B:B,match(A38,'Hitter Stats'!A:A,0))</f>
        <v>Kyle Stowers</v>
      </c>
      <c r="C38" s="14">
        <f t="array" ref="C38">index('Hitter Stats'!F:F,match($A38,'Hitter Stats'!$A:$A,0))-index('2024'!F:F,match($A38,'2024'!$A:$A,0))</f>
        <v>-0.020521337</v>
      </c>
      <c r="D38" s="19">
        <f t="array" ref="D38">index('Hitter Stats'!H:H,match($A38,'Hitter Stats'!$A:$A,0))-index('2024'!H:H,match($A38,'2024'!$A:$A,0))</f>
        <v>15</v>
      </c>
      <c r="E38" s="19">
        <f t="array" ref="E38">index('Hitter Stats'!K:K,match($A38,'Hitter Stats'!$A:$A,0))-index('2024'!K:K,match($A38,'2024'!$A:$A,0))</f>
        <v>1</v>
      </c>
      <c r="F38" s="19">
        <f t="array" ref="F38">index('Hitter Stats'!L:L,match($A38,'Hitter Stats'!$A:$A,0))-index('2024'!L:L,match($A38,'2024'!$A:$A,0))</f>
        <v>11</v>
      </c>
      <c r="G38" s="19">
        <f t="array" ref="G38">index('Hitter Stats'!M:M,match($A38,'Hitter Stats'!$A:$A,0))-index('2024'!M:M,match($A38,'2024'!$A:$A,0))</f>
        <v>22</v>
      </c>
    </row>
    <row r="39">
      <c r="A39" s="11">
        <f>IFERROR(__xludf.DUMMYFUNCTION("""COMPUTED_VALUE"""),621439.0)</f>
        <v>621439</v>
      </c>
      <c r="B39" s="17" t="str">
        <f t="array" ref="B39">index('Hitter Stats'!B:B,match(A39,'Hitter Stats'!A:A,0))</f>
        <v>Byron Buxton</v>
      </c>
      <c r="C39" s="14">
        <f t="array" ref="C39">index('Hitter Stats'!F:F,match($A39,'Hitter Stats'!$A:$A,0))-index('2024'!F:F,match($A39,'2024'!$A:$A,0))</f>
        <v>-0.055438285</v>
      </c>
      <c r="D39" s="19">
        <f t="array" ref="D39">index('Hitter Stats'!H:H,match($A39,'Hitter Stats'!$A:$A,0))-index('2024'!H:H,match($A39,'2024'!$A:$A,0))</f>
        <v>12</v>
      </c>
      <c r="E39" s="19">
        <f t="array" ref="E39">index('Hitter Stats'!K:K,match($A39,'Hitter Stats'!$A:$A,0))-index('2024'!K:K,match($A39,'2024'!$A:$A,0))</f>
        <v>-2</v>
      </c>
      <c r="F39" s="19">
        <f t="array" ref="F39">index('Hitter Stats'!L:L,match($A39,'Hitter Stats'!$A:$A,0))-index('2024'!L:L,match($A39,'2024'!$A:$A,0))</f>
        <v>0</v>
      </c>
      <c r="G39" s="19">
        <f t="array" ref="G39">index('Hitter Stats'!M:M,match($A39,'Hitter Stats'!$A:$A,0))-index('2024'!M:M,match($A39,'2024'!$A:$A,0))</f>
        <v>6</v>
      </c>
    </row>
    <row r="40">
      <c r="A40" s="11">
        <f>IFERROR(__xludf.DUMMYFUNCTION("""COMPUTED_VALUE"""),542303.0)</f>
        <v>542303</v>
      </c>
      <c r="B40" s="17" t="str">
        <f t="array" ref="B40">index('Hitter Stats'!B:B,match(A40,'Hitter Stats'!A:A,0))</f>
        <v>Marcell Ozuna</v>
      </c>
      <c r="C40" s="14">
        <f t="array" ref="C40">index('Hitter Stats'!F:F,match($A40,'Hitter Stats'!$A:$A,0))-index('2024'!F:F,match($A40,'2024'!$A:$A,0))</f>
        <v>-0.087410177</v>
      </c>
      <c r="D40" s="19">
        <f t="array" ref="D40">index('Hitter Stats'!H:H,match($A40,'Hitter Stats'!$A:$A,0))-index('2024'!H:H,match($A40,'2024'!$A:$A,0))</f>
        <v>16</v>
      </c>
      <c r="E40" s="19">
        <f t="array" ref="E40">index('Hitter Stats'!K:K,match($A40,'Hitter Stats'!$A:$A,0))-index('2024'!K:K,match($A40,'2024'!$A:$A,0))</f>
        <v>7</v>
      </c>
      <c r="F40" s="19">
        <f t="array" ref="F40">index('Hitter Stats'!L:L,match($A40,'Hitter Stats'!$A:$A,0))-index('2024'!L:L,match($A40,'2024'!$A:$A,0))</f>
        <v>-29</v>
      </c>
      <c r="G40" s="19">
        <f t="array" ref="G40">index('Hitter Stats'!M:M,match($A40,'Hitter Stats'!$A:$A,0))-index('2024'!M:M,match($A40,'2024'!$A:$A,0))</f>
        <v>-17</v>
      </c>
    </row>
    <row r="41">
      <c r="A41" s="11">
        <f>IFERROR(__xludf.DUMMYFUNCTION("""COMPUTED_VALUE"""),680977.0)</f>
        <v>680977</v>
      </c>
      <c r="B41" s="17" t="str">
        <f t="array" ref="B41">index('Hitter Stats'!B:B,match(A41,'Hitter Stats'!A:A,0))</f>
        <v>Brendan Donovan</v>
      </c>
      <c r="C41" s="14">
        <f t="array" ref="C41">index('Hitter Stats'!F:F,match($A41,'Hitter Stats'!$A:$A,0))-index('2024'!F:F,match($A41,'2024'!$A:$A,0))</f>
        <v>-0.015886846</v>
      </c>
      <c r="D41" s="19">
        <f t="array" ref="D41">index('Hitter Stats'!H:H,match($A41,'Hitter Stats'!$A:$A,0))-index('2024'!H:H,match($A41,'2024'!$A:$A,0))</f>
        <v>6</v>
      </c>
      <c r="E41" s="19">
        <f t="array" ref="E41">index('Hitter Stats'!K:K,match($A41,'Hitter Stats'!$A:$A,0))-index('2024'!K:K,match($A41,'2024'!$A:$A,0))</f>
        <v>1</v>
      </c>
      <c r="F41" s="19">
        <f t="array" ref="F41">index('Hitter Stats'!L:L,match($A41,'Hitter Stats'!$A:$A,0))-index('2024'!L:L,match($A41,'2024'!$A:$A,0))</f>
        <v>6</v>
      </c>
      <c r="G41" s="19">
        <f t="array" ref="G41">index('Hitter Stats'!M:M,match($A41,'Hitter Stats'!$A:$A,0))-index('2024'!M:M,match($A41,'2024'!$A:$A,0))</f>
        <v>10</v>
      </c>
    </row>
    <row r="42">
      <c r="A42" s="11">
        <f>IFERROR(__xludf.DUMMYFUNCTION("""COMPUTED_VALUE"""),690993.0)</f>
        <v>690993</v>
      </c>
      <c r="B42" s="17" t="str">
        <f t="array" ref="B42">index('Hitter Stats'!B:B,match(A42,'Hitter Stats'!A:A,0))</f>
        <v>Colt Keith</v>
      </c>
      <c r="C42" s="14">
        <f t="array" ref="C42">index('Hitter Stats'!F:F,match($A42,'Hitter Stats'!$A:$A,0))-index('2024'!F:F,match($A42,'2024'!$A:$A,0))</f>
        <v>-0.054632181</v>
      </c>
      <c r="D42" s="19">
        <f t="array" ref="D42">index('Hitter Stats'!H:H,match($A42,'Hitter Stats'!$A:$A,0))-index('2024'!H:H,match($A42,'2024'!$A:$A,0))</f>
        <v>16</v>
      </c>
      <c r="E42" s="19">
        <f t="array" ref="E42">index('Hitter Stats'!K:K,match($A42,'Hitter Stats'!$A:$A,0))-index('2024'!K:K,match($A42,'2024'!$A:$A,0))</f>
        <v>-7</v>
      </c>
      <c r="F42" s="19">
        <f t="array" ref="F42">index('Hitter Stats'!L:L,match($A42,'Hitter Stats'!$A:$A,0))-index('2024'!L:L,match($A42,'2024'!$A:$A,0))</f>
        <v>12</v>
      </c>
      <c r="G42" s="19">
        <f t="array" ref="G42">index('Hitter Stats'!M:M,match($A42,'Hitter Stats'!$A:$A,0))-index('2024'!M:M,match($A42,'2024'!$A:$A,0))</f>
        <v>16</v>
      </c>
    </row>
    <row r="43">
      <c r="A43" s="11">
        <f>IFERROR(__xludf.DUMMYFUNCTION("""COMPUTED_VALUE"""),547180.0)</f>
        <v>547180</v>
      </c>
      <c r="B43" s="17" t="str">
        <f t="array" ref="B43">index('Hitter Stats'!B:B,match(A43,'Hitter Stats'!A:A,0))</f>
        <v>Bryce Harper</v>
      </c>
      <c r="C43" s="14">
        <f t="array" ref="C43">index('Hitter Stats'!F:F,match($A43,'Hitter Stats'!$A:$A,0))-index('2024'!F:F,match($A43,'2024'!$A:$A,0))</f>
        <v>-0.003905561</v>
      </c>
      <c r="D43" s="19">
        <f t="array" ref="D43">index('Hitter Stats'!H:H,match($A43,'Hitter Stats'!$A:$A,0))-index('2024'!H:H,match($A43,'2024'!$A:$A,0))</f>
        <v>-8</v>
      </c>
      <c r="E43" s="19">
        <f t="array" ref="E43">index('Hitter Stats'!K:K,match($A43,'Hitter Stats'!$A:$A,0))-index('2024'!K:K,match($A43,'2024'!$A:$A,0))</f>
        <v>6</v>
      </c>
      <c r="F43" s="19">
        <f t="array" ref="F43">index('Hitter Stats'!L:L,match($A43,'Hitter Stats'!$A:$A,0))-index('2024'!L:L,match($A43,'2024'!$A:$A,0))</f>
        <v>4</v>
      </c>
      <c r="G43" s="19">
        <f t="array" ref="G43">index('Hitter Stats'!M:M,match($A43,'Hitter Stats'!$A:$A,0))-index('2024'!M:M,match($A43,'2024'!$A:$A,0))</f>
        <v>6</v>
      </c>
    </row>
    <row r="44">
      <c r="A44" s="11">
        <f>IFERROR(__xludf.DUMMYFUNCTION("""COMPUTED_VALUE"""),620443.0)</f>
        <v>620443</v>
      </c>
      <c r="B44" s="17" t="str">
        <f t="array" ref="B44">index('Hitter Stats'!B:B,match(A44,'Hitter Stats'!A:A,0))</f>
        <v>Luis Torrens</v>
      </c>
      <c r="C44" s="14">
        <f t="array" ref="C44">index('Hitter Stats'!F:F,match($A44,'Hitter Stats'!$A:$A,0))-index('2024'!F:F,match($A44,'2024'!$A:$A,0))</f>
        <v>0.004697613</v>
      </c>
      <c r="D44" s="19">
        <f t="array" ref="D44">index('Hitter Stats'!H:H,match($A44,'Hitter Stats'!$A:$A,0))-index('2024'!H:H,match($A44,'2024'!$A:$A,0))</f>
        <v>6</v>
      </c>
      <c r="E44" s="19">
        <f t="array" ref="E44">index('Hitter Stats'!K:K,match($A44,'Hitter Stats'!$A:$A,0))-index('2024'!K:K,match($A44,'2024'!$A:$A,0))</f>
        <v>-13</v>
      </c>
      <c r="F44" s="19">
        <f t="array" ref="F44">index('Hitter Stats'!L:L,match($A44,'Hitter Stats'!$A:$A,0))-index('2024'!L:L,match($A44,'2024'!$A:$A,0))</f>
        <v>13</v>
      </c>
      <c r="G44" s="19">
        <f t="array" ref="G44">index('Hitter Stats'!M:M,match($A44,'Hitter Stats'!$A:$A,0))-index('2024'!M:M,match($A44,'2024'!$A:$A,0))</f>
        <v>9</v>
      </c>
    </row>
    <row r="45">
      <c r="A45" s="11">
        <f>IFERROR(__xludf.DUMMYFUNCTION("""COMPUTED_VALUE"""),663656.0)</f>
        <v>663656</v>
      </c>
      <c r="B45" s="17" t="str">
        <f t="array" ref="B45">index('Hitter Stats'!B:B,match(A45,'Hitter Stats'!A:A,0))</f>
        <v>Kyle Tucker</v>
      </c>
      <c r="C45" s="14">
        <f t="array" ref="C45">index('Hitter Stats'!F:F,match($A45,'Hitter Stats'!$A:$A,0))-index('2024'!F:F,match($A45,'2024'!$A:$A,0))</f>
        <v>0.023376956</v>
      </c>
      <c r="D45" s="19">
        <f t="array" ref="D45">index('Hitter Stats'!H:H,match($A45,'Hitter Stats'!$A:$A,0))-index('2024'!H:H,match($A45,'2024'!$A:$A,0))</f>
        <v>-3</v>
      </c>
      <c r="E45" s="19">
        <f t="array" ref="E45">index('Hitter Stats'!K:K,match($A45,'Hitter Stats'!$A:$A,0))-index('2024'!K:K,match($A45,'2024'!$A:$A,0))</f>
        <v>-6</v>
      </c>
      <c r="F45" s="19">
        <f t="array" ref="F45">index('Hitter Stats'!L:L,match($A45,'Hitter Stats'!$A:$A,0))-index('2024'!L:L,match($A45,'2024'!$A:$A,0))</f>
        <v>-16</v>
      </c>
      <c r="G45" s="19">
        <f t="array" ref="G45">index('Hitter Stats'!M:M,match($A45,'Hitter Stats'!$A:$A,0))-index('2024'!M:M,match($A45,'2024'!$A:$A,0))</f>
        <v>-21</v>
      </c>
    </row>
    <row r="46">
      <c r="A46" s="11">
        <f>IFERROR(__xludf.DUMMYFUNCTION("""COMPUTED_VALUE"""),670541.0)</f>
        <v>670541</v>
      </c>
      <c r="B46" s="17" t="str">
        <f t="array" ref="B46">index('Hitter Stats'!B:B,match(A46,'Hitter Stats'!A:A,0))</f>
        <v>Yordan Alvarez</v>
      </c>
      <c r="C46" s="14">
        <f t="array" ref="C46">index('Hitter Stats'!F:F,match($A46,'Hitter Stats'!$A:$A,0))-index('2024'!F:F,match($A46,'2024'!$A:$A,0))</f>
        <v>-0.033372897</v>
      </c>
      <c r="D46" s="19">
        <f t="array" ref="D46">index('Hitter Stats'!H:H,match($A46,'Hitter Stats'!$A:$A,0))-index('2024'!H:H,match($A46,'2024'!$A:$A,0))</f>
        <v>4</v>
      </c>
      <c r="E46" s="19">
        <f t="array" ref="E46">index('Hitter Stats'!K:K,match($A46,'Hitter Stats'!$A:$A,0))-index('2024'!K:K,match($A46,'2024'!$A:$A,0))</f>
        <v>-8</v>
      </c>
      <c r="F46" s="19">
        <f t="array" ref="F46">index('Hitter Stats'!L:L,match($A46,'Hitter Stats'!$A:$A,0))-index('2024'!L:L,match($A46,'2024'!$A:$A,0))</f>
        <v>-16</v>
      </c>
      <c r="G46" s="19">
        <f t="array" ref="G46">index('Hitter Stats'!M:M,match($A46,'Hitter Stats'!$A:$A,0))-index('2024'!M:M,match($A46,'2024'!$A:$A,0))</f>
        <v>-24</v>
      </c>
    </row>
    <row r="47">
      <c r="A47" s="11">
        <f>IFERROR(__xludf.DUMMYFUNCTION("""COMPUTED_VALUE"""),682985.0)</f>
        <v>682985</v>
      </c>
      <c r="B47" s="17" t="str">
        <f t="array" ref="B47">index('Hitter Stats'!B:B,match(A47,'Hitter Stats'!A:A,0))</f>
        <v>Riley Greene</v>
      </c>
      <c r="C47" s="14">
        <f t="array" ref="C47">index('Hitter Stats'!F:F,match($A47,'Hitter Stats'!$A:$A,0))-index('2024'!F:F,match($A47,'2024'!$A:$A,0))</f>
        <v>0.075631552</v>
      </c>
      <c r="D47" s="19">
        <f t="array" ref="D47">index('Hitter Stats'!H:H,match($A47,'Hitter Stats'!$A:$A,0))-index('2024'!H:H,match($A47,'2024'!$A:$A,0))</f>
        <v>-9</v>
      </c>
      <c r="E47" s="19">
        <f t="array" ref="E47">index('Hitter Stats'!K:K,match($A47,'Hitter Stats'!$A:$A,0))-index('2024'!K:K,match($A47,'2024'!$A:$A,0))</f>
        <v>-13</v>
      </c>
      <c r="F47" s="19">
        <f t="array" ref="F47">index('Hitter Stats'!L:L,match($A47,'Hitter Stats'!$A:$A,0))-index('2024'!L:L,match($A47,'2024'!$A:$A,0))</f>
        <v>12</v>
      </c>
      <c r="G47" s="19">
        <f t="array" ref="G47">index('Hitter Stats'!M:M,match($A47,'Hitter Stats'!$A:$A,0))-index('2024'!M:M,match($A47,'2024'!$A:$A,0))</f>
        <v>-1</v>
      </c>
    </row>
    <row r="48">
      <c r="A48" s="11">
        <f>IFERROR(__xludf.DUMMYFUNCTION("""COMPUTED_VALUE"""),666181.0)</f>
        <v>666181</v>
      </c>
      <c r="B48" s="17" t="str">
        <f t="array" ref="B48">index('Hitter Stats'!B:B,match(A48,'Hitter Stats'!A:A,0))</f>
        <v>Will Benson</v>
      </c>
      <c r="C48" s="14">
        <f t="array" ref="C48">index('Hitter Stats'!F:F,match($A48,'Hitter Stats'!$A:$A,0))-index('2024'!F:F,match($A48,'2024'!$A:$A,0))</f>
        <v>0.030816288</v>
      </c>
      <c r="D48" s="19">
        <f t="array" ref="D48">index('Hitter Stats'!H:H,match($A48,'Hitter Stats'!$A:$A,0))-index('2024'!H:H,match($A48,'2024'!$A:$A,0))</f>
        <v>-1</v>
      </c>
      <c r="E48" s="19">
        <f t="array" ref="E48">index('Hitter Stats'!K:K,match($A48,'Hitter Stats'!$A:$A,0))-index('2024'!K:K,match($A48,'2024'!$A:$A,0))</f>
        <v>22</v>
      </c>
      <c r="F48" s="19">
        <f t="array" ref="F48">index('Hitter Stats'!L:L,match($A48,'Hitter Stats'!$A:$A,0))-index('2024'!L:L,match($A48,'2024'!$A:$A,0))</f>
        <v>25</v>
      </c>
      <c r="G48" s="19">
        <f t="array" ref="G48">index('Hitter Stats'!M:M,match($A48,'Hitter Stats'!$A:$A,0))-index('2024'!M:M,match($A48,'2024'!$A:$A,0))</f>
        <v>36</v>
      </c>
    </row>
    <row r="49">
      <c r="A49" s="11">
        <f>IFERROR(__xludf.DUMMYFUNCTION("""COMPUTED_VALUE"""),680718.0)</f>
        <v>680718</v>
      </c>
      <c r="B49" s="17" t="str">
        <f t="array" ref="B49">index('Hitter Stats'!B:B,match(A49,'Hitter Stats'!A:A,0))</f>
        <v>Addison Barger</v>
      </c>
      <c r="C49" s="14">
        <f t="array" ref="C49">index('Hitter Stats'!F:F,match($A49,'Hitter Stats'!$A:$A,0))-index('2024'!F:F,match($A49,'2024'!$A:$A,0))</f>
        <v>0.016140148</v>
      </c>
      <c r="D49" s="19">
        <f t="array" ref="D49">index('Hitter Stats'!H:H,match($A49,'Hitter Stats'!$A:$A,0))-index('2024'!H:H,match($A49,'2024'!$A:$A,0))</f>
        <v>10</v>
      </c>
      <c r="E49" s="19">
        <f t="array" ref="E49">index('Hitter Stats'!K:K,match($A49,'Hitter Stats'!$A:$A,0))-index('2024'!K:K,match($A49,'2024'!$A:$A,0))</f>
        <v>-2</v>
      </c>
      <c r="F49" s="19">
        <f t="array" ref="F49">index('Hitter Stats'!L:L,match($A49,'Hitter Stats'!$A:$A,0))-index('2024'!L:L,match($A49,'2024'!$A:$A,0))</f>
        <v>13</v>
      </c>
      <c r="G49" s="19">
        <f t="array" ref="G49">index('Hitter Stats'!M:M,match($A49,'Hitter Stats'!$A:$A,0))-index('2024'!M:M,match($A49,'2024'!$A:$A,0))</f>
        <v>18</v>
      </c>
    </row>
    <row r="50">
      <c r="A50" s="11">
        <f>IFERROR(__xludf.DUMMYFUNCTION("""COMPUTED_VALUE"""),678662.0)</f>
        <v>678662</v>
      </c>
      <c r="B50" s="17" t="str">
        <f t="array" ref="B50">index('Hitter Stats'!B:B,match(A50,'Hitter Stats'!A:A,0))</f>
        <v>Ezequiel Tovar</v>
      </c>
      <c r="C50" s="14">
        <f t="array" ref="C50">index('Hitter Stats'!F:F,match($A50,'Hitter Stats'!$A:$A,0))-index('2024'!F:F,match($A50,'2024'!$A:$A,0))</f>
        <v>-0.016870117</v>
      </c>
      <c r="D50" s="19">
        <f t="array" ref="D50">index('Hitter Stats'!H:H,match($A50,'Hitter Stats'!$A:$A,0))-index('2024'!H:H,match($A50,'2024'!$A:$A,0))</f>
        <v>6</v>
      </c>
      <c r="E50" s="19">
        <f t="array" ref="E50">index('Hitter Stats'!K:K,match($A50,'Hitter Stats'!$A:$A,0))-index('2024'!K:K,match($A50,'2024'!$A:$A,0))</f>
        <v>10</v>
      </c>
      <c r="F50" s="19">
        <f t="array" ref="F50">index('Hitter Stats'!L:L,match($A50,'Hitter Stats'!$A:$A,0))-index('2024'!L:L,match($A50,'2024'!$A:$A,0))</f>
        <v>12</v>
      </c>
      <c r="G50" s="19">
        <f t="array" ref="G50">index('Hitter Stats'!M:M,match($A50,'Hitter Stats'!$A:$A,0))-index('2024'!M:M,match($A50,'2024'!$A:$A,0))</f>
        <v>28</v>
      </c>
    </row>
    <row r="51">
      <c r="A51" s="11">
        <f>IFERROR(__xludf.DUMMYFUNCTION("""COMPUTED_VALUE"""),677800.0)</f>
        <v>677800</v>
      </c>
      <c r="B51" s="17" t="str">
        <f t="array" ref="B51">index('Hitter Stats'!B:B,match(A51,'Hitter Stats'!A:A,0))</f>
        <v>Wilyer Abreu</v>
      </c>
      <c r="C51" s="14">
        <f t="array" ref="C51">index('Hitter Stats'!F:F,match($A51,'Hitter Stats'!$A:$A,0))-index('2024'!F:F,match($A51,'2024'!$A:$A,0))</f>
        <v>0.012925295</v>
      </c>
      <c r="D51" s="19">
        <f t="array" ref="D51">index('Hitter Stats'!H:H,match($A51,'Hitter Stats'!$A:$A,0))-index('2024'!H:H,match($A51,'2024'!$A:$A,0))</f>
        <v>16</v>
      </c>
      <c r="E51" s="19">
        <f t="array" ref="E51">index('Hitter Stats'!K:K,match($A51,'Hitter Stats'!$A:$A,0))-index('2024'!K:K,match($A51,'2024'!$A:$A,0))</f>
        <v>0</v>
      </c>
      <c r="F51" s="19">
        <f t="array" ref="F51">index('Hitter Stats'!L:L,match($A51,'Hitter Stats'!$A:$A,0))-index('2024'!L:L,match($A51,'2024'!$A:$A,0))</f>
        <v>5</v>
      </c>
      <c r="G51" s="19">
        <f t="array" ref="G51">index('Hitter Stats'!M:M,match($A51,'Hitter Stats'!$A:$A,0))-index('2024'!M:M,match($A51,'2024'!$A:$A,0))</f>
        <v>14</v>
      </c>
    </row>
    <row r="52">
      <c r="A52" s="11">
        <f>IFERROR(__xludf.DUMMYFUNCTION("""COMPUTED_VALUE"""),608348.0)</f>
        <v>608348</v>
      </c>
      <c r="B52" s="17" t="str">
        <f t="array" ref="B52">index('Hitter Stats'!B:B,match(A52,'Hitter Stats'!A:A,0))</f>
        <v>Carson Kelly</v>
      </c>
      <c r="C52" s="14">
        <f t="array" ref="C52">index('Hitter Stats'!F:F,match($A52,'Hitter Stats'!$A:$A,0))-index('2024'!F:F,match($A52,'2024'!$A:$A,0))</f>
        <v>-0.031410109</v>
      </c>
      <c r="D52" s="19">
        <f t="array" ref="D52">index('Hitter Stats'!H:H,match($A52,'Hitter Stats'!$A:$A,0))-index('2024'!H:H,match($A52,'2024'!$A:$A,0))</f>
        <v>4</v>
      </c>
      <c r="E52" s="19">
        <f t="array" ref="E52">index('Hitter Stats'!K:K,match($A52,'Hitter Stats'!$A:$A,0))-index('2024'!K:K,match($A52,'2024'!$A:$A,0))</f>
        <v>-7</v>
      </c>
      <c r="F52" s="19">
        <f t="array" ref="F52">index('Hitter Stats'!L:L,match($A52,'Hitter Stats'!$A:$A,0))-index('2024'!L:L,match($A52,'2024'!$A:$A,0))</f>
        <v>13</v>
      </c>
      <c r="G52" s="19">
        <f t="array" ref="G52">index('Hitter Stats'!M:M,match($A52,'Hitter Stats'!$A:$A,0))-index('2024'!M:M,match($A52,'2024'!$A:$A,0))</f>
        <v>10</v>
      </c>
    </row>
    <row r="53">
      <c r="A53" s="11">
        <f>IFERROR(__xludf.DUMMYFUNCTION("""COMPUTED_VALUE"""),680777.0)</f>
        <v>680777</v>
      </c>
      <c r="B53" s="17" t="str">
        <f t="array" ref="B53">index('Hitter Stats'!B:B,match(A53,'Hitter Stats'!A:A,0))</f>
        <v>Ryan Jeffers</v>
      </c>
      <c r="C53" s="14">
        <f t="array" ref="C53">index('Hitter Stats'!F:F,match($A53,'Hitter Stats'!$A:$A,0))-index('2024'!F:F,match($A53,'2024'!$A:$A,0))</f>
        <v>-0.094970184</v>
      </c>
      <c r="D53" s="19">
        <f t="array" ref="D53">index('Hitter Stats'!H:H,match($A53,'Hitter Stats'!$A:$A,0))-index('2024'!H:H,match($A53,'2024'!$A:$A,0))</f>
        <v>15</v>
      </c>
      <c r="E53" s="19">
        <f t="array" ref="E53">index('Hitter Stats'!K:K,match($A53,'Hitter Stats'!$A:$A,0))-index('2024'!K:K,match($A53,'2024'!$A:$A,0))</f>
        <v>10</v>
      </c>
      <c r="F53" s="19">
        <f t="array" ref="F53">index('Hitter Stats'!L:L,match($A53,'Hitter Stats'!$A:$A,0))-index('2024'!L:L,match($A53,'2024'!$A:$A,0))</f>
        <v>6</v>
      </c>
      <c r="G53" s="19">
        <f t="array" ref="G53">index('Hitter Stats'!M:M,match($A53,'Hitter Stats'!$A:$A,0))-index('2024'!M:M,match($A53,'2024'!$A:$A,0))</f>
        <v>15</v>
      </c>
    </row>
    <row r="54">
      <c r="A54" s="11">
        <f>IFERROR(__xludf.DUMMYFUNCTION("""COMPUTED_VALUE"""),672640.0)</f>
        <v>672640</v>
      </c>
      <c r="B54" s="17" t="str">
        <f t="array" ref="B54">index('Hitter Stats'!B:B,match(A54,'Hitter Stats'!A:A,0))</f>
        <v>Otto Lopez</v>
      </c>
      <c r="C54" s="14">
        <f t="array" ref="C54">index('Hitter Stats'!F:F,match($A54,'Hitter Stats'!$A:$A,0))-index('2024'!F:F,match($A54,'2024'!$A:$A,0))</f>
        <v>-0.056809315</v>
      </c>
      <c r="D54" s="19">
        <f t="array" ref="D54">index('Hitter Stats'!H:H,match($A54,'Hitter Stats'!$A:$A,0))-index('2024'!H:H,match($A54,'2024'!$A:$A,0))</f>
        <v>2</v>
      </c>
      <c r="E54" s="19">
        <f t="array" ref="E54">index('Hitter Stats'!K:K,match($A54,'Hitter Stats'!$A:$A,0))-index('2024'!K:K,match($A54,'2024'!$A:$A,0))</f>
        <v>4</v>
      </c>
      <c r="F54" s="19">
        <f t="array" ref="F54">index('Hitter Stats'!L:L,match($A54,'Hitter Stats'!$A:$A,0))-index('2024'!L:L,match($A54,'2024'!$A:$A,0))</f>
        <v>8</v>
      </c>
      <c r="G54" s="19">
        <f t="array" ref="G54">index('Hitter Stats'!M:M,match($A54,'Hitter Stats'!$A:$A,0))-index('2024'!M:M,match($A54,'2024'!$A:$A,0))</f>
        <v>11</v>
      </c>
    </row>
    <row r="55">
      <c r="A55" s="11">
        <f>IFERROR(__xludf.DUMMYFUNCTION("""COMPUTED_VALUE"""),608324.0)</f>
        <v>608324</v>
      </c>
      <c r="B55" s="17" t="str">
        <f t="array" ref="B55">index('Hitter Stats'!B:B,match(A55,'Hitter Stats'!A:A,0))</f>
        <v>Alex Bregman</v>
      </c>
      <c r="C55" s="14">
        <f t="array" ref="C55">index('Hitter Stats'!F:F,match($A55,'Hitter Stats'!$A:$A,0))-index('2024'!F:F,match($A55,'2024'!$A:$A,0))</f>
        <v>-0.02581209</v>
      </c>
      <c r="D55" s="19">
        <f t="array" ref="D55">index('Hitter Stats'!H:H,match($A55,'Hitter Stats'!$A:$A,0))-index('2024'!H:H,match($A55,'2024'!$A:$A,0))</f>
        <v>5</v>
      </c>
      <c r="E55" s="19">
        <f t="array" ref="E55">index('Hitter Stats'!K:K,match($A55,'Hitter Stats'!$A:$A,0))-index('2024'!K:K,match($A55,'2024'!$A:$A,0))</f>
        <v>-18</v>
      </c>
      <c r="F55" s="19">
        <f t="array" ref="F55">index('Hitter Stats'!L:L,match($A55,'Hitter Stats'!$A:$A,0))-index('2024'!L:L,match($A55,'2024'!$A:$A,0))</f>
        <v>12</v>
      </c>
      <c r="G55" s="19">
        <f t="array" ref="G55">index('Hitter Stats'!M:M,match($A55,'Hitter Stats'!$A:$A,0))-index('2024'!M:M,match($A55,'2024'!$A:$A,0))</f>
        <v>4</v>
      </c>
    </row>
    <row r="56">
      <c r="A56" s="11">
        <f>IFERROR(__xludf.DUMMYFUNCTION("""COMPUTED_VALUE"""),657757.0)</f>
        <v>657757</v>
      </c>
      <c r="B56" s="17" t="str">
        <f t="array" ref="B56">index('Hitter Stats'!B:B,match(A56,'Hitter Stats'!A:A,0))</f>
        <v>Gavin Sheets</v>
      </c>
      <c r="C56" s="14">
        <f t="array" ref="C56">index('Hitter Stats'!F:F,match($A56,'Hitter Stats'!$A:$A,0))-index('2024'!F:F,match($A56,'2024'!$A:$A,0))</f>
        <v>-0.016302357</v>
      </c>
      <c r="D56" s="19">
        <f t="array" ref="D56">index('Hitter Stats'!H:H,match($A56,'Hitter Stats'!$A:$A,0))-index('2024'!H:H,match($A56,'2024'!$A:$A,0))</f>
        <v>9</v>
      </c>
      <c r="E56" s="19">
        <f t="array" ref="E56">index('Hitter Stats'!K:K,match($A56,'Hitter Stats'!$A:$A,0))-index('2024'!K:K,match($A56,'2024'!$A:$A,0))</f>
        <v>-3</v>
      </c>
      <c r="F56" s="19">
        <f t="array" ref="F56">index('Hitter Stats'!L:L,match($A56,'Hitter Stats'!$A:$A,0))-index('2024'!L:L,match($A56,'2024'!$A:$A,0))</f>
        <v>14</v>
      </c>
      <c r="G56" s="19">
        <f t="array" ref="G56">index('Hitter Stats'!M:M,match($A56,'Hitter Stats'!$A:$A,0))-index('2024'!M:M,match($A56,'2024'!$A:$A,0))</f>
        <v>16</v>
      </c>
    </row>
    <row r="57">
      <c r="A57" s="11">
        <f>IFERROR(__xludf.DUMMYFUNCTION("""COMPUTED_VALUE"""),502671.0)</f>
        <v>502671</v>
      </c>
      <c r="B57" s="17" t="str">
        <f t="array" ref="B57">index('Hitter Stats'!B:B,match(A57,'Hitter Stats'!A:A,0))</f>
        <v>Paul Goldschmidt</v>
      </c>
      <c r="C57" s="14">
        <f t="array" ref="C57">index('Hitter Stats'!F:F,match($A57,'Hitter Stats'!$A:$A,0))-index('2024'!F:F,match($A57,'2024'!$A:$A,0))</f>
        <v>-0.019811474</v>
      </c>
      <c r="D57" s="19">
        <f t="array" ref="D57">index('Hitter Stats'!H:H,match($A57,'Hitter Stats'!$A:$A,0))-index('2024'!H:H,match($A57,'2024'!$A:$A,0))</f>
        <v>7</v>
      </c>
      <c r="E57" s="19">
        <f t="array" ref="E57">index('Hitter Stats'!K:K,match($A57,'Hitter Stats'!$A:$A,0))-index('2024'!K:K,match($A57,'2024'!$A:$A,0))</f>
        <v>12</v>
      </c>
      <c r="F57" s="19">
        <f t="array" ref="F57">index('Hitter Stats'!L:L,match($A57,'Hitter Stats'!$A:$A,0))-index('2024'!L:L,match($A57,'2024'!$A:$A,0))</f>
        <v>-11</v>
      </c>
      <c r="G57" s="19">
        <f t="array" ref="G57">index('Hitter Stats'!M:M,match($A57,'Hitter Stats'!$A:$A,0))-index('2024'!M:M,match($A57,'2024'!$A:$A,0))</f>
        <v>2</v>
      </c>
    </row>
    <row r="58">
      <c r="A58" s="11">
        <f>IFERROR(__xludf.DUMMYFUNCTION("""COMPUTED_VALUE"""),701538.0)</f>
        <v>701538</v>
      </c>
      <c r="B58" s="17" t="str">
        <f t="array" ref="B58">index('Hitter Stats'!B:B,match(A58,'Hitter Stats'!A:A,0))</f>
        <v>Jackson Merrill</v>
      </c>
      <c r="C58" s="14">
        <f t="array" ref="C58">index('Hitter Stats'!F:F,match($A58,'Hitter Stats'!$A:$A,0))-index('2024'!F:F,match($A58,'2024'!$A:$A,0))</f>
        <v>0.036196408</v>
      </c>
      <c r="D58" s="19">
        <f t="array" ref="D58">index('Hitter Stats'!H:H,match($A58,'Hitter Stats'!$A:$A,0))-index('2024'!H:H,match($A58,'2024'!$A:$A,0))</f>
        <v>-5</v>
      </c>
      <c r="E58" s="19">
        <f t="array" ref="E58">index('Hitter Stats'!K:K,match($A58,'Hitter Stats'!$A:$A,0))-index('2024'!K:K,match($A58,'2024'!$A:$A,0))</f>
        <v>-17</v>
      </c>
      <c r="F58" s="19">
        <f t="array" ref="F58">index('Hitter Stats'!L:L,match($A58,'Hitter Stats'!$A:$A,0))-index('2024'!L:L,match($A58,'2024'!$A:$A,0))</f>
        <v>1</v>
      </c>
      <c r="G58" s="19">
        <f t="array" ref="G58">index('Hitter Stats'!M:M,match($A58,'Hitter Stats'!$A:$A,0))-index('2024'!M:M,match($A58,'2024'!$A:$A,0))</f>
        <v>-10</v>
      </c>
    </row>
    <row r="59">
      <c r="A59" s="11">
        <f>IFERROR(__xludf.DUMMYFUNCTION("""COMPUTED_VALUE"""),676059.0)</f>
        <v>676059</v>
      </c>
      <c r="B59" s="17" t="str">
        <f t="array" ref="B59">index('Hitter Stats'!B:B,match(A59,'Hitter Stats'!A:A,0))</f>
        <v>Jordan Westburg</v>
      </c>
      <c r="C59" s="14">
        <f t="array" ref="C59">index('Hitter Stats'!F:F,match($A59,'Hitter Stats'!$A:$A,0))-index('2024'!F:F,match($A59,'2024'!$A:$A,0))</f>
        <v>-0.047976367</v>
      </c>
      <c r="D59" s="19">
        <f t="array" ref="D59">index('Hitter Stats'!H:H,match($A59,'Hitter Stats'!$A:$A,0))-index('2024'!H:H,match($A59,'2024'!$A:$A,0))</f>
        <v>12</v>
      </c>
      <c r="E59" s="19">
        <f t="array" ref="E59">index('Hitter Stats'!K:K,match($A59,'Hitter Stats'!$A:$A,0))-index('2024'!K:K,match($A59,'2024'!$A:$A,0))</f>
        <v>-7</v>
      </c>
      <c r="F59" s="19">
        <f t="array" ref="F59">index('Hitter Stats'!L:L,match($A59,'Hitter Stats'!$A:$A,0))-index('2024'!L:L,match($A59,'2024'!$A:$A,0))</f>
        <v>-8</v>
      </c>
      <c r="G59" s="19">
        <f t="array" ref="G59">index('Hitter Stats'!M:M,match($A59,'Hitter Stats'!$A:$A,0))-index('2024'!M:M,match($A59,'2024'!$A:$A,0))</f>
        <v>-7</v>
      </c>
    </row>
    <row r="60">
      <c r="A60" s="11">
        <f>IFERROR(__xludf.DUMMYFUNCTION("""COMPUTED_VALUE"""),663728.0)</f>
        <v>663728</v>
      </c>
      <c r="B60" s="17" t="str">
        <f t="array" ref="B60">index('Hitter Stats'!B:B,match(A60,'Hitter Stats'!A:A,0))</f>
        <v>Cal Raleigh</v>
      </c>
      <c r="C60" s="14">
        <f t="array" ref="C60">index('Hitter Stats'!F:F,match($A60,'Hitter Stats'!$A:$A,0))-index('2024'!F:F,match($A60,'2024'!$A:$A,0))</f>
        <v>0.000548819</v>
      </c>
      <c r="D60" s="19">
        <f t="array" ref="D60">index('Hitter Stats'!H:H,match($A60,'Hitter Stats'!$A:$A,0))-index('2024'!H:H,match($A60,'2024'!$A:$A,0))</f>
        <v>5</v>
      </c>
      <c r="E60" s="19">
        <f t="array" ref="E60">index('Hitter Stats'!K:K,match($A60,'Hitter Stats'!$A:$A,0))-index('2024'!K:K,match($A60,'2024'!$A:$A,0))</f>
        <v>-1</v>
      </c>
      <c r="F60" s="19">
        <f t="array" ref="F60">index('Hitter Stats'!L:L,match($A60,'Hitter Stats'!$A:$A,0))-index('2024'!L:L,match($A60,'2024'!$A:$A,0))</f>
        <v>4</v>
      </c>
      <c r="G60" s="19">
        <f t="array" ref="G60">index('Hitter Stats'!M:M,match($A60,'Hitter Stats'!$A:$A,0))-index('2024'!M:M,match($A60,'2024'!$A:$A,0))</f>
        <v>7</v>
      </c>
    </row>
    <row r="61">
      <c r="A61" s="11">
        <f>IFERROR(__xludf.DUMMYFUNCTION("""COMPUTED_VALUE"""),553993.0)</f>
        <v>553993</v>
      </c>
      <c r="B61" s="17" t="str">
        <f t="array" ref="B61">index('Hitter Stats'!B:B,match(A61,'Hitter Stats'!A:A,0))</f>
        <v>Eugenio Suárez</v>
      </c>
      <c r="C61" s="14">
        <f t="array" ref="C61">index('Hitter Stats'!F:F,match($A61,'Hitter Stats'!$A:$A,0))-index('2024'!F:F,match($A61,'2024'!$A:$A,0))</f>
        <v>0.02614833</v>
      </c>
      <c r="D61" s="19">
        <f t="array" ref="D61">index('Hitter Stats'!H:H,match($A61,'Hitter Stats'!$A:$A,0))-index('2024'!H:H,match($A61,'2024'!$A:$A,0))</f>
        <v>5</v>
      </c>
      <c r="E61" s="19">
        <f t="array" ref="E61">index('Hitter Stats'!K:K,match($A61,'Hitter Stats'!$A:$A,0))-index('2024'!K:K,match($A61,'2024'!$A:$A,0))</f>
        <v>-6</v>
      </c>
      <c r="F61" s="19">
        <f t="array" ref="F61">index('Hitter Stats'!L:L,match($A61,'Hitter Stats'!$A:$A,0))-index('2024'!L:L,match($A61,'2024'!$A:$A,0))</f>
        <v>4</v>
      </c>
      <c r="G61" s="19">
        <f t="array" ref="G61">index('Hitter Stats'!M:M,match($A61,'Hitter Stats'!$A:$A,0))-index('2024'!M:M,match($A61,'2024'!$A:$A,0))</f>
        <v>3</v>
      </c>
    </row>
    <row r="62">
      <c r="A62" s="11">
        <f>IFERROR(__xludf.DUMMYFUNCTION("""COMPUTED_VALUE"""),657656.0)</f>
        <v>657656</v>
      </c>
      <c r="B62" s="17" t="str">
        <f t="array" ref="B62">index('Hitter Stats'!B:B,match(A62,'Hitter Stats'!A:A,0))</f>
        <v>Ramón Laureano</v>
      </c>
      <c r="C62" s="14">
        <f t="array" ref="C62">index('Hitter Stats'!F:F,match($A62,'Hitter Stats'!$A:$A,0))-index('2024'!F:F,match($A62,'2024'!$A:$A,0))</f>
        <v>-0.107426791</v>
      </c>
      <c r="D62" s="19">
        <f t="array" ref="D62">index('Hitter Stats'!H:H,match($A62,'Hitter Stats'!$A:$A,0))-index('2024'!H:H,match($A62,'2024'!$A:$A,0))</f>
        <v>16</v>
      </c>
      <c r="E62" s="19">
        <f t="array" ref="E62">index('Hitter Stats'!K:K,match($A62,'Hitter Stats'!$A:$A,0))-index('2024'!K:K,match($A62,'2024'!$A:$A,0))</f>
        <v>3</v>
      </c>
      <c r="F62" s="19">
        <f t="array" ref="F62">index('Hitter Stats'!L:L,match($A62,'Hitter Stats'!$A:$A,0))-index('2024'!L:L,match($A62,'2024'!$A:$A,0))</f>
        <v>2</v>
      </c>
      <c r="G62" s="19">
        <f t="array" ref="G62">index('Hitter Stats'!M:M,match($A62,'Hitter Stats'!$A:$A,0))-index('2024'!M:M,match($A62,'2024'!$A:$A,0))</f>
        <v>14</v>
      </c>
    </row>
    <row r="63">
      <c r="A63" s="11">
        <f>IFERROR(__xludf.DUMMYFUNCTION("""COMPUTED_VALUE"""),521692.0)</f>
        <v>521692</v>
      </c>
      <c r="B63" s="17" t="str">
        <f t="array" ref="B63">index('Hitter Stats'!B:B,match(A63,'Hitter Stats'!A:A,0))</f>
        <v>Salvador Perez</v>
      </c>
      <c r="C63" s="14">
        <f t="array" ref="C63">index('Hitter Stats'!F:F,match($A63,'Hitter Stats'!$A:$A,0))-index('2024'!F:F,match($A63,'2024'!$A:$A,0))</f>
        <v>-0.015183995</v>
      </c>
      <c r="D63" s="19">
        <f t="array" ref="D63">index('Hitter Stats'!H:H,match($A63,'Hitter Stats'!$A:$A,0))-index('2024'!H:H,match($A63,'2024'!$A:$A,0))</f>
        <v>0</v>
      </c>
      <c r="E63" s="19">
        <f t="array" ref="E63">index('Hitter Stats'!K:K,match($A63,'Hitter Stats'!$A:$A,0))-index('2024'!K:K,match($A63,'2024'!$A:$A,0))</f>
        <v>3</v>
      </c>
      <c r="F63" s="19">
        <f t="array" ref="F63">index('Hitter Stats'!L:L,match($A63,'Hitter Stats'!$A:$A,0))-index('2024'!L:L,match($A63,'2024'!$A:$A,0))</f>
        <v>-8</v>
      </c>
      <c r="G63" s="19">
        <f t="array" ref="G63">index('Hitter Stats'!M:M,match($A63,'Hitter Stats'!$A:$A,0))-index('2024'!M:M,match($A63,'2024'!$A:$A,0))</f>
        <v>-3</v>
      </c>
    </row>
    <row r="64">
      <c r="A64" s="11">
        <f>IFERROR(__xludf.DUMMYFUNCTION("""COMPUTED_VALUE"""),621493.0)</f>
        <v>621493</v>
      </c>
      <c r="B64" s="17" t="str">
        <f t="array" ref="B64">index('Hitter Stats'!B:B,match(A64,'Hitter Stats'!A:A,0))</f>
        <v>Taylor Ward</v>
      </c>
      <c r="C64" s="14">
        <f t="array" ref="C64">index('Hitter Stats'!F:F,match($A64,'Hitter Stats'!$A:$A,0))-index('2024'!F:F,match($A64,'2024'!$A:$A,0))</f>
        <v>-0.065819623</v>
      </c>
      <c r="D64" s="19">
        <f t="array" ref="D64">index('Hitter Stats'!H:H,match($A64,'Hitter Stats'!$A:$A,0))-index('2024'!H:H,match($A64,'2024'!$A:$A,0))</f>
        <v>-5</v>
      </c>
      <c r="E64" s="19">
        <f t="array" ref="E64">index('Hitter Stats'!K:K,match($A64,'Hitter Stats'!$A:$A,0))-index('2024'!K:K,match($A64,'2024'!$A:$A,0))</f>
        <v>4</v>
      </c>
      <c r="F64" s="19">
        <f t="array" ref="F64">index('Hitter Stats'!L:L,match($A64,'Hitter Stats'!$A:$A,0))-index('2024'!L:L,match($A64,'2024'!$A:$A,0))</f>
        <v>-5</v>
      </c>
      <c r="G64" s="19">
        <f t="array" ref="G64">index('Hitter Stats'!M:M,match($A64,'Hitter Stats'!$A:$A,0))-index('2024'!M:M,match($A64,'2024'!$A:$A,0))</f>
        <v>-6</v>
      </c>
    </row>
    <row r="65">
      <c r="A65" s="11">
        <f>IFERROR(__xludf.DUMMYFUNCTION("""COMPUTED_VALUE"""),545341.0)</f>
        <v>545341</v>
      </c>
      <c r="B65" s="17" t="str">
        <f t="array" ref="B65">index('Hitter Stats'!B:B,match(A65,'Hitter Stats'!A:A,0))</f>
        <v>Randal Grichuk</v>
      </c>
      <c r="C65" s="14">
        <f t="array" ref="C65">index('Hitter Stats'!F:F,match($A65,'Hitter Stats'!$A:$A,0))-index('2024'!F:F,match($A65,'2024'!$A:$A,0))</f>
        <v>-0.005490317</v>
      </c>
      <c r="D65" s="19">
        <f t="array" ref="D65">index('Hitter Stats'!H:H,match($A65,'Hitter Stats'!$A:$A,0))-index('2024'!H:H,match($A65,'2024'!$A:$A,0))</f>
        <v>-15</v>
      </c>
      <c r="E65" s="19">
        <f t="array" ref="E65">index('Hitter Stats'!K:K,match($A65,'Hitter Stats'!$A:$A,0))-index('2024'!K:K,match($A65,'2024'!$A:$A,0))</f>
        <v>2</v>
      </c>
      <c r="F65" s="19">
        <f t="array" ref="F65">index('Hitter Stats'!L:L,match($A65,'Hitter Stats'!$A:$A,0))-index('2024'!L:L,match($A65,'2024'!$A:$A,0))</f>
        <v>3</v>
      </c>
      <c r="G65" s="19">
        <f t="array" ref="G65">index('Hitter Stats'!M:M,match($A65,'Hitter Stats'!$A:$A,0))-index('2024'!M:M,match($A65,'2024'!$A:$A,0))</f>
        <v>0</v>
      </c>
    </row>
    <row r="66">
      <c r="A66" s="11">
        <f>IFERROR(__xludf.DUMMYFUNCTION("""COMPUTED_VALUE"""),642133.0)</f>
        <v>642133</v>
      </c>
      <c r="B66" s="17" t="str">
        <f t="array" ref="B66">index('Hitter Stats'!B:B,match(A66,'Hitter Stats'!A:A,0))</f>
        <v>Rowdy Tellez</v>
      </c>
      <c r="C66" s="14">
        <f t="array" ref="C66">index('Hitter Stats'!F:F,match($A66,'Hitter Stats'!$A:$A,0))-index('2024'!F:F,match($A66,'2024'!$A:$A,0))</f>
        <v>0.009803883</v>
      </c>
      <c r="D66" s="19">
        <f t="array" ref="D66">index('Hitter Stats'!H:H,match($A66,'Hitter Stats'!$A:$A,0))-index('2024'!H:H,match($A66,'2024'!$A:$A,0))</f>
        <v>1</v>
      </c>
      <c r="E66" s="19">
        <f t="array" ref="E66">index('Hitter Stats'!K:K,match($A66,'Hitter Stats'!$A:$A,0))-index('2024'!K:K,match($A66,'2024'!$A:$A,0))</f>
        <v>-21</v>
      </c>
      <c r="F66" s="19">
        <f t="array" ref="F66">index('Hitter Stats'!L:L,match($A66,'Hitter Stats'!$A:$A,0))-index('2024'!L:L,match($A66,'2024'!$A:$A,0))</f>
        <v>23</v>
      </c>
      <c r="G66" s="19">
        <f t="array" ref="G66">index('Hitter Stats'!M:M,match($A66,'Hitter Stats'!$A:$A,0))-index('2024'!M:M,match($A66,'2024'!$A:$A,0))</f>
        <v>14</v>
      </c>
    </row>
    <row r="67">
      <c r="A67" s="11">
        <f>IFERROR(__xludf.DUMMYFUNCTION("""COMPUTED_VALUE"""),665833.0)</f>
        <v>665833</v>
      </c>
      <c r="B67" s="17" t="str">
        <f t="array" ref="B67">index('Hitter Stats'!B:B,match(A67,'Hitter Stats'!A:A,0))</f>
        <v>Oneil Cruz</v>
      </c>
      <c r="C67" s="14">
        <f t="array" ref="C67">index('Hitter Stats'!F:F,match($A67,'Hitter Stats'!$A:$A,0))-index('2024'!F:F,match($A67,'2024'!$A:$A,0))</f>
        <v>-0.058010277</v>
      </c>
      <c r="D67" s="19">
        <f t="array" ref="D67">index('Hitter Stats'!H:H,match($A67,'Hitter Stats'!$A:$A,0))-index('2024'!H:H,match($A67,'2024'!$A:$A,0))</f>
        <v>6</v>
      </c>
      <c r="E67" s="19">
        <f t="array" ref="E67">index('Hitter Stats'!K:K,match($A67,'Hitter Stats'!$A:$A,0))-index('2024'!K:K,match($A67,'2024'!$A:$A,0))</f>
        <v>-6</v>
      </c>
      <c r="F67" s="19">
        <f t="array" ref="F67">index('Hitter Stats'!L:L,match($A67,'Hitter Stats'!$A:$A,0))-index('2024'!L:L,match($A67,'2024'!$A:$A,0))</f>
        <v>1</v>
      </c>
      <c r="G67" s="19">
        <f t="array" ref="G67">index('Hitter Stats'!M:M,match($A67,'Hitter Stats'!$A:$A,0))-index('2024'!M:M,match($A67,'2024'!$A:$A,0))</f>
        <v>-2</v>
      </c>
    </row>
    <row r="68">
      <c r="A68" s="11">
        <f>IFERROR(__xludf.DUMMYFUNCTION("""COMPUTED_VALUE"""),665862.0)</f>
        <v>665862</v>
      </c>
      <c r="B68" s="17" t="str">
        <f t="array" ref="B68">index('Hitter Stats'!B:B,match(A68,'Hitter Stats'!A:A,0))</f>
        <v>Jazz Chisholm Jr.</v>
      </c>
      <c r="C68" s="14">
        <f t="array" ref="C68">index('Hitter Stats'!F:F,match($A68,'Hitter Stats'!$A:$A,0))-index('2024'!F:F,match($A68,'2024'!$A:$A,0))</f>
        <v>0.001773804</v>
      </c>
      <c r="D68" s="19">
        <f t="array" ref="D68">index('Hitter Stats'!H:H,match($A68,'Hitter Stats'!$A:$A,0))-index('2024'!H:H,match($A68,'2024'!$A:$A,0))</f>
        <v>4</v>
      </c>
      <c r="E68" s="19">
        <f t="array" ref="E68">index('Hitter Stats'!K:K,match($A68,'Hitter Stats'!$A:$A,0))-index('2024'!K:K,match($A68,'2024'!$A:$A,0))</f>
        <v>-7</v>
      </c>
      <c r="F68" s="19">
        <f t="array" ref="F68">index('Hitter Stats'!L:L,match($A68,'Hitter Stats'!$A:$A,0))-index('2024'!L:L,match($A68,'2024'!$A:$A,0))</f>
        <v>17</v>
      </c>
      <c r="G68" s="19">
        <f t="array" ref="G68">index('Hitter Stats'!M:M,match($A68,'Hitter Stats'!$A:$A,0))-index('2024'!M:M,match($A68,'2024'!$A:$A,0))</f>
        <v>13</v>
      </c>
    </row>
    <row r="69">
      <c r="A69" s="11">
        <f>IFERROR(__xludf.DUMMYFUNCTION("""COMPUTED_VALUE"""),668804.0)</f>
        <v>668804</v>
      </c>
      <c r="B69" s="17" t="str">
        <f t="array" ref="B69">index('Hitter Stats'!B:B,match(A69,'Hitter Stats'!A:A,0))</f>
        <v>Bryan Reynolds</v>
      </c>
      <c r="C69" s="14">
        <f t="array" ref="C69">index('Hitter Stats'!F:F,match($A69,'Hitter Stats'!$A:$A,0))-index('2024'!F:F,match($A69,'2024'!$A:$A,0))</f>
        <v>-0.032642278</v>
      </c>
      <c r="D69" s="19">
        <f t="array" ref="D69">index('Hitter Stats'!H:H,match($A69,'Hitter Stats'!$A:$A,0))-index('2024'!H:H,match($A69,'2024'!$A:$A,0))</f>
        <v>11</v>
      </c>
      <c r="E69" s="19">
        <f t="array" ref="E69">index('Hitter Stats'!K:K,match($A69,'Hitter Stats'!$A:$A,0))-index('2024'!K:K,match($A69,'2024'!$A:$A,0))</f>
        <v>-9</v>
      </c>
      <c r="F69" s="19">
        <f t="array" ref="F69">index('Hitter Stats'!L:L,match($A69,'Hitter Stats'!$A:$A,0))-index('2024'!L:L,match($A69,'2024'!$A:$A,0))</f>
        <v>0</v>
      </c>
      <c r="G69" s="19">
        <f t="array" ref="G69">index('Hitter Stats'!M:M,match($A69,'Hitter Stats'!$A:$A,0))-index('2024'!M:M,match($A69,'2024'!$A:$A,0))</f>
        <v>0</v>
      </c>
    </row>
    <row r="70">
      <c r="A70" s="11">
        <f>IFERROR(__xludf.DUMMYFUNCTION("""COMPUTED_VALUE"""),668939.0)</f>
        <v>668939</v>
      </c>
      <c r="B70" s="17" t="str">
        <f t="array" ref="B70">index('Hitter Stats'!B:B,match(A70,'Hitter Stats'!A:A,0))</f>
        <v>Adley Rutschman</v>
      </c>
      <c r="C70" s="14">
        <f t="array" ref="C70">index('Hitter Stats'!F:F,match($A70,'Hitter Stats'!$A:$A,0))-index('2024'!F:F,match($A70,'2024'!$A:$A,0))</f>
        <v>-0.027486621</v>
      </c>
      <c r="D70" s="19">
        <f t="array" ref="D70">index('Hitter Stats'!H:H,match($A70,'Hitter Stats'!$A:$A,0))-index('2024'!H:H,match($A70,'2024'!$A:$A,0))</f>
        <v>22</v>
      </c>
      <c r="E70" s="19">
        <f t="array" ref="E70">index('Hitter Stats'!K:K,match($A70,'Hitter Stats'!$A:$A,0))-index('2024'!K:K,match($A70,'2024'!$A:$A,0))</f>
        <v>-4</v>
      </c>
      <c r="F70" s="19">
        <f t="array" ref="F70">index('Hitter Stats'!L:L,match($A70,'Hitter Stats'!$A:$A,0))-index('2024'!L:L,match($A70,'2024'!$A:$A,0))</f>
        <v>2</v>
      </c>
      <c r="G70" s="19">
        <f t="array" ref="G70">index('Hitter Stats'!M:M,match($A70,'Hitter Stats'!$A:$A,0))-index('2024'!M:M,match($A70,'2024'!$A:$A,0))</f>
        <v>8</v>
      </c>
    </row>
    <row r="71">
      <c r="A71" s="11">
        <f>IFERROR(__xludf.DUMMYFUNCTION("""COMPUTED_VALUE"""),664040.0)</f>
        <v>664040</v>
      </c>
      <c r="B71" s="17" t="str">
        <f t="array" ref="B71">index('Hitter Stats'!B:B,match(A71,'Hitter Stats'!A:A,0))</f>
        <v>Brandon Lowe</v>
      </c>
      <c r="C71" s="14">
        <f t="array" ref="C71">index('Hitter Stats'!F:F,match($A71,'Hitter Stats'!$A:$A,0))-index('2024'!F:F,match($A71,'2024'!$A:$A,0))</f>
        <v>-0.007862481</v>
      </c>
      <c r="D71" s="19">
        <f t="array" ref="D71">index('Hitter Stats'!H:H,match($A71,'Hitter Stats'!$A:$A,0))-index('2024'!H:H,match($A71,'2024'!$A:$A,0))</f>
        <v>4</v>
      </c>
      <c r="E71" s="19">
        <f t="array" ref="E71">index('Hitter Stats'!K:K,match($A71,'Hitter Stats'!$A:$A,0))-index('2024'!K:K,match($A71,'2024'!$A:$A,0))</f>
        <v>-7</v>
      </c>
      <c r="F71" s="19">
        <f t="array" ref="F71">index('Hitter Stats'!L:L,match($A71,'Hitter Stats'!$A:$A,0))-index('2024'!L:L,match($A71,'2024'!$A:$A,0))</f>
        <v>-8</v>
      </c>
      <c r="G71" s="19">
        <f t="array" ref="G71">index('Hitter Stats'!M:M,match($A71,'Hitter Stats'!$A:$A,0))-index('2024'!M:M,match($A71,'2024'!$A:$A,0))</f>
        <v>-7</v>
      </c>
    </row>
    <row r="72">
      <c r="A72" s="11">
        <f>IFERROR(__xludf.DUMMYFUNCTION("""COMPUTED_VALUE"""),669221.0)</f>
        <v>669221</v>
      </c>
      <c r="B72" s="17" t="str">
        <f t="array" ref="B72">index('Hitter Stats'!B:B,match(A72,'Hitter Stats'!A:A,0))</f>
        <v>Sean Murphy</v>
      </c>
      <c r="C72" s="14">
        <f t="array" ref="C72">index('Hitter Stats'!F:F,match($A72,'Hitter Stats'!$A:$A,0))-index('2024'!F:F,match($A72,'2024'!$A:$A,0))</f>
        <v>0.02732347</v>
      </c>
      <c r="D72" s="19">
        <f t="array" ref="D72">index('Hitter Stats'!H:H,match($A72,'Hitter Stats'!$A:$A,0))-index('2024'!H:H,match($A72,'2024'!$A:$A,0))</f>
        <v>3</v>
      </c>
      <c r="E72" s="19">
        <f t="array" ref="E72">index('Hitter Stats'!K:K,match($A72,'Hitter Stats'!$A:$A,0))-index('2024'!K:K,match($A72,'2024'!$A:$A,0))</f>
        <v>-17</v>
      </c>
      <c r="F72" s="19">
        <f t="array" ref="F72">index('Hitter Stats'!L:L,match($A72,'Hitter Stats'!$A:$A,0))-index('2024'!L:L,match($A72,'2024'!$A:$A,0))</f>
        <v>17</v>
      </c>
      <c r="G72" s="19">
        <f t="array" ref="G72">index('Hitter Stats'!M:M,match($A72,'Hitter Stats'!$A:$A,0))-index('2024'!M:M,match($A72,'2024'!$A:$A,0))</f>
        <v>7</v>
      </c>
    </row>
    <row r="73">
      <c r="A73" s="11">
        <f>IFERROR(__xludf.DUMMYFUNCTION("""COMPUTED_VALUE"""),646240.0)</f>
        <v>646240</v>
      </c>
      <c r="B73" s="17" t="str">
        <f t="array" ref="B73">index('Hitter Stats'!B:B,match(A73,'Hitter Stats'!A:A,0))</f>
        <v>Rafael Devers</v>
      </c>
      <c r="C73" s="14">
        <f t="array" ref="C73">index('Hitter Stats'!F:F,match($A73,'Hitter Stats'!$A:$A,0))-index('2024'!F:F,match($A73,'2024'!$A:$A,0))</f>
        <v>-0.032838163</v>
      </c>
      <c r="D73" s="19">
        <f t="array" ref="D73">index('Hitter Stats'!H:H,match($A73,'Hitter Stats'!$A:$A,0))-index('2024'!H:H,match($A73,'2024'!$A:$A,0))</f>
        <v>16</v>
      </c>
      <c r="E73" s="19">
        <f t="array" ref="E73">index('Hitter Stats'!K:K,match($A73,'Hitter Stats'!$A:$A,0))-index('2024'!K:K,match($A73,'2024'!$A:$A,0))</f>
        <v>-8</v>
      </c>
      <c r="F73" s="19">
        <f t="array" ref="F73">index('Hitter Stats'!L:L,match($A73,'Hitter Stats'!$A:$A,0))-index('2024'!L:L,match($A73,'2024'!$A:$A,0))</f>
        <v>-13</v>
      </c>
      <c r="G73" s="19">
        <f t="array" ref="G73">index('Hitter Stats'!M:M,match($A73,'Hitter Stats'!$A:$A,0))-index('2024'!M:M,match($A73,'2024'!$A:$A,0))</f>
        <v>-10</v>
      </c>
    </row>
    <row r="74">
      <c r="A74" s="11">
        <f>IFERROR(__xludf.DUMMYFUNCTION("""COMPUTED_VALUE"""),656811.0)</f>
        <v>656811</v>
      </c>
      <c r="B74" s="17" t="str">
        <f t="array" ref="B74">index('Hitter Stats'!B:B,match(A74,'Hitter Stats'!A:A,0))</f>
        <v>Ryan O'Hearn</v>
      </c>
      <c r="C74" s="14">
        <f t="array" ref="C74">index('Hitter Stats'!F:F,match($A74,'Hitter Stats'!$A:$A,0))-index('2024'!F:F,match($A74,'2024'!$A:$A,0))</f>
        <v>-0.024252465</v>
      </c>
      <c r="D74" s="19">
        <f t="array" ref="D74">index('Hitter Stats'!H:H,match($A74,'Hitter Stats'!$A:$A,0))-index('2024'!H:H,match($A74,'2024'!$A:$A,0))</f>
        <v>13</v>
      </c>
      <c r="E74" s="19">
        <f t="array" ref="E74">index('Hitter Stats'!K:K,match($A74,'Hitter Stats'!$A:$A,0))-index('2024'!K:K,match($A74,'2024'!$A:$A,0))</f>
        <v>-17</v>
      </c>
      <c r="F74" s="19">
        <f t="array" ref="F74">index('Hitter Stats'!L:L,match($A74,'Hitter Stats'!$A:$A,0))-index('2024'!L:L,match($A74,'2024'!$A:$A,0))</f>
        <v>2</v>
      </c>
      <c r="G74" s="19">
        <f t="array" ref="G74">index('Hitter Stats'!M:M,match($A74,'Hitter Stats'!$A:$A,0))-index('2024'!M:M,match($A74,'2024'!$A:$A,0))</f>
        <v>-3</v>
      </c>
    </row>
    <row r="75">
      <c r="A75" s="11">
        <f>IFERROR(__xludf.DUMMYFUNCTION("""COMPUTED_VALUE"""),663586.0)</f>
        <v>663586</v>
      </c>
      <c r="B75" s="17" t="str">
        <f t="array" ref="B75">index('Hitter Stats'!B:B,match(A75,'Hitter Stats'!A:A,0))</f>
        <v>Austin Riley</v>
      </c>
      <c r="C75" s="14">
        <f t="array" ref="C75">index('Hitter Stats'!F:F,match($A75,'Hitter Stats'!$A:$A,0))-index('2024'!F:F,match($A75,'2024'!$A:$A,0))</f>
        <v>0.002973676</v>
      </c>
      <c r="D75" s="19">
        <f t="array" ref="D75">index('Hitter Stats'!H:H,match($A75,'Hitter Stats'!$A:$A,0))-index('2024'!H:H,match($A75,'2024'!$A:$A,0))</f>
        <v>-8</v>
      </c>
      <c r="E75" s="19">
        <f t="array" ref="E75">index('Hitter Stats'!K:K,match($A75,'Hitter Stats'!$A:$A,0))-index('2024'!K:K,match($A75,'2024'!$A:$A,0))</f>
        <v>-9</v>
      </c>
      <c r="F75" s="19">
        <f t="array" ref="F75">index('Hitter Stats'!L:L,match($A75,'Hitter Stats'!$A:$A,0))-index('2024'!L:L,match($A75,'2024'!$A:$A,0))</f>
        <v>-2</v>
      </c>
      <c r="G75" s="19">
        <f t="array" ref="G75">index('Hitter Stats'!M:M,match($A75,'Hitter Stats'!$A:$A,0))-index('2024'!M:M,match($A75,'2024'!$A:$A,0))</f>
        <v>-10</v>
      </c>
    </row>
    <row r="76">
      <c r="A76" s="11">
        <f>IFERROR(__xludf.DUMMYFUNCTION("""COMPUTED_VALUE"""),668227.0)</f>
        <v>668227</v>
      </c>
      <c r="B76" s="17" t="str">
        <f t="array" ref="B76">index('Hitter Stats'!B:B,match(A76,'Hitter Stats'!A:A,0))</f>
        <v>Randy Arozarena</v>
      </c>
      <c r="C76" s="14">
        <f t="array" ref="C76">index('Hitter Stats'!F:F,match($A76,'Hitter Stats'!$A:$A,0))-index('2024'!F:F,match($A76,'2024'!$A:$A,0))</f>
        <v>0.008616297</v>
      </c>
      <c r="D76" s="19">
        <f t="array" ref="D76">index('Hitter Stats'!H:H,match($A76,'Hitter Stats'!$A:$A,0))-index('2024'!H:H,match($A76,'2024'!$A:$A,0))</f>
        <v>-1</v>
      </c>
      <c r="E76" s="19">
        <f t="array" ref="E76">index('Hitter Stats'!K:K,match($A76,'Hitter Stats'!$A:$A,0))-index('2024'!K:K,match($A76,'2024'!$A:$A,0))</f>
        <v>-6</v>
      </c>
      <c r="F76" s="19">
        <f t="array" ref="F76">index('Hitter Stats'!L:L,match($A76,'Hitter Stats'!$A:$A,0))-index('2024'!L:L,match($A76,'2024'!$A:$A,0))</f>
        <v>11</v>
      </c>
      <c r="G76" s="19">
        <f t="array" ref="G76">index('Hitter Stats'!M:M,match($A76,'Hitter Stats'!$A:$A,0))-index('2024'!M:M,match($A76,'2024'!$A:$A,0))</f>
        <v>6</v>
      </c>
    </row>
    <row r="77">
      <c r="A77" s="11">
        <f>IFERROR(__xludf.DUMMYFUNCTION("""COMPUTED_VALUE"""),664034.0)</f>
        <v>664034</v>
      </c>
      <c r="B77" s="17" t="str">
        <f t="array" ref="B77">index('Hitter Stats'!B:B,match(A77,'Hitter Stats'!A:A,0))</f>
        <v>Ty France</v>
      </c>
      <c r="C77" s="14">
        <f t="array" ref="C77">index('Hitter Stats'!F:F,match($A77,'Hitter Stats'!$A:$A,0))-index('2024'!F:F,match($A77,'2024'!$A:$A,0))</f>
        <v>0.003372931</v>
      </c>
      <c r="D77" s="19">
        <f t="array" ref="D77">index('Hitter Stats'!H:H,match($A77,'Hitter Stats'!$A:$A,0))-index('2024'!H:H,match($A77,'2024'!$A:$A,0))</f>
        <v>-10</v>
      </c>
      <c r="E77" s="19">
        <f t="array" ref="E77">index('Hitter Stats'!K:K,match($A77,'Hitter Stats'!$A:$A,0))-index('2024'!K:K,match($A77,'2024'!$A:$A,0))</f>
        <v>8</v>
      </c>
      <c r="F77" s="19">
        <f t="array" ref="F77">index('Hitter Stats'!L:L,match($A77,'Hitter Stats'!$A:$A,0))-index('2024'!L:L,match($A77,'2024'!$A:$A,0))</f>
        <v>6</v>
      </c>
      <c r="G77" s="19">
        <f t="array" ref="G77">index('Hitter Stats'!M:M,match($A77,'Hitter Stats'!$A:$A,0))-index('2024'!M:M,match($A77,'2024'!$A:$A,0))</f>
        <v>7</v>
      </c>
    </row>
    <row r="78">
      <c r="A78" s="11">
        <f>IFERROR(__xludf.DUMMYFUNCTION("""COMPUTED_VALUE"""),621020.0)</f>
        <v>621020</v>
      </c>
      <c r="B78" s="17" t="str">
        <f t="array" ref="B78">index('Hitter Stats'!B:B,match(A78,'Hitter Stats'!A:A,0))</f>
        <v>Dansby Swanson</v>
      </c>
      <c r="C78" s="14">
        <f t="array" ref="C78">index('Hitter Stats'!F:F,match($A78,'Hitter Stats'!$A:$A,0))-index('2024'!F:F,match($A78,'2024'!$A:$A,0))</f>
        <v>0.02376389</v>
      </c>
      <c r="D78" s="19">
        <f t="array" ref="D78">index('Hitter Stats'!H:H,match($A78,'Hitter Stats'!$A:$A,0))-index('2024'!H:H,match($A78,'2024'!$A:$A,0))</f>
        <v>-6</v>
      </c>
      <c r="E78" s="19">
        <f t="array" ref="E78">index('Hitter Stats'!K:K,match($A78,'Hitter Stats'!$A:$A,0))-index('2024'!K:K,match($A78,'2024'!$A:$A,0))</f>
        <v>-3</v>
      </c>
      <c r="F78" s="19">
        <f t="array" ref="F78">index('Hitter Stats'!L:L,match($A78,'Hitter Stats'!$A:$A,0))-index('2024'!L:L,match($A78,'2024'!$A:$A,0))</f>
        <v>10</v>
      </c>
      <c r="G78" s="19">
        <f t="array" ref="G78">index('Hitter Stats'!M:M,match($A78,'Hitter Stats'!$A:$A,0))-index('2024'!M:M,match($A78,'2024'!$A:$A,0))</f>
        <v>5</v>
      </c>
    </row>
    <row r="79">
      <c r="A79" s="11">
        <f>IFERROR(__xludf.DUMMYFUNCTION("""COMPUTED_VALUE"""),518692.0)</f>
        <v>518692</v>
      </c>
      <c r="B79" s="17" t="str">
        <f t="array" ref="B79">index('Hitter Stats'!B:B,match(A79,'Hitter Stats'!A:A,0))</f>
        <v>Freddie Freeman</v>
      </c>
      <c r="C79" s="14">
        <f t="array" ref="C79">index('Hitter Stats'!F:F,match($A79,'Hitter Stats'!$A:$A,0))-index('2024'!F:F,match($A79,'2024'!$A:$A,0))</f>
        <v>0.011770048</v>
      </c>
      <c r="D79" s="19">
        <f t="array" ref="D79">index('Hitter Stats'!H:H,match($A79,'Hitter Stats'!$A:$A,0))-index('2024'!H:H,match($A79,'2024'!$A:$A,0))</f>
        <v>-4</v>
      </c>
      <c r="E79" s="19">
        <f t="array" ref="E79">index('Hitter Stats'!K:K,match($A79,'Hitter Stats'!$A:$A,0))-index('2024'!K:K,match($A79,'2024'!$A:$A,0))</f>
        <v>-17</v>
      </c>
      <c r="F79" s="19">
        <f t="array" ref="F79">index('Hitter Stats'!L:L,match($A79,'Hitter Stats'!$A:$A,0))-index('2024'!L:L,match($A79,'2024'!$A:$A,0))</f>
        <v>1</v>
      </c>
      <c r="G79" s="19">
        <f t="array" ref="G79">index('Hitter Stats'!M:M,match($A79,'Hitter Stats'!$A:$A,0))-index('2024'!M:M,match($A79,'2024'!$A:$A,0))</f>
        <v>-12</v>
      </c>
    </row>
    <row r="80">
      <c r="A80" s="11">
        <f>IFERROR(__xludf.DUMMYFUNCTION("""COMPUTED_VALUE"""),682177.0)</f>
        <v>682177</v>
      </c>
      <c r="B80" s="17" t="str">
        <f t="array" ref="B80">index('Hitter Stats'!B:B,match(A80,'Hitter Stats'!A:A,0))</f>
        <v>Daniel Schneemann</v>
      </c>
      <c r="C80" s="14">
        <f t="array" ref="C80">index('Hitter Stats'!F:F,match($A80,'Hitter Stats'!$A:$A,0))-index('2024'!F:F,match($A80,'2024'!$A:$A,0))</f>
        <v>-0.016092274</v>
      </c>
      <c r="D80" s="19">
        <f t="array" ref="D80">index('Hitter Stats'!H:H,match($A80,'Hitter Stats'!$A:$A,0))-index('2024'!H:H,match($A80,'2024'!$A:$A,0))</f>
        <v>-13</v>
      </c>
      <c r="E80" s="19">
        <f t="array" ref="E80">index('Hitter Stats'!K:K,match($A80,'Hitter Stats'!$A:$A,0))-index('2024'!K:K,match($A80,'2024'!$A:$A,0))</f>
        <v>20</v>
      </c>
      <c r="F80" s="19">
        <f t="array" ref="F80">index('Hitter Stats'!L:L,match($A80,'Hitter Stats'!$A:$A,0))-index('2024'!L:L,match($A80,'2024'!$A:$A,0))</f>
        <v>17</v>
      </c>
      <c r="G80" s="19">
        <f t="array" ref="G80">index('Hitter Stats'!M:M,match($A80,'Hitter Stats'!$A:$A,0))-index('2024'!M:M,match($A80,'2024'!$A:$A,0))</f>
        <v>21</v>
      </c>
    </row>
    <row r="81">
      <c r="A81" s="11">
        <f>IFERROR(__xludf.DUMMYFUNCTION("""COMPUTED_VALUE"""),693304.0)</f>
        <v>693304</v>
      </c>
      <c r="B81" s="17" t="str">
        <f t="array" ref="B81">index('Hitter Stats'!B:B,match(A81,'Hitter Stats'!A:A,0))</f>
        <v>Nick Gonzales</v>
      </c>
      <c r="C81" s="14">
        <f t="array" ref="C81">index('Hitter Stats'!F:F,match($A81,'Hitter Stats'!$A:$A,0))-index('2024'!F:F,match($A81,'2024'!$A:$A,0))</f>
        <v>0.008116494</v>
      </c>
      <c r="D81" s="19">
        <f t="array" ref="D81">index('Hitter Stats'!H:H,match($A81,'Hitter Stats'!$A:$A,0))-index('2024'!H:H,match($A81,'2024'!$A:$A,0))</f>
        <v>22</v>
      </c>
      <c r="E81" s="19">
        <f t="array" ref="E81">index('Hitter Stats'!K:K,match($A81,'Hitter Stats'!$A:$A,0))-index('2024'!K:K,match($A81,'2024'!$A:$A,0))</f>
        <v>3</v>
      </c>
      <c r="F81" s="19">
        <f t="array" ref="F81">index('Hitter Stats'!L:L,match($A81,'Hitter Stats'!$A:$A,0))-index('2024'!L:L,match($A81,'2024'!$A:$A,0))</f>
        <v>-5</v>
      </c>
      <c r="G81" s="19">
        <f t="array" ref="G81">index('Hitter Stats'!M:M,match($A81,'Hitter Stats'!$A:$A,0))-index('2024'!M:M,match($A81,'2024'!$A:$A,0))</f>
        <v>7</v>
      </c>
    </row>
    <row r="82">
      <c r="A82" s="11">
        <f>IFERROR(__xludf.DUMMYFUNCTION("""COMPUTED_VALUE"""),672515.0)</f>
        <v>672515</v>
      </c>
      <c r="B82" s="17" t="str">
        <f t="array" ref="B82">index('Hitter Stats'!B:B,match(A82,'Hitter Stats'!A:A,0))</f>
        <v>Gabriel Moreno</v>
      </c>
      <c r="C82" s="14">
        <f t="array" ref="C82">index('Hitter Stats'!F:F,match($A82,'Hitter Stats'!$A:$A,0))-index('2024'!F:F,match($A82,'2024'!$A:$A,0))</f>
        <v>0.038169273</v>
      </c>
      <c r="D82" s="19">
        <f t="array" ref="D82">index('Hitter Stats'!H:H,match($A82,'Hitter Stats'!$A:$A,0))-index('2024'!H:H,match($A82,'2024'!$A:$A,0))</f>
        <v>-18</v>
      </c>
      <c r="E82" s="19">
        <f t="array" ref="E82">index('Hitter Stats'!K:K,match($A82,'Hitter Stats'!$A:$A,0))-index('2024'!K:K,match($A82,'2024'!$A:$A,0))</f>
        <v>-9</v>
      </c>
      <c r="F82" s="19">
        <f t="array" ref="F82">index('Hitter Stats'!L:L,match($A82,'Hitter Stats'!$A:$A,0))-index('2024'!L:L,match($A82,'2024'!$A:$A,0))</f>
        <v>13</v>
      </c>
      <c r="G82" s="19">
        <f t="array" ref="G82">index('Hitter Stats'!M:M,match($A82,'Hitter Stats'!$A:$A,0))-index('2024'!M:M,match($A82,'2024'!$A:$A,0))</f>
        <v>-1</v>
      </c>
    </row>
    <row r="83">
      <c r="A83" s="11">
        <f>IFERROR(__xludf.DUMMYFUNCTION("""COMPUTED_VALUE"""),673237.0)</f>
        <v>673237</v>
      </c>
      <c r="B83" s="17" t="str">
        <f t="array" ref="B83">index('Hitter Stats'!B:B,match(A83,'Hitter Stats'!A:A,0))</f>
        <v>Yainer Diaz</v>
      </c>
      <c r="C83" s="14">
        <f t="array" ref="C83">index('Hitter Stats'!F:F,match($A83,'Hitter Stats'!$A:$A,0))-index('2024'!F:F,match($A83,'2024'!$A:$A,0))</f>
        <v>0.009744441</v>
      </c>
      <c r="D83" s="19">
        <f t="array" ref="D83">index('Hitter Stats'!H:H,match($A83,'Hitter Stats'!$A:$A,0))-index('2024'!H:H,match($A83,'2024'!$A:$A,0))</f>
        <v>-10</v>
      </c>
      <c r="E83" s="19">
        <f t="array" ref="E83">index('Hitter Stats'!K:K,match($A83,'Hitter Stats'!$A:$A,0))-index('2024'!K:K,match($A83,'2024'!$A:$A,0))</f>
        <v>1</v>
      </c>
      <c r="F83" s="19">
        <f t="array" ref="F83">index('Hitter Stats'!L:L,match($A83,'Hitter Stats'!$A:$A,0))-index('2024'!L:L,match($A83,'2024'!$A:$A,0))</f>
        <v>-6</v>
      </c>
      <c r="G83" s="19">
        <f t="array" ref="G83">index('Hitter Stats'!M:M,match($A83,'Hitter Stats'!$A:$A,0))-index('2024'!M:M,match($A83,'2024'!$A:$A,0))</f>
        <v>-8</v>
      </c>
    </row>
    <row r="84">
      <c r="A84" s="11">
        <f>IFERROR(__xludf.DUMMYFUNCTION("""COMPUTED_VALUE"""),683734.0)</f>
        <v>683734</v>
      </c>
      <c r="B84" s="17" t="str">
        <f t="array" ref="B84">index('Hitter Stats'!B:B,match(A84,'Hitter Stats'!A:A,0))</f>
        <v>Andrew Vaughn</v>
      </c>
      <c r="C84" s="14">
        <f t="array" ref="C84">index('Hitter Stats'!F:F,match($A84,'Hitter Stats'!$A:$A,0))-index('2024'!F:F,match($A84,'2024'!$A:$A,0))</f>
        <v>0.015805732</v>
      </c>
      <c r="D84" s="19">
        <f t="array" ref="D84">index('Hitter Stats'!H:H,match($A84,'Hitter Stats'!$A:$A,0))-index('2024'!H:H,match($A84,'2024'!$A:$A,0))</f>
        <v>2</v>
      </c>
      <c r="E84" s="19">
        <f t="array" ref="E84">index('Hitter Stats'!K:K,match($A84,'Hitter Stats'!$A:$A,0))-index('2024'!K:K,match($A84,'2024'!$A:$A,0))</f>
        <v>-11</v>
      </c>
      <c r="F84" s="19">
        <f t="array" ref="F84">index('Hitter Stats'!L:L,match($A84,'Hitter Stats'!$A:$A,0))-index('2024'!L:L,match($A84,'2024'!$A:$A,0))</f>
        <v>1</v>
      </c>
      <c r="G84" s="19">
        <f t="array" ref="G84">index('Hitter Stats'!M:M,match($A84,'Hitter Stats'!$A:$A,0))-index('2024'!M:M,match($A84,'2024'!$A:$A,0))</f>
        <v>-3</v>
      </c>
    </row>
    <row r="85">
      <c r="A85" s="11">
        <f>IFERROR(__xludf.DUMMYFUNCTION("""COMPUTED_VALUE"""),672580.0)</f>
        <v>672580</v>
      </c>
      <c r="B85" s="17" t="str">
        <f t="array" ref="B85">index('Hitter Stats'!B:B,match(A85,'Hitter Stats'!A:A,0))</f>
        <v>Maikel Garcia</v>
      </c>
      <c r="C85" s="14">
        <f t="array" ref="C85">index('Hitter Stats'!F:F,match($A85,'Hitter Stats'!$A:$A,0))-index('2024'!F:F,match($A85,'2024'!$A:$A,0))</f>
        <v>-0.0169873</v>
      </c>
      <c r="D85" s="19">
        <f t="array" ref="D85">index('Hitter Stats'!H:H,match($A85,'Hitter Stats'!$A:$A,0))-index('2024'!H:H,match($A85,'2024'!$A:$A,0))</f>
        <v>1</v>
      </c>
      <c r="E85" s="19">
        <f t="array" ref="E85">index('Hitter Stats'!K:K,match($A85,'Hitter Stats'!$A:$A,0))-index('2024'!K:K,match($A85,'2024'!$A:$A,0))</f>
        <v>7</v>
      </c>
      <c r="F85" s="19">
        <f t="array" ref="F85">index('Hitter Stats'!L:L,match($A85,'Hitter Stats'!$A:$A,0))-index('2024'!L:L,match($A85,'2024'!$A:$A,0))</f>
        <v>5</v>
      </c>
      <c r="G85" s="19">
        <f t="array" ref="G85">index('Hitter Stats'!M:M,match($A85,'Hitter Stats'!$A:$A,0))-index('2024'!M:M,match($A85,'2024'!$A:$A,0))</f>
        <v>7</v>
      </c>
    </row>
    <row r="86">
      <c r="A86" s="11">
        <f>IFERROR(__xludf.DUMMYFUNCTION("""COMPUTED_VALUE"""),676475.0)</f>
        <v>676475</v>
      </c>
      <c r="B86" s="17" t="str">
        <f t="array" ref="B86">index('Hitter Stats'!B:B,match(A86,'Hitter Stats'!A:A,0))</f>
        <v>Alec Burleson</v>
      </c>
      <c r="C86" s="14">
        <f t="array" ref="C86">index('Hitter Stats'!F:F,match($A86,'Hitter Stats'!$A:$A,0))-index('2024'!F:F,match($A86,'2024'!$A:$A,0))</f>
        <v>-0.092047807</v>
      </c>
      <c r="D86" s="19">
        <f t="array" ref="D86">index('Hitter Stats'!H:H,match($A86,'Hitter Stats'!$A:$A,0))-index('2024'!H:H,match($A86,'2024'!$A:$A,0))</f>
        <v>5</v>
      </c>
      <c r="E86" s="19">
        <f t="array" ref="E86">index('Hitter Stats'!K:K,match($A86,'Hitter Stats'!$A:$A,0))-index('2024'!K:K,match($A86,'2024'!$A:$A,0))</f>
        <v>-1</v>
      </c>
      <c r="F86" s="19">
        <f t="array" ref="F86">index('Hitter Stats'!L:L,match($A86,'Hitter Stats'!$A:$A,0))-index('2024'!L:L,match($A86,'2024'!$A:$A,0))</f>
        <v>1</v>
      </c>
      <c r="G86" s="19">
        <f t="array" ref="G86">index('Hitter Stats'!M:M,match($A86,'Hitter Stats'!$A:$A,0))-index('2024'!M:M,match($A86,'2024'!$A:$A,0))</f>
        <v>4</v>
      </c>
    </row>
    <row r="87">
      <c r="A87" s="11">
        <f>IFERROR(__xludf.DUMMYFUNCTION("""COMPUTED_VALUE"""),606192.0)</f>
        <v>606192</v>
      </c>
      <c r="B87" s="17" t="str">
        <f t="array" ref="B87">index('Hitter Stats'!B:B,match(A87,'Hitter Stats'!A:A,0))</f>
        <v>Teoscar Hernández</v>
      </c>
      <c r="C87" s="14">
        <f t="array" ref="C87">index('Hitter Stats'!F:F,match($A87,'Hitter Stats'!$A:$A,0))-index('2024'!F:F,match($A87,'2024'!$A:$A,0))</f>
        <v>-0.029033483</v>
      </c>
      <c r="D87" s="19">
        <f t="array" ref="D87">index('Hitter Stats'!H:H,match($A87,'Hitter Stats'!$A:$A,0))-index('2024'!H:H,match($A87,'2024'!$A:$A,0))</f>
        <v>2</v>
      </c>
      <c r="E87" s="19">
        <f t="array" ref="E87">index('Hitter Stats'!K:K,match($A87,'Hitter Stats'!$A:$A,0))-index('2024'!K:K,match($A87,'2024'!$A:$A,0))</f>
        <v>7</v>
      </c>
      <c r="F87" s="19">
        <f t="array" ref="F87">index('Hitter Stats'!L:L,match($A87,'Hitter Stats'!$A:$A,0))-index('2024'!L:L,match($A87,'2024'!$A:$A,0))</f>
        <v>-12</v>
      </c>
      <c r="G87" s="19">
        <f t="array" ref="G87">index('Hitter Stats'!M:M,match($A87,'Hitter Stats'!$A:$A,0))-index('2024'!M:M,match($A87,'2024'!$A:$A,0))</f>
        <v>-3</v>
      </c>
    </row>
    <row r="88">
      <c r="A88" s="11">
        <f>IFERROR(__xludf.DUMMYFUNCTION("""COMPUTED_VALUE"""),681351.0)</f>
        <v>681351</v>
      </c>
      <c r="B88" s="17" t="str">
        <f t="array" ref="B88">index('Hitter Stats'!B:B,match(A88,'Hitter Stats'!A:A,0))</f>
        <v>Logan O'Hoppe</v>
      </c>
      <c r="C88" s="14">
        <f t="array" ref="C88">index('Hitter Stats'!F:F,match($A88,'Hitter Stats'!$A:$A,0))-index('2024'!F:F,match($A88,'2024'!$A:$A,0))</f>
        <v>-0.017113236</v>
      </c>
      <c r="D88" s="19">
        <f t="array" ref="D88">index('Hitter Stats'!H:H,match($A88,'Hitter Stats'!$A:$A,0))-index('2024'!H:H,match($A88,'2024'!$A:$A,0))</f>
        <v>3</v>
      </c>
      <c r="E88" s="19">
        <f t="array" ref="E88">index('Hitter Stats'!K:K,match($A88,'Hitter Stats'!$A:$A,0))-index('2024'!K:K,match($A88,'2024'!$A:$A,0))</f>
        <v>-6</v>
      </c>
      <c r="F88" s="19">
        <f t="array" ref="F88">index('Hitter Stats'!L:L,match($A88,'Hitter Stats'!$A:$A,0))-index('2024'!L:L,match($A88,'2024'!$A:$A,0))</f>
        <v>-3</v>
      </c>
      <c r="G88" s="19">
        <f t="array" ref="G88">index('Hitter Stats'!M:M,match($A88,'Hitter Stats'!$A:$A,0))-index('2024'!M:M,match($A88,'2024'!$A:$A,0))</f>
        <v>-4</v>
      </c>
    </row>
    <row r="89">
      <c r="A89" s="11">
        <f>IFERROR(__xludf.DUMMYFUNCTION("""COMPUTED_VALUE"""),666397.0)</f>
        <v>666397</v>
      </c>
      <c r="B89" s="17" t="str">
        <f t="array" ref="B89">index('Hitter Stats'!B:B,match(A89,'Hitter Stats'!A:A,0))</f>
        <v>Edouard Julien</v>
      </c>
      <c r="C89" s="14">
        <f t="array" ref="C89">index('Hitter Stats'!F:F,match($A89,'Hitter Stats'!$A:$A,0))-index('2024'!F:F,match($A89,'2024'!$A:$A,0))</f>
        <v>0.02955039</v>
      </c>
      <c r="D89" s="19">
        <f t="array" ref="D89">index('Hitter Stats'!H:H,match($A89,'Hitter Stats'!$A:$A,0))-index('2024'!H:H,match($A89,'2024'!$A:$A,0))</f>
        <v>-4</v>
      </c>
      <c r="E89" s="19">
        <f t="array" ref="E89">index('Hitter Stats'!K:K,match($A89,'Hitter Stats'!$A:$A,0))-index('2024'!K:K,match($A89,'2024'!$A:$A,0))</f>
        <v>3</v>
      </c>
      <c r="F89" s="19">
        <f t="array" ref="F89">index('Hitter Stats'!L:L,match($A89,'Hitter Stats'!$A:$A,0))-index('2024'!L:L,match($A89,'2024'!$A:$A,0))</f>
        <v>6</v>
      </c>
      <c r="G89" s="19">
        <f t="array" ref="G89">index('Hitter Stats'!M:M,match($A89,'Hitter Stats'!$A:$A,0))-index('2024'!M:M,match($A89,'2024'!$A:$A,0))</f>
        <v>5</v>
      </c>
    </row>
    <row r="90">
      <c r="A90" s="11">
        <f>IFERROR(__xludf.DUMMYFUNCTION("""COMPUTED_VALUE"""),681481.0)</f>
        <v>681481</v>
      </c>
      <c r="B90" s="17" t="str">
        <f t="array" ref="B90">index('Hitter Stats'!B:B,match(A90,'Hitter Stats'!A:A,0))</f>
        <v>Kerry Carpenter</v>
      </c>
      <c r="C90" s="14">
        <f t="array" ref="C90">index('Hitter Stats'!F:F,match($A90,'Hitter Stats'!$A:$A,0))-index('2024'!F:F,match($A90,'2024'!$A:$A,0))</f>
        <v>0.039186253</v>
      </c>
      <c r="D90" s="19">
        <f t="array" ref="D90">index('Hitter Stats'!H:H,match($A90,'Hitter Stats'!$A:$A,0))-index('2024'!H:H,match($A90,'2024'!$A:$A,0))</f>
        <v>-10</v>
      </c>
      <c r="E90" s="19">
        <f t="array" ref="E90">index('Hitter Stats'!K:K,match($A90,'Hitter Stats'!$A:$A,0))-index('2024'!K:K,match($A90,'2024'!$A:$A,0))</f>
        <v>6</v>
      </c>
      <c r="F90" s="19">
        <f t="array" ref="F90">index('Hitter Stats'!L:L,match($A90,'Hitter Stats'!$A:$A,0))-index('2024'!L:L,match($A90,'2024'!$A:$A,0))</f>
        <v>-20</v>
      </c>
      <c r="G90" s="19">
        <f t="array" ref="G90">index('Hitter Stats'!M:M,match($A90,'Hitter Stats'!$A:$A,0))-index('2024'!M:M,match($A90,'2024'!$A:$A,0))</f>
        <v>-16</v>
      </c>
    </row>
    <row r="91">
      <c r="A91" s="11">
        <f>IFERROR(__xludf.DUMMYFUNCTION("""COMPUTED_VALUE"""),671277.0)</f>
        <v>671277</v>
      </c>
      <c r="B91" s="17" t="str">
        <f t="array" ref="B91">index('Hitter Stats'!B:B,match(A91,'Hitter Stats'!A:A,0))</f>
        <v>Luis García Jr.</v>
      </c>
      <c r="C91" s="14">
        <f t="array" ref="C91">index('Hitter Stats'!F:F,match($A91,'Hitter Stats'!$A:$A,0))-index('2024'!F:F,match($A91,'2024'!$A:$A,0))</f>
        <v>0.016823993</v>
      </c>
      <c r="D91" s="19">
        <f t="array" ref="D91">index('Hitter Stats'!H:H,match($A91,'Hitter Stats'!$A:$A,0))-index('2024'!H:H,match($A91,'2024'!$A:$A,0))</f>
        <v>-4</v>
      </c>
      <c r="E91" s="19">
        <f t="array" ref="E91">index('Hitter Stats'!K:K,match($A91,'Hitter Stats'!$A:$A,0))-index('2024'!K:K,match($A91,'2024'!$A:$A,0))</f>
        <v>6</v>
      </c>
      <c r="F91" s="19">
        <f t="array" ref="F91">index('Hitter Stats'!L:L,match($A91,'Hitter Stats'!$A:$A,0))-index('2024'!L:L,match($A91,'2024'!$A:$A,0))</f>
        <v>-2</v>
      </c>
      <c r="G91" s="19">
        <f t="array" ref="G91">index('Hitter Stats'!M:M,match($A91,'Hitter Stats'!$A:$A,0))-index('2024'!M:M,match($A91,'2024'!$A:$A,0))</f>
        <v>1</v>
      </c>
    </row>
    <row r="92">
      <c r="A92" s="11">
        <f>IFERROR(__xludf.DUMMYFUNCTION("""COMPUTED_VALUE"""),593871.0)</f>
        <v>593871</v>
      </c>
      <c r="B92" s="17" t="str">
        <f t="array" ref="B92">index('Hitter Stats'!B:B,match(A92,'Hitter Stats'!A:A,0))</f>
        <v>Jorge Polanco</v>
      </c>
      <c r="C92" s="14">
        <f t="array" ref="C92">index('Hitter Stats'!F:F,match($A92,'Hitter Stats'!$A:$A,0))-index('2024'!F:F,match($A92,'2024'!$A:$A,0))</f>
        <v>0.03069148</v>
      </c>
      <c r="D92" s="19">
        <f t="array" ref="D92">index('Hitter Stats'!H:H,match($A92,'Hitter Stats'!$A:$A,0))-index('2024'!H:H,match($A92,'2024'!$A:$A,0))</f>
        <v>-5</v>
      </c>
      <c r="E92" s="19">
        <f t="array" ref="E92">index('Hitter Stats'!K:K,match($A92,'Hitter Stats'!$A:$A,0))-index('2024'!K:K,match($A92,'2024'!$A:$A,0))</f>
        <v>35</v>
      </c>
      <c r="F92" s="19">
        <f t="array" ref="F92">index('Hitter Stats'!L:L,match($A92,'Hitter Stats'!$A:$A,0))-index('2024'!L:L,match($A92,'2024'!$A:$A,0))</f>
        <v>-6</v>
      </c>
      <c r="G92" s="19">
        <f t="array" ref="G92">index('Hitter Stats'!M:M,match($A92,'Hitter Stats'!$A:$A,0))-index('2024'!M:M,match($A92,'2024'!$A:$A,0))</f>
        <v>10</v>
      </c>
    </row>
    <row r="93">
      <c r="A93" s="11">
        <f>IFERROR(__xludf.DUMMYFUNCTION("""COMPUTED_VALUE"""),672695.0)</f>
        <v>672695</v>
      </c>
      <c r="B93" s="17" t="str">
        <f t="array" ref="B93">index('Hitter Stats'!B:B,match(A93,'Hitter Stats'!A:A,0))</f>
        <v>Geraldo Perdomo</v>
      </c>
      <c r="C93" s="14">
        <f t="array" ref="C93">index('Hitter Stats'!F:F,match($A93,'Hitter Stats'!$A:$A,0))-index('2024'!F:F,match($A93,'2024'!$A:$A,0))</f>
        <v>-0.020583883</v>
      </c>
      <c r="D93" s="19">
        <f t="array" ref="D93">index('Hitter Stats'!H:H,match($A93,'Hitter Stats'!$A:$A,0))-index('2024'!H:H,match($A93,'2024'!$A:$A,0))</f>
        <v>6</v>
      </c>
      <c r="E93" s="19">
        <f t="array" ref="E93">index('Hitter Stats'!K:K,match($A93,'Hitter Stats'!$A:$A,0))-index('2024'!K:K,match($A93,'2024'!$A:$A,0))</f>
        <v>2</v>
      </c>
      <c r="F93" s="19">
        <f t="array" ref="F93">index('Hitter Stats'!L:L,match($A93,'Hitter Stats'!$A:$A,0))-index('2024'!L:L,match($A93,'2024'!$A:$A,0))</f>
        <v>10</v>
      </c>
      <c r="G93" s="19">
        <f t="array" ref="G93">index('Hitter Stats'!M:M,match($A93,'Hitter Stats'!$A:$A,0))-index('2024'!M:M,match($A93,'2024'!$A:$A,0))</f>
        <v>12</v>
      </c>
    </row>
    <row r="94">
      <c r="A94" s="11">
        <f>IFERROR(__xludf.DUMMYFUNCTION("""COMPUTED_VALUE"""),605141.0)</f>
        <v>605141</v>
      </c>
      <c r="B94" s="17" t="str">
        <f t="array" ref="B94">index('Hitter Stats'!B:B,match(A94,'Hitter Stats'!A:A,0))</f>
        <v>Mookie Betts</v>
      </c>
      <c r="C94" s="14">
        <f t="array" ref="C94">index('Hitter Stats'!F:F,match($A94,'Hitter Stats'!$A:$A,0))-index('2024'!F:F,match($A94,'2024'!$A:$A,0))</f>
        <v>0.017938874</v>
      </c>
      <c r="D94" s="19">
        <f t="array" ref="D94">index('Hitter Stats'!H:H,match($A94,'Hitter Stats'!$A:$A,0))-index('2024'!H:H,match($A94,'2024'!$A:$A,0))</f>
        <v>-4</v>
      </c>
      <c r="E94" s="19">
        <f t="array" ref="E94">index('Hitter Stats'!K:K,match($A94,'Hitter Stats'!$A:$A,0))-index('2024'!K:K,match($A94,'2024'!$A:$A,0))</f>
        <v>5</v>
      </c>
      <c r="F94" s="19">
        <f t="array" ref="F94">index('Hitter Stats'!L:L,match($A94,'Hitter Stats'!$A:$A,0))-index('2024'!L:L,match($A94,'2024'!$A:$A,0))</f>
        <v>-11</v>
      </c>
      <c r="G94" s="19">
        <f t="array" ref="G94">index('Hitter Stats'!M:M,match($A94,'Hitter Stats'!$A:$A,0))-index('2024'!M:M,match($A94,'2024'!$A:$A,0))</f>
        <v>-16</v>
      </c>
    </row>
    <row r="95">
      <c r="A95" s="11">
        <f>IFERROR(__xludf.DUMMYFUNCTION("""COMPUTED_VALUE"""),671218.0)</f>
        <v>671218</v>
      </c>
      <c r="B95" s="17" t="str">
        <f t="array" ref="B95">index('Hitter Stats'!B:B,match(A95,'Hitter Stats'!A:A,0))</f>
        <v>Heliot Ramos</v>
      </c>
      <c r="C95" s="14">
        <f t="array" ref="C95">index('Hitter Stats'!F:F,match($A95,'Hitter Stats'!$A:$A,0))-index('2024'!F:F,match($A95,'2024'!$A:$A,0))</f>
        <v>-0.037398429</v>
      </c>
      <c r="D95" s="19">
        <f t="array" ref="D95">index('Hitter Stats'!H:H,match($A95,'Hitter Stats'!$A:$A,0))-index('2024'!H:H,match($A95,'2024'!$A:$A,0))</f>
        <v>1</v>
      </c>
      <c r="E95" s="19">
        <f t="array" ref="E95">index('Hitter Stats'!K:K,match($A95,'Hitter Stats'!$A:$A,0))-index('2024'!K:K,match($A95,'2024'!$A:$A,0))</f>
        <v>6</v>
      </c>
      <c r="F95" s="19">
        <f t="array" ref="F95">index('Hitter Stats'!L:L,match($A95,'Hitter Stats'!$A:$A,0))-index('2024'!L:L,match($A95,'2024'!$A:$A,0))</f>
        <v>-12</v>
      </c>
      <c r="G95" s="19">
        <f t="array" ref="G95">index('Hitter Stats'!M:M,match($A95,'Hitter Stats'!$A:$A,0))-index('2024'!M:M,match($A95,'2024'!$A:$A,0))</f>
        <v>-6</v>
      </c>
    </row>
    <row r="96">
      <c r="A96" s="11">
        <f>IFERROR(__xludf.DUMMYFUNCTION("""COMPUTED_VALUE"""),457705.0)</f>
        <v>457705</v>
      </c>
      <c r="B96" s="17" t="str">
        <f t="array" ref="B96">index('Hitter Stats'!B:B,match(A96,'Hitter Stats'!A:A,0))</f>
        <v>Andrew McCutchen</v>
      </c>
      <c r="C96" s="14">
        <f t="array" ref="C96">index('Hitter Stats'!F:F,match($A96,'Hitter Stats'!$A:$A,0))-index('2024'!F:F,match($A96,'2024'!$A:$A,0))</f>
        <v>0.047384572</v>
      </c>
      <c r="D96" s="19">
        <f t="array" ref="D96">index('Hitter Stats'!H:H,match($A96,'Hitter Stats'!$A:$A,0))-index('2024'!H:H,match($A96,'2024'!$A:$A,0))</f>
        <v>-10</v>
      </c>
      <c r="E96" s="19">
        <f t="array" ref="E96">index('Hitter Stats'!K:K,match($A96,'Hitter Stats'!$A:$A,0))-index('2024'!K:K,match($A96,'2024'!$A:$A,0))</f>
        <v>3</v>
      </c>
      <c r="F96" s="19">
        <f t="array" ref="F96">index('Hitter Stats'!L:L,match($A96,'Hitter Stats'!$A:$A,0))-index('2024'!L:L,match($A96,'2024'!$A:$A,0))</f>
        <v>-3</v>
      </c>
      <c r="G96" s="19">
        <f t="array" ref="G96">index('Hitter Stats'!M:M,match($A96,'Hitter Stats'!$A:$A,0))-index('2024'!M:M,match($A96,'2024'!$A:$A,0))</f>
        <v>-8</v>
      </c>
    </row>
    <row r="97">
      <c r="A97" s="11">
        <f>IFERROR(__xludf.DUMMYFUNCTION("""COMPUTED_VALUE"""),691016.0)</f>
        <v>691016</v>
      </c>
      <c r="B97" s="17" t="str">
        <f t="array" ref="B97">index('Hitter Stats'!B:B,match(A97,'Hitter Stats'!A:A,0))</f>
        <v>Tyler Soderstrom</v>
      </c>
      <c r="C97" s="14">
        <f t="array" ref="C97">index('Hitter Stats'!F:F,match($A97,'Hitter Stats'!$A:$A,0))-index('2024'!F:F,match($A97,'2024'!$A:$A,0))</f>
        <v>-0.00599563</v>
      </c>
      <c r="D97" s="19">
        <f t="array" ref="D97">index('Hitter Stats'!H:H,match($A97,'Hitter Stats'!$A:$A,0))-index('2024'!H:H,match($A97,'2024'!$A:$A,0))</f>
        <v>6</v>
      </c>
      <c r="E97" s="19">
        <f t="array" ref="E97">index('Hitter Stats'!K:K,match($A97,'Hitter Stats'!$A:$A,0))-index('2024'!K:K,match($A97,'2024'!$A:$A,0))</f>
        <v>-7</v>
      </c>
      <c r="F97" s="19">
        <f t="array" ref="F97">index('Hitter Stats'!L:L,match($A97,'Hitter Stats'!$A:$A,0))-index('2024'!L:L,match($A97,'2024'!$A:$A,0))</f>
        <v>-9</v>
      </c>
      <c r="G97" s="19">
        <f t="array" ref="G97">index('Hitter Stats'!M:M,match($A97,'Hitter Stats'!$A:$A,0))-index('2024'!M:M,match($A97,'2024'!$A:$A,0))</f>
        <v>-9</v>
      </c>
    </row>
    <row r="98">
      <c r="A98" s="11">
        <f>IFERROR(__xludf.DUMMYFUNCTION("""COMPUTED_VALUE"""),686469.0)</f>
        <v>686469</v>
      </c>
      <c r="B98" s="17" t="str">
        <f t="array" ref="B98">index('Hitter Stats'!B:B,match(A98,'Hitter Stats'!A:A,0))</f>
        <v>Vinnie Pasquantino</v>
      </c>
      <c r="C98" s="14">
        <f t="array" ref="C98">index('Hitter Stats'!F:F,match($A98,'Hitter Stats'!$A:$A,0))-index('2024'!F:F,match($A98,'2024'!$A:$A,0))</f>
        <v>0.000441967</v>
      </c>
      <c r="D98" s="19">
        <f t="array" ref="D98">index('Hitter Stats'!H:H,match($A98,'Hitter Stats'!$A:$A,0))-index('2024'!H:H,match($A98,'2024'!$A:$A,0))</f>
        <v>-1</v>
      </c>
      <c r="E98" s="19">
        <f t="array" ref="E98">index('Hitter Stats'!K:K,match($A98,'Hitter Stats'!$A:$A,0))-index('2024'!K:K,match($A98,'2024'!$A:$A,0))</f>
        <v>-7</v>
      </c>
      <c r="F98" s="19">
        <f t="array" ref="F98">index('Hitter Stats'!L:L,match($A98,'Hitter Stats'!$A:$A,0))-index('2024'!L:L,match($A98,'2024'!$A:$A,0))</f>
        <v>4</v>
      </c>
      <c r="G98" s="19">
        <f t="array" ref="G98">index('Hitter Stats'!M:M,match($A98,'Hitter Stats'!$A:$A,0))-index('2024'!M:M,match($A98,'2024'!$A:$A,0))</f>
        <v>0</v>
      </c>
    </row>
    <row r="99">
      <c r="A99" s="11">
        <f>IFERROR(__xludf.DUMMYFUNCTION("""COMPUTED_VALUE"""),607043.0)</f>
        <v>607043</v>
      </c>
      <c r="B99" s="17" t="str">
        <f t="array" ref="B99">index('Hitter Stats'!B:B,match(A99,'Hitter Stats'!A:A,0))</f>
        <v>Brandon Nimmo</v>
      </c>
      <c r="C99" s="14">
        <f t="array" ref="C99">index('Hitter Stats'!F:F,match($A99,'Hitter Stats'!$A:$A,0))-index('2024'!F:F,match($A99,'2024'!$A:$A,0))</f>
        <v>0.007793794</v>
      </c>
      <c r="D99" s="19">
        <f t="array" ref="D99">index('Hitter Stats'!H:H,match($A99,'Hitter Stats'!$A:$A,0))-index('2024'!H:H,match($A99,'2024'!$A:$A,0))</f>
        <v>-5</v>
      </c>
      <c r="E99" s="19">
        <f t="array" ref="E99">index('Hitter Stats'!K:K,match($A99,'Hitter Stats'!$A:$A,0))-index('2024'!K:K,match($A99,'2024'!$A:$A,0))</f>
        <v>10</v>
      </c>
      <c r="F99" s="19">
        <f t="array" ref="F99">index('Hitter Stats'!L:L,match($A99,'Hitter Stats'!$A:$A,0))-index('2024'!L:L,match($A99,'2024'!$A:$A,0))</f>
        <v>-3</v>
      </c>
      <c r="G99" s="19">
        <f t="array" ref="G99">index('Hitter Stats'!M:M,match($A99,'Hitter Stats'!$A:$A,0))-index('2024'!M:M,match($A99,'2024'!$A:$A,0))</f>
        <v>-1</v>
      </c>
    </row>
    <row r="100">
      <c r="A100" s="11">
        <f>IFERROR(__xludf.DUMMYFUNCTION("""COMPUTED_VALUE"""),681624.0)</f>
        <v>681624</v>
      </c>
      <c r="B100" s="17" t="str">
        <f t="array" ref="B100">index('Hitter Stats'!B:B,match(A100,'Hitter Stats'!A:A,0))</f>
        <v>Andy Pages</v>
      </c>
      <c r="C100" s="14">
        <f t="array" ref="C100">index('Hitter Stats'!F:F,match($A100,'Hitter Stats'!$A:$A,0))-index('2024'!F:F,match($A100,'2024'!$A:$A,0))</f>
        <v>0.034354907</v>
      </c>
      <c r="D100" s="19">
        <f t="array" ref="D100">index('Hitter Stats'!H:H,match($A100,'Hitter Stats'!$A:$A,0))-index('2024'!H:H,match($A100,'2024'!$A:$A,0))</f>
        <v>-13</v>
      </c>
      <c r="E100" s="19">
        <f t="array" ref="E100">index('Hitter Stats'!K:K,match($A100,'Hitter Stats'!$A:$A,0))-index('2024'!K:K,match($A100,'2024'!$A:$A,0))</f>
        <v>9</v>
      </c>
      <c r="F100" s="19">
        <f t="array" ref="F100">index('Hitter Stats'!L:L,match($A100,'Hitter Stats'!$A:$A,0))-index('2024'!L:L,match($A100,'2024'!$A:$A,0))</f>
        <v>0</v>
      </c>
      <c r="G100" s="19">
        <f t="array" ref="G100">index('Hitter Stats'!M:M,match($A100,'Hitter Stats'!$A:$A,0))-index('2024'!M:M,match($A100,'2024'!$A:$A,0))</f>
        <v>1</v>
      </c>
    </row>
    <row r="101">
      <c r="A101" s="11">
        <f>IFERROR(__xludf.DUMMYFUNCTION("""COMPUTED_VALUE"""),656305.0)</f>
        <v>656305</v>
      </c>
      <c r="B101" s="17" t="str">
        <f t="array" ref="B101">index('Hitter Stats'!B:B,match(A101,'Hitter Stats'!A:A,0))</f>
        <v>Matt Chapman</v>
      </c>
      <c r="C101" s="14">
        <f t="array" ref="C101">index('Hitter Stats'!F:F,match($A101,'Hitter Stats'!$A:$A,0))-index('2024'!F:F,match($A101,'2024'!$A:$A,0))</f>
        <v>-0.000200508</v>
      </c>
      <c r="D101" s="19">
        <f t="array" ref="D101">index('Hitter Stats'!H:H,match($A101,'Hitter Stats'!$A:$A,0))-index('2024'!H:H,match($A101,'2024'!$A:$A,0))</f>
        <v>8</v>
      </c>
      <c r="E101" s="19">
        <f t="array" ref="E101">index('Hitter Stats'!K:K,match($A101,'Hitter Stats'!$A:$A,0))-index('2024'!K:K,match($A101,'2024'!$A:$A,0))</f>
        <v>-6</v>
      </c>
      <c r="F101" s="19">
        <f t="array" ref="F101">index('Hitter Stats'!L:L,match($A101,'Hitter Stats'!$A:$A,0))-index('2024'!L:L,match($A101,'2024'!$A:$A,0))</f>
        <v>-9</v>
      </c>
      <c r="G101" s="19">
        <f t="array" ref="G101">index('Hitter Stats'!M:M,match($A101,'Hitter Stats'!$A:$A,0))-index('2024'!M:M,match($A101,'2024'!$A:$A,0))</f>
        <v>-9</v>
      </c>
    </row>
    <row r="102">
      <c r="A102" s="11">
        <f>IFERROR(__xludf.DUMMYFUNCTION("""COMPUTED_VALUE"""),660821.0)</f>
        <v>660821</v>
      </c>
      <c r="B102" s="17" t="str">
        <f t="array" ref="B102">index('Hitter Stats'!B:B,match(A102,'Hitter Stats'!A:A,0))</f>
        <v>Jesús Sánchez</v>
      </c>
      <c r="C102" s="14">
        <f t="array" ref="C102">index('Hitter Stats'!F:F,match($A102,'Hitter Stats'!$A:$A,0))-index('2024'!F:F,match($A102,'2024'!$A:$A,0))</f>
        <v>-0.039433763</v>
      </c>
      <c r="D102" s="19">
        <f t="array" ref="D102">index('Hitter Stats'!H:H,match($A102,'Hitter Stats'!$A:$A,0))-index('2024'!H:H,match($A102,'2024'!$A:$A,0))</f>
        <v>7</v>
      </c>
      <c r="E102" s="19">
        <f t="array" ref="E102">index('Hitter Stats'!K:K,match($A102,'Hitter Stats'!$A:$A,0))-index('2024'!K:K,match($A102,'2024'!$A:$A,0))</f>
        <v>5</v>
      </c>
      <c r="F102" s="19">
        <f t="array" ref="F102">index('Hitter Stats'!L:L,match($A102,'Hitter Stats'!$A:$A,0))-index('2024'!L:L,match($A102,'2024'!$A:$A,0))</f>
        <v>-13</v>
      </c>
      <c r="G102" s="19">
        <f t="array" ref="G102">index('Hitter Stats'!M:M,match($A102,'Hitter Stats'!$A:$A,0))-index('2024'!M:M,match($A102,'2024'!$A:$A,0))</f>
        <v>-6</v>
      </c>
    </row>
    <row r="103">
      <c r="A103" s="11">
        <f>IFERROR(__xludf.DUMMYFUNCTION("""COMPUTED_VALUE"""),678882.0)</f>
        <v>678882</v>
      </c>
      <c r="B103" s="17" t="str">
        <f t="array" ref="B103">index('Hitter Stats'!B:B,match(A103,'Hitter Stats'!A:A,0))</f>
        <v>Ceddanne Rafaela</v>
      </c>
      <c r="C103" s="14">
        <f t="array" ref="C103">index('Hitter Stats'!F:F,match($A103,'Hitter Stats'!$A:$A,0))-index('2024'!F:F,match($A103,'2024'!$A:$A,0))</f>
        <v>-0.022679667</v>
      </c>
      <c r="D103" s="19">
        <f t="array" ref="D103">index('Hitter Stats'!H:H,match($A103,'Hitter Stats'!$A:$A,0))-index('2024'!H:H,match($A103,'2024'!$A:$A,0))</f>
        <v>18</v>
      </c>
      <c r="E103" s="19">
        <f t="array" ref="E103">index('Hitter Stats'!K:K,match($A103,'Hitter Stats'!$A:$A,0))-index('2024'!K:K,match($A103,'2024'!$A:$A,0))</f>
        <v>11</v>
      </c>
      <c r="F103" s="19">
        <f t="array" ref="F103">index('Hitter Stats'!L:L,match($A103,'Hitter Stats'!$A:$A,0))-index('2024'!L:L,match($A103,'2024'!$A:$A,0))</f>
        <v>6</v>
      </c>
      <c r="G103" s="19">
        <f t="array" ref="G103">index('Hitter Stats'!M:M,match($A103,'Hitter Stats'!$A:$A,0))-index('2024'!M:M,match($A103,'2024'!$A:$A,0))</f>
        <v>26</v>
      </c>
    </row>
    <row r="104">
      <c r="A104" s="11">
        <f>IFERROR(__xludf.DUMMYFUNCTION("""COMPUTED_VALUE"""),671289.0)</f>
        <v>671289</v>
      </c>
      <c r="B104" s="17" t="str">
        <f t="array" ref="B104">index('Hitter Stats'!B:B,match(A104,'Hitter Stats'!A:A,0))</f>
        <v>Tyler Freeman</v>
      </c>
      <c r="C104" s="14">
        <f t="array" ref="C104">index('Hitter Stats'!F:F,match($A104,'Hitter Stats'!$A:$A,0))-index('2024'!F:F,match($A104,'2024'!$A:$A,0))</f>
        <v>-0.017319959</v>
      </c>
      <c r="D104" s="19">
        <f t="array" ref="D104">index('Hitter Stats'!H:H,match($A104,'Hitter Stats'!$A:$A,0))-index('2024'!H:H,match($A104,'2024'!$A:$A,0))</f>
        <v>11</v>
      </c>
      <c r="E104" s="19">
        <f t="array" ref="E104">index('Hitter Stats'!K:K,match($A104,'Hitter Stats'!$A:$A,0))-index('2024'!K:K,match($A104,'2024'!$A:$A,0))</f>
        <v>1</v>
      </c>
      <c r="F104" s="19">
        <f t="array" ref="F104">index('Hitter Stats'!L:L,match($A104,'Hitter Stats'!$A:$A,0))-index('2024'!L:L,match($A104,'2024'!$A:$A,0))</f>
        <v>9</v>
      </c>
      <c r="G104" s="19">
        <f t="array" ref="G104">index('Hitter Stats'!M:M,match($A104,'Hitter Stats'!$A:$A,0))-index('2024'!M:M,match($A104,'2024'!$A:$A,0))</f>
        <v>15</v>
      </c>
    </row>
    <row r="105">
      <c r="A105" s="11">
        <f>IFERROR(__xludf.DUMMYFUNCTION("""COMPUTED_VALUE"""),642708.0)</f>
        <v>642708</v>
      </c>
      <c r="B105" s="17" t="str">
        <f t="array" ref="B105">index('Hitter Stats'!B:B,match(A105,'Hitter Stats'!A:A,0))</f>
        <v>Amed Rosario</v>
      </c>
      <c r="C105" s="14">
        <f t="array" ref="C105">index('Hitter Stats'!F:F,match($A105,'Hitter Stats'!$A:$A,0))-index('2024'!F:F,match($A105,'2024'!$A:$A,0))</f>
        <v>0.000828829</v>
      </c>
      <c r="D105" s="19">
        <f t="array" ref="D105">index('Hitter Stats'!H:H,match($A105,'Hitter Stats'!$A:$A,0))-index('2024'!H:H,match($A105,'2024'!$A:$A,0))</f>
        <v>10</v>
      </c>
      <c r="E105" s="19">
        <f t="array" ref="E105">index('Hitter Stats'!K:K,match($A105,'Hitter Stats'!$A:$A,0))-index('2024'!K:K,match($A105,'2024'!$A:$A,0))</f>
        <v>15</v>
      </c>
      <c r="F105" s="19">
        <f t="array" ref="F105">index('Hitter Stats'!L:L,match($A105,'Hitter Stats'!$A:$A,0))-index('2024'!L:L,match($A105,'2024'!$A:$A,0))</f>
        <v>2</v>
      </c>
      <c r="G105" s="19">
        <f t="array" ref="G105">index('Hitter Stats'!M:M,match($A105,'Hitter Stats'!$A:$A,0))-index('2024'!M:M,match($A105,'2024'!$A:$A,0))</f>
        <v>18</v>
      </c>
    </row>
    <row r="106">
      <c r="A106" s="11">
        <f>IFERROR(__xludf.DUMMYFUNCTION("""COMPUTED_VALUE"""),572191.0)</f>
        <v>572191</v>
      </c>
      <c r="B106" s="17" t="str">
        <f t="array" ref="B106">index('Hitter Stats'!B:B,match(A106,'Hitter Stats'!A:A,0))</f>
        <v>Michael A. Taylor</v>
      </c>
      <c r="C106" s="14">
        <f t="array" ref="C106">index('Hitter Stats'!F:F,match($A106,'Hitter Stats'!$A:$A,0))-index('2024'!F:F,match($A106,'2024'!$A:$A,0))</f>
        <v>-0.013015574</v>
      </c>
      <c r="D106" s="19">
        <f t="array" ref="D106">index('Hitter Stats'!H:H,match($A106,'Hitter Stats'!$A:$A,0))-index('2024'!H:H,match($A106,'2024'!$A:$A,0))</f>
        <v>7</v>
      </c>
      <c r="E106" s="19">
        <f t="array" ref="E106">index('Hitter Stats'!K:K,match($A106,'Hitter Stats'!$A:$A,0))-index('2024'!K:K,match($A106,'2024'!$A:$A,0))</f>
        <v>-8</v>
      </c>
      <c r="F106" s="19">
        <f t="array" ref="F106">index('Hitter Stats'!L:L,match($A106,'Hitter Stats'!$A:$A,0))-index('2024'!L:L,match($A106,'2024'!$A:$A,0))</f>
        <v>20</v>
      </c>
      <c r="G106" s="19">
        <f t="array" ref="G106">index('Hitter Stats'!M:M,match($A106,'Hitter Stats'!$A:$A,0))-index('2024'!M:M,match($A106,'2024'!$A:$A,0))</f>
        <v>17</v>
      </c>
    </row>
    <row r="107">
      <c r="A107" s="11">
        <f>IFERROR(__xludf.DUMMYFUNCTION("""COMPUTED_VALUE"""),670623.0)</f>
        <v>670623</v>
      </c>
      <c r="B107" s="17" t="str">
        <f t="array" ref="B107">index('Hitter Stats'!B:B,match(A107,'Hitter Stats'!A:A,0))</f>
        <v>Isaac Paredes</v>
      </c>
      <c r="C107" s="14">
        <f t="array" ref="C107">index('Hitter Stats'!F:F,match($A107,'Hitter Stats'!$A:$A,0))-index('2024'!F:F,match($A107,'2024'!$A:$A,0))</f>
        <v>-0.040605611</v>
      </c>
      <c r="D107" s="19">
        <f t="array" ref="D107">index('Hitter Stats'!H:H,match($A107,'Hitter Stats'!$A:$A,0))-index('2024'!H:H,match($A107,'2024'!$A:$A,0))</f>
        <v>2</v>
      </c>
      <c r="E107" s="19">
        <f t="array" ref="E107">index('Hitter Stats'!K:K,match($A107,'Hitter Stats'!$A:$A,0))-index('2024'!K:K,match($A107,'2024'!$A:$A,0))</f>
        <v>-4</v>
      </c>
      <c r="F107" s="19">
        <f t="array" ref="F107">index('Hitter Stats'!L:L,match($A107,'Hitter Stats'!$A:$A,0))-index('2024'!L:L,match($A107,'2024'!$A:$A,0))</f>
        <v>8</v>
      </c>
      <c r="G107" s="19">
        <f t="array" ref="G107">index('Hitter Stats'!M:M,match($A107,'Hitter Stats'!$A:$A,0))-index('2024'!M:M,match($A107,'2024'!$A:$A,0))</f>
        <v>1</v>
      </c>
    </row>
    <row r="108">
      <c r="A108" s="11">
        <f>IFERROR(__xludf.DUMMYFUNCTION("""COMPUTED_VALUE"""),593428.0)</f>
        <v>593428</v>
      </c>
      <c r="B108" s="17" t="str">
        <f t="array" ref="B108">index('Hitter Stats'!B:B,match(A108,'Hitter Stats'!A:A,0))</f>
        <v>Xander Bogaerts</v>
      </c>
      <c r="C108" s="14">
        <f t="array" ref="C108">index('Hitter Stats'!F:F,match($A108,'Hitter Stats'!$A:$A,0))-index('2024'!F:F,match($A108,'2024'!$A:$A,0))</f>
        <v>-0.013781938</v>
      </c>
      <c r="D108" s="19">
        <f t="array" ref="D108">index('Hitter Stats'!H:H,match($A108,'Hitter Stats'!$A:$A,0))-index('2024'!H:H,match($A108,'2024'!$A:$A,0))</f>
        <v>-8</v>
      </c>
      <c r="E108" s="19">
        <f t="array" ref="E108">index('Hitter Stats'!K:K,match($A108,'Hitter Stats'!$A:$A,0))-index('2024'!K:K,match($A108,'2024'!$A:$A,0))</f>
        <v>0</v>
      </c>
      <c r="F108" s="19">
        <f t="array" ref="F108">index('Hitter Stats'!L:L,match($A108,'Hitter Stats'!$A:$A,0))-index('2024'!L:L,match($A108,'2024'!$A:$A,0))</f>
        <v>1</v>
      </c>
      <c r="G108" s="19">
        <f t="array" ref="G108">index('Hitter Stats'!M:M,match($A108,'Hitter Stats'!$A:$A,0))-index('2024'!M:M,match($A108,'2024'!$A:$A,0))</f>
        <v>-5</v>
      </c>
    </row>
    <row r="109">
      <c r="A109" s="11">
        <f>IFERROR(__xludf.DUMMYFUNCTION("""COMPUTED_VALUE"""),666134.0)</f>
        <v>666134</v>
      </c>
      <c r="B109" s="17" t="str">
        <f t="array" ref="B109">index('Hitter Stats'!B:B,match(A109,'Hitter Stats'!A:A,0))</f>
        <v>Nolan Jones</v>
      </c>
      <c r="C109" s="14">
        <f t="array" ref="C109">index('Hitter Stats'!F:F,match($A109,'Hitter Stats'!$A:$A,0))-index('2024'!F:F,match($A109,'2024'!$A:$A,0))</f>
        <v>0.044828735</v>
      </c>
      <c r="D109" s="19">
        <f t="array" ref="D109">index('Hitter Stats'!H:H,match($A109,'Hitter Stats'!$A:$A,0))-index('2024'!H:H,match($A109,'2024'!$A:$A,0))</f>
        <v>-6</v>
      </c>
      <c r="E109" s="19">
        <f t="array" ref="E109">index('Hitter Stats'!K:K,match($A109,'Hitter Stats'!$A:$A,0))-index('2024'!K:K,match($A109,'2024'!$A:$A,0))</f>
        <v>17</v>
      </c>
      <c r="F109" s="19">
        <f t="array" ref="F109">index('Hitter Stats'!L:L,match($A109,'Hitter Stats'!$A:$A,0))-index('2024'!L:L,match($A109,'2024'!$A:$A,0))</f>
        <v>11</v>
      </c>
      <c r="G109" s="19">
        <f t="array" ref="G109">index('Hitter Stats'!M:M,match($A109,'Hitter Stats'!$A:$A,0))-index('2024'!M:M,match($A109,'2024'!$A:$A,0))</f>
        <v>14</v>
      </c>
    </row>
    <row r="110">
      <c r="A110" s="11">
        <f>IFERROR(__xludf.DUMMYFUNCTION("""COMPUTED_VALUE"""),702616.0)</f>
        <v>702616</v>
      </c>
      <c r="B110" s="17" t="str">
        <f t="array" ref="B110">index('Hitter Stats'!B:B,match(A110,'Hitter Stats'!A:A,0))</f>
        <v>Jackson Holliday</v>
      </c>
      <c r="C110" s="14">
        <f t="array" ref="C110">index('Hitter Stats'!F:F,match($A110,'Hitter Stats'!$A:$A,0))-index('2024'!F:F,match($A110,'2024'!$A:$A,0))</f>
        <v>0.021351211</v>
      </c>
      <c r="D110" s="19">
        <f t="array" ref="D110">index('Hitter Stats'!H:H,match($A110,'Hitter Stats'!$A:$A,0))-index('2024'!H:H,match($A110,'2024'!$A:$A,0))</f>
        <v>7</v>
      </c>
      <c r="E110" s="19">
        <f t="array" ref="E110">index('Hitter Stats'!K:K,match($A110,'Hitter Stats'!$A:$A,0))-index('2024'!K:K,match($A110,'2024'!$A:$A,0))</f>
        <v>8</v>
      </c>
      <c r="F110" s="19">
        <f t="array" ref="F110">index('Hitter Stats'!L:L,match($A110,'Hitter Stats'!$A:$A,0))-index('2024'!L:L,match($A110,'2024'!$A:$A,0))</f>
        <v>14</v>
      </c>
      <c r="G110" s="19">
        <f t="array" ref="G110">index('Hitter Stats'!M:M,match($A110,'Hitter Stats'!$A:$A,0))-index('2024'!M:M,match($A110,'2024'!$A:$A,0))</f>
        <v>22</v>
      </c>
    </row>
    <row r="111">
      <c r="A111" s="11">
        <f>IFERROR(__xludf.DUMMYFUNCTION("""COMPUTED_VALUE"""),683146.0)</f>
        <v>683146</v>
      </c>
      <c r="B111" s="17" t="str">
        <f t="array" ref="B111">index('Hitter Stats'!B:B,match(A111,'Hitter Stats'!A:A,0))</f>
        <v>Brett Baty</v>
      </c>
      <c r="C111" s="14">
        <f t="array" ref="C111">index('Hitter Stats'!F:F,match($A111,'Hitter Stats'!$A:$A,0))-index('2024'!F:F,match($A111,'2024'!$A:$A,0))</f>
        <v>-0.045049644</v>
      </c>
      <c r="D111" s="19">
        <f t="array" ref="D111">index('Hitter Stats'!H:H,match($A111,'Hitter Stats'!$A:$A,0))-index('2024'!H:H,match($A111,'2024'!$A:$A,0))</f>
        <v>6</v>
      </c>
      <c r="E111" s="19">
        <f t="array" ref="E111">index('Hitter Stats'!K:K,match($A111,'Hitter Stats'!$A:$A,0))-index('2024'!K:K,match($A111,'2024'!$A:$A,0))</f>
        <v>1</v>
      </c>
      <c r="F111" s="19">
        <f t="array" ref="F111">index('Hitter Stats'!L:L,match($A111,'Hitter Stats'!$A:$A,0))-index('2024'!L:L,match($A111,'2024'!$A:$A,0))</f>
        <v>9</v>
      </c>
      <c r="G111" s="19">
        <f t="array" ref="G111">index('Hitter Stats'!M:M,match($A111,'Hitter Stats'!$A:$A,0))-index('2024'!M:M,match($A111,'2024'!$A:$A,0))</f>
        <v>11</v>
      </c>
    </row>
    <row r="112">
      <c r="A112" s="11">
        <f>IFERROR(__xludf.DUMMYFUNCTION("""COMPUTED_VALUE"""),669720.0)</f>
        <v>669720</v>
      </c>
      <c r="B112" s="17" t="str">
        <f t="array" ref="B112">index('Hitter Stats'!B:B,match(A112,'Hitter Stats'!A:A,0))</f>
        <v>Austin Hays</v>
      </c>
      <c r="C112" s="14">
        <f t="array" ref="C112">index('Hitter Stats'!F:F,match($A112,'Hitter Stats'!$A:$A,0))-index('2024'!F:F,match($A112,'2024'!$A:$A,0))</f>
        <v>-0.014844199</v>
      </c>
      <c r="D112" s="19">
        <f t="array" ref="D112">index('Hitter Stats'!H:H,match($A112,'Hitter Stats'!$A:$A,0))-index('2024'!H:H,match($A112,'2024'!$A:$A,0))</f>
        <v>-8</v>
      </c>
      <c r="E112" s="19">
        <f t="array" ref="E112">index('Hitter Stats'!K:K,match($A112,'Hitter Stats'!$A:$A,0))-index('2024'!K:K,match($A112,'2024'!$A:$A,0))</f>
        <v>1</v>
      </c>
      <c r="F112" s="19">
        <f t="array" ref="F112">index('Hitter Stats'!L:L,match($A112,'Hitter Stats'!$A:$A,0))-index('2024'!L:L,match($A112,'2024'!$A:$A,0))</f>
        <v>18</v>
      </c>
      <c r="G112" s="19">
        <f t="array" ref="G112">index('Hitter Stats'!M:M,match($A112,'Hitter Stats'!$A:$A,0))-index('2024'!M:M,match($A112,'2024'!$A:$A,0))</f>
        <v>18</v>
      </c>
    </row>
    <row r="113">
      <c r="A113" s="11">
        <f>IFERROR(__xludf.DUMMYFUNCTION("""COMPUTED_VALUE"""),592885.0)</f>
        <v>592885</v>
      </c>
      <c r="B113" s="17" t="str">
        <f t="array" ref="B113">index('Hitter Stats'!B:B,match(A113,'Hitter Stats'!A:A,0))</f>
        <v>Christian Yelich</v>
      </c>
      <c r="C113" s="14">
        <f t="array" ref="C113">index('Hitter Stats'!F:F,match($A113,'Hitter Stats'!$A:$A,0))-index('2024'!F:F,match($A113,'2024'!$A:$A,0))</f>
        <v>-0.005158325</v>
      </c>
      <c r="D113" s="19">
        <f t="array" ref="D113">index('Hitter Stats'!H:H,match($A113,'Hitter Stats'!$A:$A,0))-index('2024'!H:H,match($A113,'2024'!$A:$A,0))</f>
        <v>-11</v>
      </c>
      <c r="E113" s="19">
        <f t="array" ref="E113">index('Hitter Stats'!K:K,match($A113,'Hitter Stats'!$A:$A,0))-index('2024'!K:K,match($A113,'2024'!$A:$A,0))</f>
        <v>-15</v>
      </c>
      <c r="F113" s="19">
        <f t="array" ref="F113">index('Hitter Stats'!L:L,match($A113,'Hitter Stats'!$A:$A,0))-index('2024'!L:L,match($A113,'2024'!$A:$A,0))</f>
        <v>-8</v>
      </c>
      <c r="G113" s="19">
        <f t="array" ref="G113">index('Hitter Stats'!M:M,match($A113,'Hitter Stats'!$A:$A,0))-index('2024'!M:M,match($A113,'2024'!$A:$A,0))</f>
        <v>-21</v>
      </c>
    </row>
    <row r="114">
      <c r="A114" s="11">
        <f>IFERROR(__xludf.DUMMYFUNCTION("""COMPUTED_VALUE"""),664761.0)</f>
        <v>664761</v>
      </c>
      <c r="B114" s="17" t="str">
        <f t="array" ref="B114">index('Hitter Stats'!B:B,match(A114,'Hitter Stats'!A:A,0))</f>
        <v>Alec Bohm</v>
      </c>
      <c r="C114" s="14">
        <f t="array" ref="C114">index('Hitter Stats'!F:F,match($A114,'Hitter Stats'!$A:$A,0))-index('2024'!F:F,match($A114,'2024'!$A:$A,0))</f>
        <v>-0.043946013</v>
      </c>
      <c r="D114" s="19">
        <f t="array" ref="D114">index('Hitter Stats'!H:H,match($A114,'Hitter Stats'!$A:$A,0))-index('2024'!H:H,match($A114,'2024'!$A:$A,0))</f>
        <v>3</v>
      </c>
      <c r="E114" s="19">
        <f t="array" ref="E114">index('Hitter Stats'!K:K,match($A114,'Hitter Stats'!$A:$A,0))-index('2024'!K:K,match($A114,'2024'!$A:$A,0))</f>
        <v>0</v>
      </c>
      <c r="F114" s="19">
        <f t="array" ref="F114">index('Hitter Stats'!L:L,match($A114,'Hitter Stats'!$A:$A,0))-index('2024'!L:L,match($A114,'2024'!$A:$A,0))</f>
        <v>-6</v>
      </c>
      <c r="G114" s="19">
        <f t="array" ref="G114">index('Hitter Stats'!M:M,match($A114,'Hitter Stats'!$A:$A,0))-index('2024'!M:M,match($A114,'2024'!$A:$A,0))</f>
        <v>-6</v>
      </c>
    </row>
    <row r="115">
      <c r="A115" s="11">
        <f>IFERROR(__xludf.DUMMYFUNCTION("""COMPUTED_VALUE"""),666139.0)</f>
        <v>666139</v>
      </c>
      <c r="B115" s="17" t="str">
        <f t="array" ref="B115">index('Hitter Stats'!B:B,match(A115,'Hitter Stats'!A:A,0))</f>
        <v>Josh Lowe</v>
      </c>
      <c r="C115" s="14">
        <f t="array" ref="C115">index('Hitter Stats'!F:F,match($A115,'Hitter Stats'!$A:$A,0))-index('2024'!F:F,match($A115,'2024'!$A:$A,0))</f>
        <v>0.002961889</v>
      </c>
      <c r="D115" s="19">
        <f t="array" ref="D115">index('Hitter Stats'!H:H,match($A115,'Hitter Stats'!$A:$A,0))-index('2024'!H:H,match($A115,'2024'!$A:$A,0))</f>
        <v>-5</v>
      </c>
      <c r="E115" s="19">
        <f t="array" ref="E115">index('Hitter Stats'!K:K,match($A115,'Hitter Stats'!$A:$A,0))-index('2024'!K:K,match($A115,'2024'!$A:$A,0))</f>
        <v>21</v>
      </c>
      <c r="F115" s="19">
        <f t="array" ref="F115">index('Hitter Stats'!L:L,match($A115,'Hitter Stats'!$A:$A,0))-index('2024'!L:L,match($A115,'2024'!$A:$A,0))</f>
        <v>-2</v>
      </c>
      <c r="G115" s="19">
        <f t="array" ref="G115">index('Hitter Stats'!M:M,match($A115,'Hitter Stats'!$A:$A,0))-index('2024'!M:M,match($A115,'2024'!$A:$A,0))</f>
        <v>9</v>
      </c>
    </row>
    <row r="116">
      <c r="A116" s="11">
        <f>IFERROR(__xludf.DUMMYFUNCTION("""COMPUTED_VALUE"""),596142.0)</f>
        <v>596142</v>
      </c>
      <c r="B116" s="17" t="str">
        <f t="array" ref="B116">index('Hitter Stats'!B:B,match(A116,'Hitter Stats'!A:A,0))</f>
        <v>Gary Sánchez</v>
      </c>
      <c r="C116" s="14">
        <f t="array" ref="C116">index('Hitter Stats'!F:F,match($A116,'Hitter Stats'!$A:$A,0))-index('2024'!F:F,match($A116,'2024'!$A:$A,0))</f>
        <v>0.001932499</v>
      </c>
      <c r="D116" s="19">
        <f t="array" ref="D116">index('Hitter Stats'!H:H,match($A116,'Hitter Stats'!$A:$A,0))-index('2024'!H:H,match($A116,'2024'!$A:$A,0))</f>
        <v>-1</v>
      </c>
      <c r="E116" s="19">
        <f t="array" ref="E116">index('Hitter Stats'!K:K,match($A116,'Hitter Stats'!$A:$A,0))-index('2024'!K:K,match($A116,'2024'!$A:$A,0))</f>
        <v>-6</v>
      </c>
      <c r="F116" s="19">
        <f t="array" ref="F116">index('Hitter Stats'!L:L,match($A116,'Hitter Stats'!$A:$A,0))-index('2024'!L:L,match($A116,'2024'!$A:$A,0))</f>
        <v>4</v>
      </c>
      <c r="G116" s="19">
        <f t="array" ref="G116">index('Hitter Stats'!M:M,match($A116,'Hitter Stats'!$A:$A,0))-index('2024'!M:M,match($A116,'2024'!$A:$A,0))</f>
        <v>1</v>
      </c>
    </row>
    <row r="117">
      <c r="A117" s="11">
        <f>IFERROR(__xludf.DUMMYFUNCTION("""COMPUTED_VALUE"""),643217.0)</f>
        <v>643217</v>
      </c>
      <c r="B117" s="17" t="str">
        <f t="array" ref="B117">index('Hitter Stats'!B:B,match(A117,'Hitter Stats'!A:A,0))</f>
        <v>Andrew Benintendi</v>
      </c>
      <c r="C117" s="14">
        <f t="array" ref="C117">index('Hitter Stats'!F:F,match($A117,'Hitter Stats'!$A:$A,0))-index('2024'!F:F,match($A117,'2024'!$A:$A,0))</f>
        <v>0.028132027</v>
      </c>
      <c r="D117" s="19">
        <f t="array" ref="D117">index('Hitter Stats'!H:H,match($A117,'Hitter Stats'!$A:$A,0))-index('2024'!H:H,match($A117,'2024'!$A:$A,0))</f>
        <v>-6</v>
      </c>
      <c r="E117" s="19">
        <f t="array" ref="E117">index('Hitter Stats'!K:K,match($A117,'Hitter Stats'!$A:$A,0))-index('2024'!K:K,match($A117,'2024'!$A:$A,0))</f>
        <v>0</v>
      </c>
      <c r="F117" s="19">
        <f t="array" ref="F117">index('Hitter Stats'!L:L,match($A117,'Hitter Stats'!$A:$A,0))-index('2024'!L:L,match($A117,'2024'!$A:$A,0))</f>
        <v>7</v>
      </c>
      <c r="G117" s="19">
        <f t="array" ref="G117">index('Hitter Stats'!M:M,match($A117,'Hitter Stats'!$A:$A,0))-index('2024'!M:M,match($A117,'2024'!$A:$A,0))</f>
        <v>7</v>
      </c>
    </row>
    <row r="118">
      <c r="A118" s="11">
        <f>IFERROR(__xludf.DUMMYFUNCTION("""COMPUTED_VALUE"""),676694.0)</f>
        <v>676694</v>
      </c>
      <c r="B118" s="17" t="str">
        <f t="array" ref="B118">index('Hitter Stats'!B:B,match(A118,'Hitter Stats'!A:A,0))</f>
        <v>Jake Meyers</v>
      </c>
      <c r="C118" s="14">
        <f t="array" ref="C118">index('Hitter Stats'!F:F,match($A118,'Hitter Stats'!$A:$A,0))-index('2024'!F:F,match($A118,'2024'!$A:$A,0))</f>
        <v>-0.026636675</v>
      </c>
      <c r="D118" s="19">
        <f t="array" ref="D118">index('Hitter Stats'!H:H,match($A118,'Hitter Stats'!$A:$A,0))-index('2024'!H:H,match($A118,'2024'!$A:$A,0))</f>
        <v>15</v>
      </c>
      <c r="E118" s="19">
        <f t="array" ref="E118">index('Hitter Stats'!K:K,match($A118,'Hitter Stats'!$A:$A,0))-index('2024'!K:K,match($A118,'2024'!$A:$A,0))</f>
        <v>5</v>
      </c>
      <c r="F118" s="19">
        <f t="array" ref="F118">index('Hitter Stats'!L:L,match($A118,'Hitter Stats'!$A:$A,0))-index('2024'!L:L,match($A118,'2024'!$A:$A,0))</f>
        <v>-5</v>
      </c>
      <c r="G118" s="19">
        <f t="array" ref="G118">index('Hitter Stats'!M:M,match($A118,'Hitter Stats'!$A:$A,0))-index('2024'!M:M,match($A118,'2024'!$A:$A,0))</f>
        <v>4</v>
      </c>
    </row>
    <row r="119">
      <c r="A119" s="11">
        <f>IFERROR(__xludf.DUMMYFUNCTION("""COMPUTED_VALUE"""),663697.0)</f>
        <v>663697</v>
      </c>
      <c r="B119" s="17" t="str">
        <f t="array" ref="B119">index('Hitter Stats'!B:B,match(A119,'Hitter Stats'!A:A,0))</f>
        <v>Jonathan India</v>
      </c>
      <c r="C119" s="14">
        <f t="array" ref="C119">index('Hitter Stats'!F:F,match($A119,'Hitter Stats'!$A:$A,0))-index('2024'!F:F,match($A119,'2024'!$A:$A,0))</f>
        <v>-0.006895949</v>
      </c>
      <c r="D119" s="19">
        <f t="array" ref="D119">index('Hitter Stats'!H:H,match($A119,'Hitter Stats'!$A:$A,0))-index('2024'!H:H,match($A119,'2024'!$A:$A,0))</f>
        <v>-2</v>
      </c>
      <c r="E119" s="19">
        <f t="array" ref="E119">index('Hitter Stats'!K:K,match($A119,'Hitter Stats'!$A:$A,0))-index('2024'!K:K,match($A119,'2024'!$A:$A,0))</f>
        <v>7</v>
      </c>
      <c r="F119" s="19">
        <f t="array" ref="F119">index('Hitter Stats'!L:L,match($A119,'Hitter Stats'!$A:$A,0))-index('2024'!L:L,match($A119,'2024'!$A:$A,0))</f>
        <v>-13</v>
      </c>
      <c r="G119" s="19">
        <f t="array" ref="G119">index('Hitter Stats'!M:M,match($A119,'Hitter Stats'!$A:$A,0))-index('2024'!M:M,match($A119,'2024'!$A:$A,0))</f>
        <v>-13</v>
      </c>
    </row>
    <row r="120">
      <c r="A120" s="11">
        <f>IFERROR(__xludf.DUMMYFUNCTION("""COMPUTED_VALUE"""),700932.0)</f>
        <v>700932</v>
      </c>
      <c r="B120" s="17" t="str">
        <f t="array" ref="B120">index('Hitter Stats'!B:B,match(A120,'Hitter Stats'!A:A,0))</f>
        <v>Kyle Manzardo</v>
      </c>
      <c r="C120" s="14">
        <f t="array" ref="C120">index('Hitter Stats'!F:F,match($A120,'Hitter Stats'!$A:$A,0))-index('2024'!F:F,match($A120,'2024'!$A:$A,0))</f>
        <v>-0.001147201</v>
      </c>
      <c r="D120" s="19">
        <f t="array" ref="D120">index('Hitter Stats'!H:H,match($A120,'Hitter Stats'!$A:$A,0))-index('2024'!H:H,match($A120,'2024'!$A:$A,0))</f>
        <v>8</v>
      </c>
      <c r="E120" s="19">
        <f t="array" ref="E120">index('Hitter Stats'!K:K,match($A120,'Hitter Stats'!$A:$A,0))-index('2024'!K:K,match($A120,'2024'!$A:$A,0))</f>
        <v>-1</v>
      </c>
      <c r="F120" s="19">
        <f t="array" ref="F120">index('Hitter Stats'!L:L,match($A120,'Hitter Stats'!$A:$A,0))-index('2024'!L:L,match($A120,'2024'!$A:$A,0))</f>
        <v>10</v>
      </c>
      <c r="G120" s="19">
        <f t="array" ref="G120">index('Hitter Stats'!M:M,match($A120,'Hitter Stats'!$A:$A,0))-index('2024'!M:M,match($A120,'2024'!$A:$A,0))</f>
        <v>14</v>
      </c>
    </row>
    <row r="121">
      <c r="A121" s="11">
        <f>IFERROR(__xludf.DUMMYFUNCTION("""COMPUTED_VALUE"""),608701.0)</f>
        <v>608701</v>
      </c>
      <c r="B121" s="17" t="str">
        <f t="array" ref="B121">index('Hitter Stats'!B:B,match(A121,'Hitter Stats'!A:A,0))</f>
        <v>Rob Refsnyder</v>
      </c>
      <c r="C121" s="14">
        <f t="array" ref="C121">index('Hitter Stats'!F:F,match($A121,'Hitter Stats'!$A:$A,0))-index('2024'!F:F,match($A121,'2024'!$A:$A,0))</f>
        <v>-0.031838146</v>
      </c>
      <c r="D121" s="19">
        <f t="array" ref="D121">index('Hitter Stats'!H:H,match($A121,'Hitter Stats'!$A:$A,0))-index('2024'!H:H,match($A121,'2024'!$A:$A,0))</f>
        <v>-2</v>
      </c>
      <c r="E121" s="19">
        <f t="array" ref="E121">index('Hitter Stats'!K:K,match($A121,'Hitter Stats'!$A:$A,0))-index('2024'!K:K,match($A121,'2024'!$A:$A,0))</f>
        <v>-14</v>
      </c>
      <c r="F121" s="19">
        <f t="array" ref="F121">index('Hitter Stats'!L:L,match($A121,'Hitter Stats'!$A:$A,0))-index('2024'!L:L,match($A121,'2024'!$A:$A,0))</f>
        <v>2</v>
      </c>
      <c r="G121" s="19">
        <f t="array" ref="G121">index('Hitter Stats'!M:M,match($A121,'Hitter Stats'!$A:$A,0))-index('2024'!M:M,match($A121,'2024'!$A:$A,0))</f>
        <v>-7</v>
      </c>
    </row>
    <row r="122">
      <c r="A122" s="11">
        <f>IFERROR(__xludf.DUMMYFUNCTION("""COMPUTED_VALUE"""),641343.0)</f>
        <v>641343</v>
      </c>
      <c r="B122" s="17" t="str">
        <f t="array" ref="B122">index('Hitter Stats'!B:B,match(A122,'Hitter Stats'!A:A,0))</f>
        <v>Jake Bauers</v>
      </c>
      <c r="C122" s="14">
        <f t="array" ref="C122">index('Hitter Stats'!F:F,match($A122,'Hitter Stats'!$A:$A,0))-index('2024'!F:F,match($A122,'2024'!$A:$A,0))</f>
        <v>-0.002509574</v>
      </c>
      <c r="D122" s="19">
        <f t="array" ref="D122">index('Hitter Stats'!H:H,match($A122,'Hitter Stats'!$A:$A,0))-index('2024'!H:H,match($A122,'2024'!$A:$A,0))</f>
        <v>-7</v>
      </c>
      <c r="E122" s="19">
        <f t="array" ref="E122">index('Hitter Stats'!K:K,match($A122,'Hitter Stats'!$A:$A,0))-index('2024'!K:K,match($A122,'2024'!$A:$A,0))</f>
        <v>4</v>
      </c>
      <c r="F122" s="19">
        <f t="array" ref="F122">index('Hitter Stats'!L:L,match($A122,'Hitter Stats'!$A:$A,0))-index('2024'!L:L,match($A122,'2024'!$A:$A,0))</f>
        <v>4</v>
      </c>
      <c r="G122" s="19">
        <f t="array" ref="G122">index('Hitter Stats'!M:M,match($A122,'Hitter Stats'!$A:$A,0))-index('2024'!M:M,match($A122,'2024'!$A:$A,0))</f>
        <v>3</v>
      </c>
    </row>
    <row r="123">
      <c r="A123" s="11">
        <f>IFERROR(__xludf.DUMMYFUNCTION("""COMPUTED_VALUE"""),682829.0)</f>
        <v>682829</v>
      </c>
      <c r="B123" s="17" t="str">
        <f t="array" ref="B123">index('Hitter Stats'!B:B,match(A123,'Hitter Stats'!A:A,0))</f>
        <v>Elly De La Cruz</v>
      </c>
      <c r="C123" s="14">
        <f t="array" ref="C123">index('Hitter Stats'!F:F,match($A123,'Hitter Stats'!$A:$A,0))-index('2024'!F:F,match($A123,'2024'!$A:$A,0))</f>
        <v>0.021058138</v>
      </c>
      <c r="D123" s="19">
        <f t="array" ref="D123">index('Hitter Stats'!H:H,match($A123,'Hitter Stats'!$A:$A,0))-index('2024'!H:H,match($A123,'2024'!$A:$A,0))</f>
        <v>1</v>
      </c>
      <c r="E123" s="19">
        <f t="array" ref="E123">index('Hitter Stats'!K:K,match($A123,'Hitter Stats'!$A:$A,0))-index('2024'!K:K,match($A123,'2024'!$A:$A,0))</f>
        <v>7</v>
      </c>
      <c r="F123" s="19">
        <f t="array" ref="F123">index('Hitter Stats'!L:L,match($A123,'Hitter Stats'!$A:$A,0))-index('2024'!L:L,match($A123,'2024'!$A:$A,0))</f>
        <v>-4</v>
      </c>
      <c r="G123" s="19">
        <f t="array" ref="G123">index('Hitter Stats'!M:M,match($A123,'Hitter Stats'!$A:$A,0))-index('2024'!M:M,match($A123,'2024'!$A:$A,0))</f>
        <v>3</v>
      </c>
    </row>
    <row r="124">
      <c r="A124" s="11">
        <f>IFERROR(__xludf.DUMMYFUNCTION("""COMPUTED_VALUE"""),686611.0)</f>
        <v>686611</v>
      </c>
      <c r="B124" s="17" t="str">
        <f t="array" ref="B124">index('Hitter Stats'!B:B,match(A124,'Hitter Stats'!A:A,0))</f>
        <v>Dylan Crews</v>
      </c>
      <c r="C124" s="14">
        <f t="array" ref="C124">index('Hitter Stats'!F:F,match($A124,'Hitter Stats'!$A:$A,0))-index('2024'!F:F,match($A124,'2024'!$A:$A,0))</f>
        <v>0.064836461</v>
      </c>
      <c r="D124" s="19">
        <f t="array" ref="D124">index('Hitter Stats'!H:H,match($A124,'Hitter Stats'!$A:$A,0))-index('2024'!H:H,match($A124,'2024'!$A:$A,0))</f>
        <v>8</v>
      </c>
      <c r="E124" s="19">
        <f t="array" ref="E124">index('Hitter Stats'!K:K,match($A124,'Hitter Stats'!$A:$A,0))-index('2024'!K:K,match($A124,'2024'!$A:$A,0))</f>
        <v>-32</v>
      </c>
      <c r="F124" s="19">
        <f t="array" ref="F124">index('Hitter Stats'!L:L,match($A124,'Hitter Stats'!$A:$A,0))-index('2024'!L:L,match($A124,'2024'!$A:$A,0))</f>
        <v>10</v>
      </c>
      <c r="G124" s="19">
        <f t="array" ref="G124">index('Hitter Stats'!M:M,match($A124,'Hitter Stats'!$A:$A,0))-index('2024'!M:M,match($A124,'2024'!$A:$A,0))</f>
        <v>-1</v>
      </c>
    </row>
    <row r="125">
      <c r="A125" s="11">
        <f>IFERROR(__xludf.DUMMYFUNCTION("""COMPUTED_VALUE"""),543760.0)</f>
        <v>543760</v>
      </c>
      <c r="B125" s="17" t="str">
        <f t="array" ref="B125">index('Hitter Stats'!B:B,match(A125,'Hitter Stats'!A:A,0))</f>
        <v>Marcus Semien</v>
      </c>
      <c r="C125" s="14">
        <f t="array" ref="C125">index('Hitter Stats'!F:F,match($A125,'Hitter Stats'!$A:$A,0))-index('2024'!F:F,match($A125,'2024'!$A:$A,0))</f>
        <v>-0.020574786</v>
      </c>
      <c r="D125" s="19">
        <f t="array" ref="D125">index('Hitter Stats'!H:H,match($A125,'Hitter Stats'!$A:$A,0))-index('2024'!H:H,match($A125,'2024'!$A:$A,0))</f>
        <v>1</v>
      </c>
      <c r="E125" s="19">
        <f t="array" ref="E125">index('Hitter Stats'!K:K,match($A125,'Hitter Stats'!$A:$A,0))-index('2024'!K:K,match($A125,'2024'!$A:$A,0))</f>
        <v>-15</v>
      </c>
      <c r="F125" s="19">
        <f t="array" ref="F125">index('Hitter Stats'!L:L,match($A125,'Hitter Stats'!$A:$A,0))-index('2024'!L:L,match($A125,'2024'!$A:$A,0))</f>
        <v>13</v>
      </c>
      <c r="G125" s="19">
        <f t="array" ref="G125">index('Hitter Stats'!M:M,match($A125,'Hitter Stats'!$A:$A,0))-index('2024'!M:M,match($A125,'2024'!$A:$A,0))</f>
        <v>6</v>
      </c>
    </row>
    <row r="126">
      <c r="A126" s="11">
        <f>IFERROR(__xludf.DUMMYFUNCTION("""COMPUTED_VALUE"""),691718.0)</f>
        <v>691718</v>
      </c>
      <c r="B126" s="17" t="str">
        <f t="array" ref="B126">index('Hitter Stats'!B:B,match(A126,'Hitter Stats'!A:A,0))</f>
        <v>Pete Crow-Armstrong</v>
      </c>
      <c r="C126" s="14">
        <f t="array" ref="C126">index('Hitter Stats'!F:F,match($A126,'Hitter Stats'!$A:$A,0))-index('2024'!F:F,match($A126,'2024'!$A:$A,0))</f>
        <v>0.055645302</v>
      </c>
      <c r="D126" s="19">
        <f t="array" ref="D126">index('Hitter Stats'!H:H,match($A126,'Hitter Stats'!$A:$A,0))-index('2024'!H:H,match($A126,'2024'!$A:$A,0))</f>
        <v>-3</v>
      </c>
      <c r="E126" s="19">
        <f t="array" ref="E126">index('Hitter Stats'!K:K,match($A126,'Hitter Stats'!$A:$A,0))-index('2024'!K:K,match($A126,'2024'!$A:$A,0))</f>
        <v>3</v>
      </c>
      <c r="F126" s="19">
        <f t="array" ref="F126">index('Hitter Stats'!L:L,match($A126,'Hitter Stats'!$A:$A,0))-index('2024'!L:L,match($A126,'2024'!$A:$A,0))</f>
        <v>22</v>
      </c>
      <c r="G126" s="19">
        <f t="array" ref="G126">index('Hitter Stats'!M:M,match($A126,'Hitter Stats'!$A:$A,0))-index('2024'!M:M,match($A126,'2024'!$A:$A,0))</f>
        <v>31</v>
      </c>
    </row>
    <row r="127">
      <c r="A127" s="11">
        <f>IFERROR(__xludf.DUMMYFUNCTION("""COMPUTED_VALUE"""),668904.0)</f>
        <v>668904</v>
      </c>
      <c r="B127" s="17" t="str">
        <f t="array" ref="B127">index('Hitter Stats'!B:B,match(A127,'Hitter Stats'!A:A,0))</f>
        <v>Royce Lewis</v>
      </c>
      <c r="C127" s="14">
        <f t="array" ref="C127">index('Hitter Stats'!F:F,match($A127,'Hitter Stats'!$A:$A,0))-index('2024'!F:F,match($A127,'2024'!$A:$A,0))</f>
        <v>-0.036967178</v>
      </c>
      <c r="D127" s="19">
        <f t="array" ref="D127">index('Hitter Stats'!H:H,match($A127,'Hitter Stats'!$A:$A,0))-index('2024'!H:H,match($A127,'2024'!$A:$A,0))</f>
        <v>17</v>
      </c>
      <c r="E127" s="19">
        <f t="array" ref="E127">index('Hitter Stats'!K:K,match($A127,'Hitter Stats'!$A:$A,0))-index('2024'!K:K,match($A127,'2024'!$A:$A,0))</f>
        <v>18</v>
      </c>
      <c r="F127" s="19">
        <f t="array" ref="F127">index('Hitter Stats'!L:L,match($A127,'Hitter Stats'!$A:$A,0))-index('2024'!L:L,match($A127,'2024'!$A:$A,0))</f>
        <v>-17</v>
      </c>
      <c r="G127" s="19">
        <f t="array" ref="G127">index('Hitter Stats'!M:M,match($A127,'Hitter Stats'!$A:$A,0))-index('2024'!M:M,match($A127,'2024'!$A:$A,0))</f>
        <v>-1</v>
      </c>
    </row>
    <row r="128">
      <c r="A128" s="11">
        <f>IFERROR(__xludf.DUMMYFUNCTION("""COMPUTED_VALUE"""),661388.0)</f>
        <v>661388</v>
      </c>
      <c r="B128" s="17" t="str">
        <f t="array" ref="B128">index('Hitter Stats'!B:B,match(A128,'Hitter Stats'!A:A,0))</f>
        <v>William Contreras</v>
      </c>
      <c r="C128" s="14">
        <f t="array" ref="C128">index('Hitter Stats'!F:F,match($A128,'Hitter Stats'!$A:$A,0))-index('2024'!F:F,match($A128,'2024'!$A:$A,0))</f>
        <v>-0.016334268</v>
      </c>
      <c r="D128" s="19">
        <f t="array" ref="D128">index('Hitter Stats'!H:H,match($A128,'Hitter Stats'!$A:$A,0))-index('2024'!H:H,match($A128,'2024'!$A:$A,0))</f>
        <v>3</v>
      </c>
      <c r="E128" s="19">
        <f t="array" ref="E128">index('Hitter Stats'!K:K,match($A128,'Hitter Stats'!$A:$A,0))-index('2024'!K:K,match($A128,'2024'!$A:$A,0))</f>
        <v>-2</v>
      </c>
      <c r="F128" s="19">
        <f t="array" ref="F128">index('Hitter Stats'!L:L,match($A128,'Hitter Stats'!$A:$A,0))-index('2024'!L:L,match($A128,'2024'!$A:$A,0))</f>
        <v>-20</v>
      </c>
      <c r="G128" s="19">
        <f t="array" ref="G128">index('Hitter Stats'!M:M,match($A128,'Hitter Stats'!$A:$A,0))-index('2024'!M:M,match($A128,'2024'!$A:$A,0))</f>
        <v>-21</v>
      </c>
    </row>
    <row r="129">
      <c r="A129" s="11">
        <f>IFERROR(__xludf.DUMMYFUNCTION("""COMPUTED_VALUE"""),665161.0)</f>
        <v>665161</v>
      </c>
      <c r="B129" s="17" t="str">
        <f t="array" ref="B129">index('Hitter Stats'!B:B,match(A129,'Hitter Stats'!A:A,0))</f>
        <v>Jeremy Peña</v>
      </c>
      <c r="C129" s="14">
        <f t="array" ref="C129">index('Hitter Stats'!F:F,match($A129,'Hitter Stats'!$A:$A,0))-index('2024'!F:F,match($A129,'2024'!$A:$A,0))</f>
        <v>-0.01114342</v>
      </c>
      <c r="D129" s="19">
        <f t="array" ref="D129">index('Hitter Stats'!H:H,match($A129,'Hitter Stats'!$A:$A,0))-index('2024'!H:H,match($A129,'2024'!$A:$A,0))</f>
        <v>5</v>
      </c>
      <c r="E129" s="19">
        <f t="array" ref="E129">index('Hitter Stats'!K:K,match($A129,'Hitter Stats'!$A:$A,0))-index('2024'!K:K,match($A129,'2024'!$A:$A,0))</f>
        <v>-4</v>
      </c>
      <c r="F129" s="19">
        <f t="array" ref="F129">index('Hitter Stats'!L:L,match($A129,'Hitter Stats'!$A:$A,0))-index('2024'!L:L,match($A129,'2024'!$A:$A,0))</f>
        <v>8</v>
      </c>
      <c r="G129" s="19">
        <f t="array" ref="G129">index('Hitter Stats'!M:M,match($A129,'Hitter Stats'!$A:$A,0))-index('2024'!M:M,match($A129,'2024'!$A:$A,0))</f>
        <v>10</v>
      </c>
    </row>
    <row r="130">
      <c r="A130" s="11">
        <f>IFERROR(__xludf.DUMMYFUNCTION("""COMPUTED_VALUE"""),656555.0)</f>
        <v>656555</v>
      </c>
      <c r="B130" s="17" t="str">
        <f t="array" ref="B130">index('Hitter Stats'!B:B,match(A130,'Hitter Stats'!A:A,0))</f>
        <v>Rhys Hoskins</v>
      </c>
      <c r="C130" s="14">
        <f t="array" ref="C130">index('Hitter Stats'!F:F,match($A130,'Hitter Stats'!$A:$A,0))-index('2024'!F:F,match($A130,'2024'!$A:$A,0))</f>
        <v>-0.016002662</v>
      </c>
      <c r="D130" s="19">
        <f t="array" ref="D130">index('Hitter Stats'!H:H,match($A130,'Hitter Stats'!$A:$A,0))-index('2024'!H:H,match($A130,'2024'!$A:$A,0))</f>
        <v>11</v>
      </c>
      <c r="E130" s="19">
        <f t="array" ref="E130">index('Hitter Stats'!K:K,match($A130,'Hitter Stats'!$A:$A,0))-index('2024'!K:K,match($A130,'2024'!$A:$A,0))</f>
        <v>-10</v>
      </c>
      <c r="F130" s="19">
        <f t="array" ref="F130">index('Hitter Stats'!L:L,match($A130,'Hitter Stats'!$A:$A,0))-index('2024'!L:L,match($A130,'2024'!$A:$A,0))</f>
        <v>3</v>
      </c>
      <c r="G130" s="19">
        <f t="array" ref="G130">index('Hitter Stats'!M:M,match($A130,'Hitter Stats'!$A:$A,0))-index('2024'!M:M,match($A130,'2024'!$A:$A,0))</f>
        <v>2</v>
      </c>
    </row>
    <row r="131">
      <c r="A131" s="11">
        <f>IFERROR(__xludf.DUMMYFUNCTION("""COMPUTED_VALUE"""),681393.0)</f>
        <v>681393</v>
      </c>
      <c r="B131" s="17" t="str">
        <f t="array" ref="B131">index('Hitter Stats'!B:B,match(A131,'Hitter Stats'!A:A,0))</f>
        <v>Connor Norby</v>
      </c>
      <c r="C131" s="14">
        <f t="array" ref="C131">index('Hitter Stats'!F:F,match($A131,'Hitter Stats'!$A:$A,0))-index('2024'!F:F,match($A131,'2024'!$A:$A,0))</f>
        <v>-0.003828919</v>
      </c>
      <c r="D131" s="19">
        <f t="array" ref="D131">index('Hitter Stats'!H:H,match($A131,'Hitter Stats'!$A:$A,0))-index('2024'!H:H,match($A131,'2024'!$A:$A,0))</f>
        <v>-27</v>
      </c>
      <c r="E131" s="19">
        <f t="array" ref="E131">index('Hitter Stats'!K:K,match($A131,'Hitter Stats'!$A:$A,0))-index('2024'!K:K,match($A131,'2024'!$A:$A,0))</f>
        <v>13</v>
      </c>
      <c r="F131" s="19">
        <f t="array" ref="F131">index('Hitter Stats'!L:L,match($A131,'Hitter Stats'!$A:$A,0))-index('2024'!L:L,match($A131,'2024'!$A:$A,0))</f>
        <v>-8</v>
      </c>
      <c r="G131" s="19">
        <f t="array" ref="G131">index('Hitter Stats'!M:M,match($A131,'Hitter Stats'!$A:$A,0))-index('2024'!M:M,match($A131,'2024'!$A:$A,0))</f>
        <v>-9</v>
      </c>
    </row>
    <row r="132">
      <c r="A132" s="11">
        <f>IFERROR(__xludf.DUMMYFUNCTION("""COMPUTED_VALUE"""),687597.0)</f>
        <v>687597</v>
      </c>
      <c r="B132" s="17" t="str">
        <f t="array" ref="B132">index('Hitter Stats'!B:B,match(A132,'Hitter Stats'!A:A,0))</f>
        <v>Jordan Beck</v>
      </c>
      <c r="C132" s="14">
        <f t="array" ref="C132">index('Hitter Stats'!F:F,match($A132,'Hitter Stats'!$A:$A,0))-index('2024'!F:F,match($A132,'2024'!$A:$A,0))</f>
        <v>-0.06744548</v>
      </c>
      <c r="D132" s="19">
        <f t="array" ref="D132">index('Hitter Stats'!H:H,match($A132,'Hitter Stats'!$A:$A,0))-index('2024'!H:H,match($A132,'2024'!$A:$A,0))</f>
        <v>6</v>
      </c>
      <c r="E132" s="19">
        <f t="array" ref="E132">index('Hitter Stats'!K:K,match($A132,'Hitter Stats'!$A:$A,0))-index('2024'!K:K,match($A132,'2024'!$A:$A,0))</f>
        <v>22</v>
      </c>
      <c r="F132" s="19">
        <f t="array" ref="F132">index('Hitter Stats'!L:L,match($A132,'Hitter Stats'!$A:$A,0))-index('2024'!L:L,match($A132,'2024'!$A:$A,0))</f>
        <v>3</v>
      </c>
      <c r="G132" s="19">
        <f t="array" ref="G132">index('Hitter Stats'!M:M,match($A132,'Hitter Stats'!$A:$A,0))-index('2024'!M:M,match($A132,'2024'!$A:$A,0))</f>
        <v>22</v>
      </c>
    </row>
    <row r="133">
      <c r="A133" s="11">
        <f>IFERROR(__xludf.DUMMYFUNCTION("""COMPUTED_VALUE"""),694671.0)</f>
        <v>694671</v>
      </c>
      <c r="B133" s="17" t="str">
        <f t="array" ref="B133">index('Hitter Stats'!B:B,match(A133,'Hitter Stats'!A:A,0))</f>
        <v>Wyatt Langford</v>
      </c>
      <c r="C133" s="14">
        <f t="array" ref="C133">index('Hitter Stats'!F:F,match($A133,'Hitter Stats'!$A:$A,0))-index('2024'!F:F,match($A133,'2024'!$A:$A,0))</f>
        <v>0.025112216</v>
      </c>
      <c r="D133" s="19">
        <f t="array" ref="D133">index('Hitter Stats'!H:H,match($A133,'Hitter Stats'!$A:$A,0))-index('2024'!H:H,match($A133,'2024'!$A:$A,0))</f>
        <v>-7</v>
      </c>
      <c r="E133" s="19">
        <f t="array" ref="E133">index('Hitter Stats'!K:K,match($A133,'Hitter Stats'!$A:$A,0))-index('2024'!K:K,match($A133,'2024'!$A:$A,0))</f>
        <v>-13</v>
      </c>
      <c r="F133" s="19">
        <f t="array" ref="F133">index('Hitter Stats'!L:L,match($A133,'Hitter Stats'!$A:$A,0))-index('2024'!L:L,match($A133,'2024'!$A:$A,0))</f>
        <v>3</v>
      </c>
      <c r="G133" s="19">
        <f t="array" ref="G133">index('Hitter Stats'!M:M,match($A133,'Hitter Stats'!$A:$A,0))-index('2024'!M:M,match($A133,'2024'!$A:$A,0))</f>
        <v>-8</v>
      </c>
    </row>
    <row r="134">
      <c r="A134" s="11">
        <f>IFERROR(__xludf.DUMMYFUNCTION("""COMPUTED_VALUE"""),669016.0)</f>
        <v>669016</v>
      </c>
      <c r="B134" s="17" t="str">
        <f t="array" ref="B134">index('Hitter Stats'!B:B,match(A134,'Hitter Stats'!A:A,0))</f>
        <v>Brandon Marsh</v>
      </c>
      <c r="C134" s="14">
        <f t="array" ref="C134">index('Hitter Stats'!F:F,match($A134,'Hitter Stats'!$A:$A,0))-index('2024'!F:F,match($A134,'2024'!$A:$A,0))</f>
        <v>0.042555434</v>
      </c>
      <c r="D134" s="19">
        <f t="array" ref="D134">index('Hitter Stats'!H:H,match($A134,'Hitter Stats'!$A:$A,0))-index('2024'!H:H,match($A134,'2024'!$A:$A,0))</f>
        <v>2</v>
      </c>
      <c r="E134" s="19">
        <f t="array" ref="E134">index('Hitter Stats'!K:K,match($A134,'Hitter Stats'!$A:$A,0))-index('2024'!K:K,match($A134,'2024'!$A:$A,0))</f>
        <v>14</v>
      </c>
      <c r="F134" s="19">
        <f t="array" ref="F134">index('Hitter Stats'!L:L,match($A134,'Hitter Stats'!$A:$A,0))-index('2024'!L:L,match($A134,'2024'!$A:$A,0))</f>
        <v>-16</v>
      </c>
      <c r="G134" s="19">
        <f t="array" ref="G134">index('Hitter Stats'!M:M,match($A134,'Hitter Stats'!$A:$A,0))-index('2024'!M:M,match($A134,'2024'!$A:$A,0))</f>
        <v>-3</v>
      </c>
    </row>
    <row r="135">
      <c r="A135" s="11">
        <f>IFERROR(__xludf.DUMMYFUNCTION("""COMPUTED_VALUE"""),678246.0)</f>
        <v>678246</v>
      </c>
      <c r="B135" s="17" t="str">
        <f t="array" ref="B135">index('Hitter Stats'!B:B,match(A135,'Hitter Stats'!A:A,0))</f>
        <v>Miguel Vargas</v>
      </c>
      <c r="C135" s="14">
        <f t="array" ref="C135">index('Hitter Stats'!F:F,match($A135,'Hitter Stats'!$A:$A,0))-index('2024'!F:F,match($A135,'2024'!$A:$A,0))</f>
        <v>0.040585172</v>
      </c>
      <c r="D135" s="19">
        <f t="array" ref="D135">index('Hitter Stats'!H:H,match($A135,'Hitter Stats'!$A:$A,0))-index('2024'!H:H,match($A135,'2024'!$A:$A,0))</f>
        <v>-1</v>
      </c>
      <c r="E135" s="19">
        <f t="array" ref="E135">index('Hitter Stats'!K:K,match($A135,'Hitter Stats'!$A:$A,0))-index('2024'!K:K,match($A135,'2024'!$A:$A,0))</f>
        <v>7</v>
      </c>
      <c r="F135" s="19">
        <f t="array" ref="F135">index('Hitter Stats'!L:L,match($A135,'Hitter Stats'!$A:$A,0))-index('2024'!L:L,match($A135,'2024'!$A:$A,0))</f>
        <v>13</v>
      </c>
      <c r="G135" s="19">
        <f t="array" ref="G135">index('Hitter Stats'!M:M,match($A135,'Hitter Stats'!$A:$A,0))-index('2024'!M:M,match($A135,'2024'!$A:$A,0))</f>
        <v>10</v>
      </c>
    </row>
    <row r="136">
      <c r="A136" s="11">
        <f>IFERROR(__xludf.DUMMYFUNCTION("""COMPUTED_VALUE"""),668930.0)</f>
        <v>668930</v>
      </c>
      <c r="B136" s="17" t="str">
        <f t="array" ref="B136">index('Hitter Stats'!B:B,match(A136,'Hitter Stats'!A:A,0))</f>
        <v>Brice Turang</v>
      </c>
      <c r="C136" s="14">
        <f t="array" ref="C136">index('Hitter Stats'!F:F,match($A136,'Hitter Stats'!$A:$A,0))-index('2024'!F:F,match($A136,'2024'!$A:$A,0))</f>
        <v>-0.022443395</v>
      </c>
      <c r="D136" s="19">
        <f t="array" ref="D136">index('Hitter Stats'!H:H,match($A136,'Hitter Stats'!$A:$A,0))-index('2024'!H:H,match($A136,'2024'!$A:$A,0))</f>
        <v>10</v>
      </c>
      <c r="E136" s="19">
        <f t="array" ref="E136">index('Hitter Stats'!K:K,match($A136,'Hitter Stats'!$A:$A,0))-index('2024'!K:K,match($A136,'2024'!$A:$A,0))</f>
        <v>-15</v>
      </c>
      <c r="F136" s="19">
        <f t="array" ref="F136">index('Hitter Stats'!L:L,match($A136,'Hitter Stats'!$A:$A,0))-index('2024'!L:L,match($A136,'2024'!$A:$A,0))</f>
        <v>12</v>
      </c>
      <c r="G136" s="19">
        <f t="array" ref="G136">index('Hitter Stats'!M:M,match($A136,'Hitter Stats'!$A:$A,0))-index('2024'!M:M,match($A136,'2024'!$A:$A,0))</f>
        <v>9</v>
      </c>
    </row>
    <row r="137">
      <c r="A137" s="11">
        <f>IFERROR(__xludf.DUMMYFUNCTION("""COMPUTED_VALUE"""),605137.0)</f>
        <v>605137</v>
      </c>
      <c r="B137" s="17" t="str">
        <f t="array" ref="B137">index('Hitter Stats'!B:B,match(A137,'Hitter Stats'!A:A,0))</f>
        <v>Josh Bell</v>
      </c>
      <c r="C137" s="14">
        <f t="array" ref="C137">index('Hitter Stats'!F:F,match($A137,'Hitter Stats'!$A:$A,0))-index('2024'!F:F,match($A137,'2024'!$A:$A,0))</f>
        <v>-0.013188099</v>
      </c>
      <c r="D137" s="19">
        <f t="array" ref="D137">index('Hitter Stats'!H:H,match($A137,'Hitter Stats'!$A:$A,0))-index('2024'!H:H,match($A137,'2024'!$A:$A,0))</f>
        <v>-3</v>
      </c>
      <c r="E137" s="19">
        <f t="array" ref="E137">index('Hitter Stats'!K:K,match($A137,'Hitter Stats'!$A:$A,0))-index('2024'!K:K,match($A137,'2024'!$A:$A,0))</f>
        <v>3</v>
      </c>
      <c r="F137" s="19">
        <f t="array" ref="F137">index('Hitter Stats'!L:L,match($A137,'Hitter Stats'!$A:$A,0))-index('2024'!L:L,match($A137,'2024'!$A:$A,0))</f>
        <v>5</v>
      </c>
      <c r="G137" s="19">
        <f t="array" ref="G137">index('Hitter Stats'!M:M,match($A137,'Hitter Stats'!$A:$A,0))-index('2024'!M:M,match($A137,'2024'!$A:$A,0))</f>
        <v>5</v>
      </c>
    </row>
    <row r="138">
      <c r="A138" s="11">
        <f>IFERROR(__xludf.DUMMYFUNCTION("""COMPUTED_VALUE"""),592206.0)</f>
        <v>592206</v>
      </c>
      <c r="B138" s="17" t="str">
        <f t="array" ref="B138">index('Hitter Stats'!B:B,match(A138,'Hitter Stats'!A:A,0))</f>
        <v>Nick Castellanos</v>
      </c>
      <c r="C138" s="14">
        <f t="array" ref="C138">index('Hitter Stats'!F:F,match($A138,'Hitter Stats'!$A:$A,0))-index('2024'!F:F,match($A138,'2024'!$A:$A,0))</f>
        <v>0.013271101</v>
      </c>
      <c r="D138" s="19">
        <f t="array" ref="D138">index('Hitter Stats'!H:H,match($A138,'Hitter Stats'!$A:$A,0))-index('2024'!H:H,match($A138,'2024'!$A:$A,0))</f>
        <v>-16</v>
      </c>
      <c r="E138" s="19">
        <f t="array" ref="E138">index('Hitter Stats'!K:K,match($A138,'Hitter Stats'!$A:$A,0))-index('2024'!K:K,match($A138,'2024'!$A:$A,0))</f>
        <v>-2</v>
      </c>
      <c r="F138" s="19">
        <f t="array" ref="F138">index('Hitter Stats'!L:L,match($A138,'Hitter Stats'!$A:$A,0))-index('2024'!L:L,match($A138,'2024'!$A:$A,0))</f>
        <v>5</v>
      </c>
      <c r="G138" s="19">
        <f t="array" ref="G138">index('Hitter Stats'!M:M,match($A138,'Hitter Stats'!$A:$A,0))-index('2024'!M:M,match($A138,'2024'!$A:$A,0))</f>
        <v>-1</v>
      </c>
    </row>
    <row r="139">
      <c r="A139" s="11">
        <f>IFERROR(__xludf.DUMMYFUNCTION("""COMPUTED_VALUE"""),596019.0)</f>
        <v>596019</v>
      </c>
      <c r="B139" s="17" t="str">
        <f t="array" ref="B139">index('Hitter Stats'!B:B,match(A139,'Hitter Stats'!A:A,0))</f>
        <v>Francisco Lindor</v>
      </c>
      <c r="C139" s="14">
        <f t="array" ref="C139">index('Hitter Stats'!F:F,match($A139,'Hitter Stats'!$A:$A,0))-index('2024'!F:F,match($A139,'2024'!$A:$A,0))</f>
        <v>-0.00707241</v>
      </c>
      <c r="D139" s="19">
        <f t="array" ref="D139">index('Hitter Stats'!H:H,match($A139,'Hitter Stats'!$A:$A,0))-index('2024'!H:H,match($A139,'2024'!$A:$A,0))</f>
        <v>-9</v>
      </c>
      <c r="E139" s="19">
        <f t="array" ref="E139">index('Hitter Stats'!K:K,match($A139,'Hitter Stats'!$A:$A,0))-index('2024'!K:K,match($A139,'2024'!$A:$A,0))</f>
        <v>4</v>
      </c>
      <c r="F139" s="19">
        <f t="array" ref="F139">index('Hitter Stats'!L:L,match($A139,'Hitter Stats'!$A:$A,0))-index('2024'!L:L,match($A139,'2024'!$A:$A,0))</f>
        <v>-18</v>
      </c>
      <c r="G139" s="19">
        <f t="array" ref="G139">index('Hitter Stats'!M:M,match($A139,'Hitter Stats'!$A:$A,0))-index('2024'!M:M,match($A139,'2024'!$A:$A,0))</f>
        <v>-20</v>
      </c>
    </row>
    <row r="140">
      <c r="A140" s="11">
        <f>IFERROR(__xludf.DUMMYFUNCTION("""COMPUTED_VALUE"""),673962.0)</f>
        <v>673962</v>
      </c>
      <c r="B140" s="17" t="str">
        <f t="array" ref="B140">index('Hitter Stats'!B:B,match(A140,'Hitter Stats'!A:A,0))</f>
        <v>Josh Jung</v>
      </c>
      <c r="C140" s="14">
        <f t="array" ref="C140">index('Hitter Stats'!F:F,match($A140,'Hitter Stats'!$A:$A,0))-index('2024'!F:F,match($A140,'2024'!$A:$A,0))</f>
        <v>0.011739498</v>
      </c>
      <c r="D140" s="19">
        <f t="array" ref="D140">index('Hitter Stats'!H:H,match($A140,'Hitter Stats'!$A:$A,0))-index('2024'!H:H,match($A140,'2024'!$A:$A,0))</f>
        <v>11</v>
      </c>
      <c r="E140" s="19">
        <f t="array" ref="E140">index('Hitter Stats'!K:K,match($A140,'Hitter Stats'!$A:$A,0))-index('2024'!K:K,match($A140,'2024'!$A:$A,0))</f>
        <v>-2</v>
      </c>
      <c r="F140" s="19">
        <f t="array" ref="F140">index('Hitter Stats'!L:L,match($A140,'Hitter Stats'!$A:$A,0))-index('2024'!L:L,match($A140,'2024'!$A:$A,0))</f>
        <v>2</v>
      </c>
      <c r="G140" s="19">
        <f t="array" ref="G140">index('Hitter Stats'!M:M,match($A140,'Hitter Stats'!$A:$A,0))-index('2024'!M:M,match($A140,'2024'!$A:$A,0))</f>
        <v>8</v>
      </c>
    </row>
    <row r="141">
      <c r="A141" s="11">
        <f>IFERROR(__xludf.DUMMYFUNCTION("""COMPUTED_VALUE"""),671213.0)</f>
        <v>671213</v>
      </c>
      <c r="B141" s="17" t="str">
        <f t="array" ref="B141">index('Hitter Stats'!B:B,match(A141,'Hitter Stats'!A:A,0))</f>
        <v>Triston Casas</v>
      </c>
      <c r="C141" s="14">
        <f t="array" ref="C141">index('Hitter Stats'!F:F,match($A141,'Hitter Stats'!$A:$A,0))-index('2024'!F:F,match($A141,'2024'!$A:$A,0))</f>
        <v>0.027943473</v>
      </c>
      <c r="D141" s="19">
        <f t="array" ref="D141">index('Hitter Stats'!H:H,match($A141,'Hitter Stats'!$A:$A,0))-index('2024'!H:H,match($A141,'2024'!$A:$A,0))</f>
        <v>18</v>
      </c>
      <c r="E141" s="19">
        <f t="array" ref="E141">index('Hitter Stats'!K:K,match($A141,'Hitter Stats'!$A:$A,0))-index('2024'!K:K,match($A141,'2024'!$A:$A,0))</f>
        <v>2</v>
      </c>
      <c r="F141" s="19">
        <f t="array" ref="F141">index('Hitter Stats'!L:L,match($A141,'Hitter Stats'!$A:$A,0))-index('2024'!L:L,match($A141,'2024'!$A:$A,0))</f>
        <v>-24</v>
      </c>
      <c r="G141" s="19">
        <f t="array" ref="G141">index('Hitter Stats'!M:M,match($A141,'Hitter Stats'!$A:$A,0))-index('2024'!M:M,match($A141,'2024'!$A:$A,0))</f>
        <v>-9</v>
      </c>
    </row>
    <row r="142">
      <c r="A142" s="11">
        <f>IFERROR(__xludf.DUMMYFUNCTION("""COMPUTED_VALUE"""),608070.0)</f>
        <v>608070</v>
      </c>
      <c r="B142" s="17" t="str">
        <f t="array" ref="B142">index('Hitter Stats'!B:B,match(A142,'Hitter Stats'!A:A,0))</f>
        <v>José Ramírez</v>
      </c>
      <c r="C142" s="14">
        <f t="array" ref="C142">index('Hitter Stats'!F:F,match($A142,'Hitter Stats'!$A:$A,0))-index('2024'!F:F,match($A142,'2024'!$A:$A,0))</f>
        <v>-0.018933745</v>
      </c>
      <c r="D142" s="19">
        <f t="array" ref="D142">index('Hitter Stats'!H:H,match($A142,'Hitter Stats'!$A:$A,0))-index('2024'!H:H,match($A142,'2024'!$A:$A,0))</f>
        <v>6</v>
      </c>
      <c r="E142" s="19">
        <f t="array" ref="E142">index('Hitter Stats'!K:K,match($A142,'Hitter Stats'!$A:$A,0))-index('2024'!K:K,match($A142,'2024'!$A:$A,0))</f>
        <v>-6</v>
      </c>
      <c r="F142" s="19">
        <f t="array" ref="F142">index('Hitter Stats'!L:L,match($A142,'Hitter Stats'!$A:$A,0))-index('2024'!L:L,match($A142,'2024'!$A:$A,0))</f>
        <v>0</v>
      </c>
      <c r="G142" s="19">
        <f t="array" ref="G142">index('Hitter Stats'!M:M,match($A142,'Hitter Stats'!$A:$A,0))-index('2024'!M:M,match($A142,'2024'!$A:$A,0))</f>
        <v>-2</v>
      </c>
    </row>
    <row r="143">
      <c r="A143" s="11">
        <f>IFERROR(__xludf.DUMMYFUNCTION("""COMPUTED_VALUE"""),694384.0)</f>
        <v>694384</v>
      </c>
      <c r="B143" s="17" t="str">
        <f t="array" ref="B143">index('Hitter Stats'!B:B,match(A143,'Hitter Stats'!A:A,0))</f>
        <v>Nolan Schanuel</v>
      </c>
      <c r="C143" s="14">
        <f t="array" ref="C143">index('Hitter Stats'!F:F,match($A143,'Hitter Stats'!$A:$A,0))-index('2024'!F:F,match($A143,'2024'!$A:$A,0))</f>
        <v>0.01511537</v>
      </c>
      <c r="D143" s="19">
        <f t="array" ref="D143">index('Hitter Stats'!H:H,match($A143,'Hitter Stats'!$A:$A,0))-index('2024'!H:H,match($A143,'2024'!$A:$A,0))</f>
        <v>-5</v>
      </c>
      <c r="E143" s="19">
        <f t="array" ref="E143">index('Hitter Stats'!K:K,match($A143,'Hitter Stats'!$A:$A,0))-index('2024'!K:K,match($A143,'2024'!$A:$A,0))</f>
        <v>3</v>
      </c>
      <c r="F143" s="19">
        <f t="array" ref="F143">index('Hitter Stats'!L:L,match($A143,'Hitter Stats'!$A:$A,0))-index('2024'!L:L,match($A143,'2024'!$A:$A,0))</f>
        <v>-3</v>
      </c>
      <c r="G143" s="19">
        <f t="array" ref="G143">index('Hitter Stats'!M:M,match($A143,'Hitter Stats'!$A:$A,0))-index('2024'!M:M,match($A143,'2024'!$A:$A,0))</f>
        <v>-6</v>
      </c>
    </row>
    <row r="144">
      <c r="A144" s="11">
        <f>IFERROR(__xludf.DUMMYFUNCTION("""COMPUTED_VALUE"""),683002.0)</f>
        <v>683002</v>
      </c>
      <c r="B144" s="17" t="str">
        <f t="array" ref="B144">index('Hitter Stats'!B:B,match(A144,'Hitter Stats'!A:A,0))</f>
        <v>Gunnar Henderson</v>
      </c>
      <c r="C144" s="14">
        <f t="array" ref="C144">index('Hitter Stats'!F:F,match($A144,'Hitter Stats'!$A:$A,0))-index('2024'!F:F,match($A144,'2024'!$A:$A,0))</f>
        <v>0.023447605</v>
      </c>
      <c r="D144" s="19">
        <f t="array" ref="D144">index('Hitter Stats'!H:H,match($A144,'Hitter Stats'!$A:$A,0))-index('2024'!H:H,match($A144,'2024'!$A:$A,0))</f>
        <v>-8</v>
      </c>
      <c r="E144" s="19">
        <f t="array" ref="E144">index('Hitter Stats'!K:K,match($A144,'Hitter Stats'!$A:$A,0))-index('2024'!K:K,match($A144,'2024'!$A:$A,0))</f>
        <v>-2</v>
      </c>
      <c r="F144" s="19">
        <f t="array" ref="F144">index('Hitter Stats'!L:L,match($A144,'Hitter Stats'!$A:$A,0))-index('2024'!L:L,match($A144,'2024'!$A:$A,0))</f>
        <v>-14</v>
      </c>
      <c r="G144" s="19">
        <f t="array" ref="G144">index('Hitter Stats'!M:M,match($A144,'Hitter Stats'!$A:$A,0))-index('2024'!M:M,match($A144,'2024'!$A:$A,0))</f>
        <v>-19</v>
      </c>
    </row>
    <row r="145">
      <c r="A145" s="11">
        <f>IFERROR(__xludf.DUMMYFUNCTION("""COMPUTED_VALUE"""),669357.0)</f>
        <v>669357</v>
      </c>
      <c r="B145" s="17" t="str">
        <f t="array" ref="B145">index('Hitter Stats'!B:B,match(A145,'Hitter Stats'!A:A,0))</f>
        <v>Nolan Gorman</v>
      </c>
      <c r="C145" s="14">
        <f t="array" ref="C145">index('Hitter Stats'!F:F,match($A145,'Hitter Stats'!$A:$A,0))-index('2024'!F:F,match($A145,'2024'!$A:$A,0))</f>
        <v>-0.018507223</v>
      </c>
      <c r="D145" s="19">
        <f t="array" ref="D145">index('Hitter Stats'!H:H,match($A145,'Hitter Stats'!$A:$A,0))-index('2024'!H:H,match($A145,'2024'!$A:$A,0))</f>
        <v>-3</v>
      </c>
      <c r="E145" s="19">
        <f t="array" ref="E145">index('Hitter Stats'!K:K,match($A145,'Hitter Stats'!$A:$A,0))-index('2024'!K:K,match($A145,'2024'!$A:$A,0))</f>
        <v>6</v>
      </c>
      <c r="F145" s="19">
        <f t="array" ref="F145">index('Hitter Stats'!L:L,match($A145,'Hitter Stats'!$A:$A,0))-index('2024'!L:L,match($A145,'2024'!$A:$A,0))</f>
        <v>-11</v>
      </c>
      <c r="G145" s="19">
        <f t="array" ref="G145">index('Hitter Stats'!M:M,match($A145,'Hitter Stats'!$A:$A,0))-index('2024'!M:M,match($A145,'2024'!$A:$A,0))</f>
        <v>-1</v>
      </c>
    </row>
    <row r="146">
      <c r="A146" s="11">
        <f>IFERROR(__xludf.DUMMYFUNCTION("""COMPUTED_VALUE"""),605170.0)</f>
        <v>605170</v>
      </c>
      <c r="B146" s="17" t="str">
        <f t="array" ref="B146">index('Hitter Stats'!B:B,match(A146,'Hitter Stats'!A:A,0))</f>
        <v>Victor Caratini</v>
      </c>
      <c r="C146" s="14">
        <f t="array" ref="C146">index('Hitter Stats'!F:F,match($A146,'Hitter Stats'!$A:$A,0))-index('2024'!F:F,match($A146,'2024'!$A:$A,0))</f>
        <v>0.00346889</v>
      </c>
      <c r="D146" s="19">
        <f t="array" ref="D146">index('Hitter Stats'!H:H,match($A146,'Hitter Stats'!$A:$A,0))-index('2024'!H:H,match($A146,'2024'!$A:$A,0))</f>
        <v>4</v>
      </c>
      <c r="E146" s="19">
        <f t="array" ref="E146">index('Hitter Stats'!K:K,match($A146,'Hitter Stats'!$A:$A,0))-index('2024'!K:K,match($A146,'2024'!$A:$A,0))</f>
        <v>-6</v>
      </c>
      <c r="F146" s="19">
        <f t="array" ref="F146">index('Hitter Stats'!L:L,match($A146,'Hitter Stats'!$A:$A,0))-index('2024'!L:L,match($A146,'2024'!$A:$A,0))</f>
        <v>-6</v>
      </c>
      <c r="G146" s="19">
        <f t="array" ref="G146">index('Hitter Stats'!M:M,match($A146,'Hitter Stats'!$A:$A,0))-index('2024'!M:M,match($A146,'2024'!$A:$A,0))</f>
        <v>-8</v>
      </c>
    </row>
    <row r="147">
      <c r="A147" s="11">
        <f>IFERROR(__xludf.DUMMYFUNCTION("""COMPUTED_VALUE"""),669127.0)</f>
        <v>669127</v>
      </c>
      <c r="B147" s="17" t="str">
        <f t="array" ref="B147">index('Hitter Stats'!B:B,match(A147,'Hitter Stats'!A:A,0))</f>
        <v>Shea Langeliers</v>
      </c>
      <c r="C147" s="14">
        <f t="array" ref="C147">index('Hitter Stats'!F:F,match($A147,'Hitter Stats'!$A:$A,0))-index('2024'!F:F,match($A147,'2024'!$A:$A,0))</f>
        <v>0.002223127</v>
      </c>
      <c r="D147" s="19">
        <f t="array" ref="D147">index('Hitter Stats'!H:H,match($A147,'Hitter Stats'!$A:$A,0))-index('2024'!H:H,match($A147,'2024'!$A:$A,0))</f>
        <v>4</v>
      </c>
      <c r="E147" s="19">
        <f t="array" ref="E147">index('Hitter Stats'!K:K,match($A147,'Hitter Stats'!$A:$A,0))-index('2024'!K:K,match($A147,'2024'!$A:$A,0))</f>
        <v>17</v>
      </c>
      <c r="F147" s="19">
        <f t="array" ref="F147">index('Hitter Stats'!L:L,match($A147,'Hitter Stats'!$A:$A,0))-index('2024'!L:L,match($A147,'2024'!$A:$A,0))</f>
        <v>-19</v>
      </c>
      <c r="G147" s="19">
        <f t="array" ref="G147">index('Hitter Stats'!M:M,match($A147,'Hitter Stats'!$A:$A,0))-index('2024'!M:M,match($A147,'2024'!$A:$A,0))</f>
        <v>-6</v>
      </c>
    </row>
    <row r="148">
      <c r="A148" s="11">
        <f>IFERROR(__xludf.DUMMYFUNCTION("""COMPUTED_VALUE"""),647304.0)</f>
        <v>647304</v>
      </c>
      <c r="B148" s="17" t="str">
        <f t="array" ref="B148">index('Hitter Stats'!B:B,match(A148,'Hitter Stats'!A:A,0))</f>
        <v>Josh Naylor</v>
      </c>
      <c r="C148" s="14">
        <f t="array" ref="C148">index('Hitter Stats'!F:F,match($A148,'Hitter Stats'!$A:$A,0))-index('2024'!F:F,match($A148,'2024'!$A:$A,0))</f>
        <v>0.012047413</v>
      </c>
      <c r="D148" s="19">
        <f t="array" ref="D148">index('Hitter Stats'!H:H,match($A148,'Hitter Stats'!$A:$A,0))-index('2024'!H:H,match($A148,'2024'!$A:$A,0))</f>
        <v>-3</v>
      </c>
      <c r="E148" s="19">
        <f t="array" ref="E148">index('Hitter Stats'!K:K,match($A148,'Hitter Stats'!$A:$A,0))-index('2024'!K:K,match($A148,'2024'!$A:$A,0))</f>
        <v>11</v>
      </c>
      <c r="F148" s="19">
        <f t="array" ref="F148">index('Hitter Stats'!L:L,match($A148,'Hitter Stats'!$A:$A,0))-index('2024'!L:L,match($A148,'2024'!$A:$A,0))</f>
        <v>-9</v>
      </c>
      <c r="G148" s="19">
        <f t="array" ref="G148">index('Hitter Stats'!M:M,match($A148,'Hitter Stats'!$A:$A,0))-index('2024'!M:M,match($A148,'2024'!$A:$A,0))</f>
        <v>-3</v>
      </c>
    </row>
    <row r="149">
      <c r="A149" s="11">
        <f>IFERROR(__xludf.DUMMYFUNCTION("""COMPUTED_VALUE"""),624424.0)</f>
        <v>624424</v>
      </c>
      <c r="B149" s="17" t="str">
        <f t="array" ref="B149">index('Hitter Stats'!B:B,match(A149,'Hitter Stats'!A:A,0))</f>
        <v>Michael Conforto</v>
      </c>
      <c r="C149" s="14">
        <f t="array" ref="C149">index('Hitter Stats'!F:F,match($A149,'Hitter Stats'!$A:$A,0))-index('2024'!F:F,match($A149,'2024'!$A:$A,0))</f>
        <v>-0.005447484</v>
      </c>
      <c r="D149" s="19">
        <f t="array" ref="D149">index('Hitter Stats'!H:H,match($A149,'Hitter Stats'!$A:$A,0))-index('2024'!H:H,match($A149,'2024'!$A:$A,0))</f>
        <v>3</v>
      </c>
      <c r="E149" s="19">
        <f t="array" ref="E149">index('Hitter Stats'!K:K,match($A149,'Hitter Stats'!$A:$A,0))-index('2024'!K:K,match($A149,'2024'!$A:$A,0))</f>
        <v>5</v>
      </c>
      <c r="F149" s="19">
        <f t="array" ref="F149">index('Hitter Stats'!L:L,match($A149,'Hitter Stats'!$A:$A,0))-index('2024'!L:L,match($A149,'2024'!$A:$A,0))</f>
        <v>-17</v>
      </c>
      <c r="G149" s="19">
        <f t="array" ref="G149">index('Hitter Stats'!M:M,match($A149,'Hitter Stats'!$A:$A,0))-index('2024'!M:M,match($A149,'2024'!$A:$A,0))</f>
        <v>-12</v>
      </c>
    </row>
    <row r="150">
      <c r="A150" s="11">
        <f>IFERROR(__xludf.DUMMYFUNCTION("""COMPUTED_VALUE"""),677594.0)</f>
        <v>677594</v>
      </c>
      <c r="B150" s="17" t="str">
        <f t="array" ref="B150">index('Hitter Stats'!B:B,match(A150,'Hitter Stats'!A:A,0))</f>
        <v>Julio Rodríguez</v>
      </c>
      <c r="C150" s="14">
        <f t="array" ref="C150">index('Hitter Stats'!F:F,match($A150,'Hitter Stats'!$A:$A,0))-index('2024'!F:F,match($A150,'2024'!$A:$A,0))</f>
        <v>0.007326991</v>
      </c>
      <c r="D150" s="19">
        <f t="array" ref="D150">index('Hitter Stats'!H:H,match($A150,'Hitter Stats'!$A:$A,0))-index('2024'!H:H,match($A150,'2024'!$A:$A,0))</f>
        <v>14</v>
      </c>
      <c r="E150" s="19">
        <f t="array" ref="E150">index('Hitter Stats'!K:K,match($A150,'Hitter Stats'!$A:$A,0))-index('2024'!K:K,match($A150,'2024'!$A:$A,0))</f>
        <v>-3</v>
      </c>
      <c r="F150" s="19">
        <f t="array" ref="F150">index('Hitter Stats'!L:L,match($A150,'Hitter Stats'!$A:$A,0))-index('2024'!L:L,match($A150,'2024'!$A:$A,0))</f>
        <v>-16</v>
      </c>
      <c r="G150" s="19">
        <f t="array" ref="G150">index('Hitter Stats'!M:M,match($A150,'Hitter Stats'!$A:$A,0))-index('2024'!M:M,match($A150,'2024'!$A:$A,0))</f>
        <v>-8</v>
      </c>
    </row>
    <row r="151">
      <c r="A151" s="11">
        <f>IFERROR(__xludf.DUMMYFUNCTION("""COMPUTED_VALUE"""),663624.0)</f>
        <v>663624</v>
      </c>
      <c r="B151" s="17" t="str">
        <f t="array" ref="B151">index('Hitter Stats'!B:B,match(A151,'Hitter Stats'!A:A,0))</f>
        <v>Ryan Mountcastle</v>
      </c>
      <c r="C151" s="14">
        <f t="array" ref="C151">index('Hitter Stats'!F:F,match($A151,'Hitter Stats'!$A:$A,0))-index('2024'!F:F,match($A151,'2024'!$A:$A,0))</f>
        <v>0.012929208</v>
      </c>
      <c r="D151" s="19">
        <f t="array" ref="D151">index('Hitter Stats'!H:H,match($A151,'Hitter Stats'!$A:$A,0))-index('2024'!H:H,match($A151,'2024'!$A:$A,0))</f>
        <v>-1</v>
      </c>
      <c r="E151" s="19">
        <f t="array" ref="E151">index('Hitter Stats'!K:K,match($A151,'Hitter Stats'!$A:$A,0))-index('2024'!K:K,match($A151,'2024'!$A:$A,0))</f>
        <v>-1</v>
      </c>
      <c r="F151" s="19">
        <f t="array" ref="F151">index('Hitter Stats'!L:L,match($A151,'Hitter Stats'!$A:$A,0))-index('2024'!L:L,match($A151,'2024'!$A:$A,0))</f>
        <v>-5</v>
      </c>
      <c r="G151" s="19">
        <f t="array" ref="G151">index('Hitter Stats'!M:M,match($A151,'Hitter Stats'!$A:$A,0))-index('2024'!M:M,match($A151,'2024'!$A:$A,0))</f>
        <v>-4</v>
      </c>
    </row>
    <row r="152">
      <c r="A152" s="11">
        <f>IFERROR(__xludf.DUMMYFUNCTION("""COMPUTED_VALUE"""),642715.0)</f>
        <v>642715</v>
      </c>
      <c r="B152" s="17" t="str">
        <f t="array" ref="B152">index('Hitter Stats'!B:B,match(A152,'Hitter Stats'!A:A,0))</f>
        <v>Willy Adames</v>
      </c>
      <c r="C152" s="14">
        <f t="array" ref="C152">index('Hitter Stats'!F:F,match($A152,'Hitter Stats'!$A:$A,0))-index('2024'!F:F,match($A152,'2024'!$A:$A,0))</f>
        <v>-0.033345541</v>
      </c>
      <c r="D152" s="19">
        <f t="array" ref="D152">index('Hitter Stats'!H:H,match($A152,'Hitter Stats'!$A:$A,0))-index('2024'!H:H,match($A152,'2024'!$A:$A,0))</f>
        <v>5</v>
      </c>
      <c r="E152" s="19">
        <f t="array" ref="E152">index('Hitter Stats'!K:K,match($A152,'Hitter Stats'!$A:$A,0))-index('2024'!K:K,match($A152,'2024'!$A:$A,0))</f>
        <v>0</v>
      </c>
      <c r="F152" s="19">
        <f t="array" ref="F152">index('Hitter Stats'!L:L,match($A152,'Hitter Stats'!$A:$A,0))-index('2024'!L:L,match($A152,'2024'!$A:$A,0))</f>
        <v>-11</v>
      </c>
      <c r="G152" s="19">
        <f t="array" ref="G152">index('Hitter Stats'!M:M,match($A152,'Hitter Stats'!$A:$A,0))-index('2024'!M:M,match($A152,'2024'!$A:$A,0))</f>
        <v>-7</v>
      </c>
    </row>
    <row r="153">
      <c r="A153" s="11">
        <f>IFERROR(__xludf.DUMMYFUNCTION("""COMPUTED_VALUE"""),672820.0)</f>
        <v>672820</v>
      </c>
      <c r="B153" s="17" t="str">
        <f t="array" ref="B153">index('Hitter Stats'!B:B,match(A153,'Hitter Stats'!A:A,0))</f>
        <v>Lenyn Sosa</v>
      </c>
      <c r="C153" s="14">
        <f t="array" ref="C153">index('Hitter Stats'!F:F,match($A153,'Hitter Stats'!$A:$A,0))-index('2024'!F:F,match($A153,'2024'!$A:$A,0))</f>
        <v>0.006386937</v>
      </c>
      <c r="D153" s="19">
        <f t="array" ref="D153">index('Hitter Stats'!H:H,match($A153,'Hitter Stats'!$A:$A,0))-index('2024'!H:H,match($A153,'2024'!$A:$A,0))</f>
        <v>-18</v>
      </c>
      <c r="E153" s="19">
        <f t="array" ref="E153">index('Hitter Stats'!K:K,match($A153,'Hitter Stats'!$A:$A,0))-index('2024'!K:K,match($A153,'2024'!$A:$A,0))</f>
        <v>3</v>
      </c>
      <c r="F153" s="19">
        <f t="array" ref="F153">index('Hitter Stats'!L:L,match($A153,'Hitter Stats'!$A:$A,0))-index('2024'!L:L,match($A153,'2024'!$A:$A,0))</f>
        <v>2</v>
      </c>
      <c r="G153" s="19">
        <f t="array" ref="G153">index('Hitter Stats'!M:M,match($A153,'Hitter Stats'!$A:$A,0))-index('2024'!M:M,match($A153,'2024'!$A:$A,0))</f>
        <v>0</v>
      </c>
    </row>
    <row r="154">
      <c r="A154" s="11">
        <f>IFERROR(__xludf.DUMMYFUNCTION("""COMPUTED_VALUE"""),691406.0)</f>
        <v>691406</v>
      </c>
      <c r="B154" s="17" t="str">
        <f t="array" ref="B154">index('Hitter Stats'!B:B,match(A154,'Hitter Stats'!A:A,0))</f>
        <v>Junior Caminero</v>
      </c>
      <c r="C154" s="14">
        <f t="array" ref="C154">index('Hitter Stats'!F:F,match($A154,'Hitter Stats'!$A:$A,0))-index('2024'!F:F,match($A154,'2024'!$A:$A,0))</f>
        <v>0.039049403</v>
      </c>
      <c r="D154" s="19">
        <f t="array" ref="D154">index('Hitter Stats'!H:H,match($A154,'Hitter Stats'!$A:$A,0))-index('2024'!H:H,match($A154,'2024'!$A:$A,0))</f>
        <v>4</v>
      </c>
      <c r="E154" s="19">
        <f t="array" ref="E154">index('Hitter Stats'!K:K,match($A154,'Hitter Stats'!$A:$A,0))-index('2024'!K:K,match($A154,'2024'!$A:$A,0))</f>
        <v>-3</v>
      </c>
      <c r="F154" s="19">
        <f t="array" ref="F154">index('Hitter Stats'!L:L,match($A154,'Hitter Stats'!$A:$A,0))-index('2024'!L:L,match($A154,'2024'!$A:$A,0))</f>
        <v>0</v>
      </c>
      <c r="G154" s="19">
        <f t="array" ref="G154">index('Hitter Stats'!M:M,match($A154,'Hitter Stats'!$A:$A,0))-index('2024'!M:M,match($A154,'2024'!$A:$A,0))</f>
        <v>4</v>
      </c>
    </row>
    <row r="155">
      <c r="A155" s="11">
        <f>IFERROR(__xludf.DUMMYFUNCTION("""COMPUTED_VALUE"""),641355.0)</f>
        <v>641355</v>
      </c>
      <c r="B155" s="17" t="str">
        <f t="array" ref="B155">index('Hitter Stats'!B:B,match(A155,'Hitter Stats'!A:A,0))</f>
        <v>Cody Bellinger</v>
      </c>
      <c r="C155" s="14">
        <f t="array" ref="C155">index('Hitter Stats'!F:F,match($A155,'Hitter Stats'!$A:$A,0))-index('2024'!F:F,match($A155,'2024'!$A:$A,0))</f>
        <v>-0.013251942</v>
      </c>
      <c r="D155" s="19">
        <f t="array" ref="D155">index('Hitter Stats'!H:H,match($A155,'Hitter Stats'!$A:$A,0))-index('2024'!H:H,match($A155,'2024'!$A:$A,0))</f>
        <v>4</v>
      </c>
      <c r="E155" s="19">
        <f t="array" ref="E155">index('Hitter Stats'!K:K,match($A155,'Hitter Stats'!$A:$A,0))-index('2024'!K:K,match($A155,'2024'!$A:$A,0))</f>
        <v>3</v>
      </c>
      <c r="F155" s="19">
        <f t="array" ref="F155">index('Hitter Stats'!L:L,match($A155,'Hitter Stats'!$A:$A,0))-index('2024'!L:L,match($A155,'2024'!$A:$A,0))</f>
        <v>6</v>
      </c>
      <c r="G155" s="19">
        <f t="array" ref="G155">index('Hitter Stats'!M:M,match($A155,'Hitter Stats'!$A:$A,0))-index('2024'!M:M,match($A155,'2024'!$A:$A,0))</f>
        <v>10</v>
      </c>
    </row>
    <row r="156">
      <c r="A156" s="11">
        <f>IFERROR(__xludf.DUMMYFUNCTION("""COMPUTED_VALUE"""),641933.0)</f>
        <v>641933</v>
      </c>
      <c r="B156" s="17" t="str">
        <f t="array" ref="B156">index('Hitter Stats'!B:B,match(A156,'Hitter Stats'!A:A,0))</f>
        <v>Tyler O'Neill</v>
      </c>
      <c r="C156" s="14">
        <f t="array" ref="C156">index('Hitter Stats'!F:F,match($A156,'Hitter Stats'!$A:$A,0))-index('2024'!F:F,match($A156,'2024'!$A:$A,0))</f>
        <v>0.030276992</v>
      </c>
      <c r="D156" s="19">
        <f t="array" ref="D156">index('Hitter Stats'!H:H,match($A156,'Hitter Stats'!$A:$A,0))-index('2024'!H:H,match($A156,'2024'!$A:$A,0))</f>
        <v>15</v>
      </c>
      <c r="E156" s="19">
        <f t="array" ref="E156">index('Hitter Stats'!K:K,match($A156,'Hitter Stats'!$A:$A,0))-index('2024'!K:K,match($A156,'2024'!$A:$A,0))</f>
        <v>7</v>
      </c>
      <c r="F156" s="19">
        <f t="array" ref="F156">index('Hitter Stats'!L:L,match($A156,'Hitter Stats'!$A:$A,0))-index('2024'!L:L,match($A156,'2024'!$A:$A,0))</f>
        <v>-28</v>
      </c>
      <c r="G156" s="19">
        <f t="array" ref="G156">index('Hitter Stats'!M:M,match($A156,'Hitter Stats'!$A:$A,0))-index('2024'!M:M,match($A156,'2024'!$A:$A,0))</f>
        <v>-11</v>
      </c>
    </row>
    <row r="157">
      <c r="A157" s="11">
        <f>IFERROR(__xludf.DUMMYFUNCTION("""COMPUTED_VALUE"""),663698.0)</f>
        <v>663698</v>
      </c>
      <c r="B157" s="17" t="str">
        <f t="array" ref="B157">index('Hitter Stats'!B:B,match(A157,'Hitter Stats'!A:A,0))</f>
        <v>Joey Bart</v>
      </c>
      <c r="C157" s="14">
        <f t="array" ref="C157">index('Hitter Stats'!F:F,match($A157,'Hitter Stats'!$A:$A,0))-index('2024'!F:F,match($A157,'2024'!$A:$A,0))</f>
        <v>0.022303657</v>
      </c>
      <c r="D157" s="19">
        <f t="array" ref="D157">index('Hitter Stats'!H:H,match($A157,'Hitter Stats'!$A:$A,0))-index('2024'!H:H,match($A157,'2024'!$A:$A,0))</f>
        <v>8</v>
      </c>
      <c r="E157" s="19">
        <f t="array" ref="E157">index('Hitter Stats'!K:K,match($A157,'Hitter Stats'!$A:$A,0))-index('2024'!K:K,match($A157,'2024'!$A:$A,0))</f>
        <v>-3</v>
      </c>
      <c r="F157" s="19">
        <f t="array" ref="F157">index('Hitter Stats'!L:L,match($A157,'Hitter Stats'!$A:$A,0))-index('2024'!L:L,match($A157,'2024'!$A:$A,0))</f>
        <v>-10</v>
      </c>
      <c r="G157" s="19">
        <f t="array" ref="G157">index('Hitter Stats'!M:M,match($A157,'Hitter Stats'!$A:$A,0))-index('2024'!M:M,match($A157,'2024'!$A:$A,0))</f>
        <v>-7</v>
      </c>
    </row>
    <row r="158">
      <c r="A158" s="11">
        <f>IFERROR(__xludf.DUMMYFUNCTION("""COMPUTED_VALUE"""),664023.0)</f>
        <v>664023</v>
      </c>
      <c r="B158" s="17" t="str">
        <f t="array" ref="B158">index('Hitter Stats'!B:B,match(A158,'Hitter Stats'!A:A,0))</f>
        <v>Ian Happ</v>
      </c>
      <c r="C158" s="14">
        <f t="array" ref="C158">index('Hitter Stats'!F:F,match($A158,'Hitter Stats'!$A:$A,0))-index('2024'!F:F,match($A158,'2024'!$A:$A,0))</f>
        <v>-0.040490814</v>
      </c>
      <c r="D158" s="19">
        <f t="array" ref="D158">index('Hitter Stats'!H:H,match($A158,'Hitter Stats'!$A:$A,0))-index('2024'!H:H,match($A158,'2024'!$A:$A,0))</f>
        <v>3</v>
      </c>
      <c r="E158" s="19">
        <f t="array" ref="E158">index('Hitter Stats'!K:K,match($A158,'Hitter Stats'!$A:$A,0))-index('2024'!K:K,match($A158,'2024'!$A:$A,0))</f>
        <v>9</v>
      </c>
      <c r="F158" s="19">
        <f t="array" ref="F158">index('Hitter Stats'!L:L,match($A158,'Hitter Stats'!$A:$A,0))-index('2024'!L:L,match($A158,'2024'!$A:$A,0))</f>
        <v>-14</v>
      </c>
      <c r="G158" s="19">
        <f t="array" ref="G158">index('Hitter Stats'!M:M,match($A158,'Hitter Stats'!$A:$A,0))-index('2024'!M:M,match($A158,'2024'!$A:$A,0))</f>
        <v>-7</v>
      </c>
    </row>
    <row r="159">
      <c r="A159" s="11">
        <f>IFERROR(__xludf.DUMMYFUNCTION("""COMPUTED_VALUE"""),641487.0)</f>
        <v>641487</v>
      </c>
      <c r="B159" s="17" t="str">
        <f t="array" ref="B159">index('Hitter Stats'!B:B,match(A159,'Hitter Stats'!A:A,0))</f>
        <v>J.P. Crawford</v>
      </c>
      <c r="C159" s="14">
        <f t="array" ref="C159">index('Hitter Stats'!F:F,match($A159,'Hitter Stats'!$A:$A,0))-index('2024'!F:F,match($A159,'2024'!$A:$A,0))</f>
        <v>0.02602062</v>
      </c>
      <c r="D159" s="19">
        <f t="array" ref="D159">index('Hitter Stats'!H:H,match($A159,'Hitter Stats'!$A:$A,0))-index('2024'!H:H,match($A159,'2024'!$A:$A,0))</f>
        <v>-14</v>
      </c>
      <c r="E159" s="19">
        <f t="array" ref="E159">index('Hitter Stats'!K:K,match($A159,'Hitter Stats'!$A:$A,0))-index('2024'!K:K,match($A159,'2024'!$A:$A,0))</f>
        <v>8</v>
      </c>
      <c r="F159" s="19">
        <f t="array" ref="F159">index('Hitter Stats'!L:L,match($A159,'Hitter Stats'!$A:$A,0))-index('2024'!L:L,match($A159,'2024'!$A:$A,0))</f>
        <v>-1</v>
      </c>
      <c r="G159" s="19">
        <f t="array" ref="G159">index('Hitter Stats'!M:M,match($A159,'Hitter Stats'!$A:$A,0))-index('2024'!M:M,match($A159,'2024'!$A:$A,0))</f>
        <v>-5</v>
      </c>
    </row>
    <row r="160">
      <c r="A160" s="11">
        <f>IFERROR(__xludf.DUMMYFUNCTION("""COMPUTED_VALUE"""),656716.0)</f>
        <v>656716</v>
      </c>
      <c r="B160" s="17" t="str">
        <f t="array" ref="B160">index('Hitter Stats'!B:B,match(A160,'Hitter Stats'!A:A,0))</f>
        <v>Zach McKinstry</v>
      </c>
      <c r="C160" s="14">
        <f t="array" ref="C160">index('Hitter Stats'!F:F,match($A160,'Hitter Stats'!$A:$A,0))-index('2024'!F:F,match($A160,'2024'!$A:$A,0))</f>
        <v>-0.034211997</v>
      </c>
      <c r="D160" s="19">
        <f t="array" ref="D160">index('Hitter Stats'!H:H,match($A160,'Hitter Stats'!$A:$A,0))-index('2024'!H:H,match($A160,'2024'!$A:$A,0))</f>
        <v>11</v>
      </c>
      <c r="E160" s="19">
        <f t="array" ref="E160">index('Hitter Stats'!K:K,match($A160,'Hitter Stats'!$A:$A,0))-index('2024'!K:K,match($A160,'2024'!$A:$A,0))</f>
        <v>-11</v>
      </c>
      <c r="F160" s="19">
        <f t="array" ref="F160">index('Hitter Stats'!L:L,match($A160,'Hitter Stats'!$A:$A,0))-index('2024'!L:L,match($A160,'2024'!$A:$A,0))</f>
        <v>6</v>
      </c>
      <c r="G160" s="19">
        <f t="array" ref="G160">index('Hitter Stats'!M:M,match($A160,'Hitter Stats'!$A:$A,0))-index('2024'!M:M,match($A160,'2024'!$A:$A,0))</f>
        <v>7</v>
      </c>
    </row>
    <row r="161">
      <c r="A161" s="11">
        <f>IFERROR(__xludf.DUMMYFUNCTION("""COMPUTED_VALUE"""),808982.0)</f>
        <v>808982</v>
      </c>
      <c r="B161" s="17" t="str">
        <f t="array" ref="B161">index('Hitter Stats'!B:B,match(A161,'Hitter Stats'!A:A,0))</f>
        <v>Jung Hoo Lee</v>
      </c>
      <c r="C161" s="14">
        <f t="array" ref="C161">index('Hitter Stats'!F:F,match($A161,'Hitter Stats'!$A:$A,0))-index('2024'!F:F,match($A161,'2024'!$A:$A,0))</f>
        <v>0.00616954</v>
      </c>
      <c r="D161" s="19">
        <f t="array" ref="D161">index('Hitter Stats'!H:H,match($A161,'Hitter Stats'!$A:$A,0))-index('2024'!H:H,match($A161,'2024'!$A:$A,0))</f>
        <v>16</v>
      </c>
      <c r="E161" s="19">
        <f t="array" ref="E161">index('Hitter Stats'!K:K,match($A161,'Hitter Stats'!$A:$A,0))-index('2024'!K:K,match($A161,'2024'!$A:$A,0))</f>
        <v>-22</v>
      </c>
      <c r="F161" s="19">
        <f t="array" ref="F161">index('Hitter Stats'!L:L,match($A161,'Hitter Stats'!$A:$A,0))-index('2024'!L:L,match($A161,'2024'!$A:$A,0))</f>
        <v>2</v>
      </c>
      <c r="G161" s="19">
        <f t="array" ref="G161">index('Hitter Stats'!M:M,match($A161,'Hitter Stats'!$A:$A,0))-index('2024'!M:M,match($A161,'2024'!$A:$A,0))</f>
        <v>-1</v>
      </c>
    </row>
    <row r="162">
      <c r="A162" s="11">
        <f>IFERROR(__xludf.DUMMYFUNCTION("""COMPUTED_VALUE"""),669242.0)</f>
        <v>669242</v>
      </c>
      <c r="B162" s="17" t="str">
        <f t="array" ref="B162">index('Hitter Stats'!B:B,match(A162,'Hitter Stats'!A:A,0))</f>
        <v>Tommy Edman</v>
      </c>
      <c r="C162" s="14">
        <f t="array" ref="C162">index('Hitter Stats'!F:F,match($A162,'Hitter Stats'!$A:$A,0))-index('2024'!F:F,match($A162,'2024'!$A:$A,0))</f>
        <v>-0.001046561</v>
      </c>
      <c r="D162" s="19">
        <f t="array" ref="D162">index('Hitter Stats'!H:H,match($A162,'Hitter Stats'!$A:$A,0))-index('2024'!H:H,match($A162,'2024'!$A:$A,0))</f>
        <v>-6</v>
      </c>
      <c r="E162" s="19">
        <f t="array" ref="E162">index('Hitter Stats'!K:K,match($A162,'Hitter Stats'!$A:$A,0))-index('2024'!K:K,match($A162,'2024'!$A:$A,0))</f>
        <v>3</v>
      </c>
      <c r="F162" s="19">
        <f t="array" ref="F162">index('Hitter Stats'!L:L,match($A162,'Hitter Stats'!$A:$A,0))-index('2024'!L:L,match($A162,'2024'!$A:$A,0))</f>
        <v>13</v>
      </c>
      <c r="G162" s="19">
        <f t="array" ref="G162">index('Hitter Stats'!M:M,match($A162,'Hitter Stats'!$A:$A,0))-index('2024'!M:M,match($A162,'2024'!$A:$A,0))</f>
        <v>16</v>
      </c>
    </row>
    <row r="163">
      <c r="A163" s="11">
        <f>IFERROR(__xludf.DUMMYFUNCTION("""COMPUTED_VALUE"""),643565.0)</f>
        <v>643565</v>
      </c>
      <c r="B163" s="17" t="str">
        <f t="array" ref="B163">index('Hitter Stats'!B:B,match(A163,'Hitter Stats'!A:A,0))</f>
        <v>Mike Tauchman</v>
      </c>
      <c r="C163" s="14">
        <f t="array" ref="C163">index('Hitter Stats'!F:F,match($A163,'Hitter Stats'!$A:$A,0))-index('2024'!F:F,match($A163,'2024'!$A:$A,0))</f>
        <v>-0.005770493</v>
      </c>
      <c r="D163" s="19">
        <f t="array" ref="D163">index('Hitter Stats'!H:H,match($A163,'Hitter Stats'!$A:$A,0))-index('2024'!H:H,match($A163,'2024'!$A:$A,0))</f>
        <v>0</v>
      </c>
      <c r="E163" s="19">
        <f t="array" ref="E163">index('Hitter Stats'!K:K,match($A163,'Hitter Stats'!$A:$A,0))-index('2024'!K:K,match($A163,'2024'!$A:$A,0))</f>
        <v>-2</v>
      </c>
      <c r="F163" s="19">
        <f t="array" ref="F163">index('Hitter Stats'!L:L,match($A163,'Hitter Stats'!$A:$A,0))-index('2024'!L:L,match($A163,'2024'!$A:$A,0))</f>
        <v>4</v>
      </c>
      <c r="G163" s="19">
        <f t="array" ref="G163">index('Hitter Stats'!M:M,match($A163,'Hitter Stats'!$A:$A,0))-index('2024'!M:M,match($A163,'2024'!$A:$A,0))</f>
        <v>1</v>
      </c>
    </row>
    <row r="164">
      <c r="A164" s="11">
        <f>IFERROR(__xludf.DUMMYFUNCTION("""COMPUTED_VALUE"""),592663.0)</f>
        <v>592663</v>
      </c>
      <c r="B164" s="17" t="str">
        <f t="array" ref="B164">index('Hitter Stats'!B:B,match(A164,'Hitter Stats'!A:A,0))</f>
        <v>J.T. Realmuto</v>
      </c>
      <c r="C164" s="14">
        <f t="array" ref="C164">index('Hitter Stats'!F:F,match($A164,'Hitter Stats'!$A:$A,0))-index('2024'!F:F,match($A164,'2024'!$A:$A,0))</f>
        <v>-0.031699778</v>
      </c>
      <c r="D164" s="19">
        <f t="array" ref="D164">index('Hitter Stats'!H:H,match($A164,'Hitter Stats'!$A:$A,0))-index('2024'!H:H,match($A164,'2024'!$A:$A,0))</f>
        <v>9</v>
      </c>
      <c r="E164" s="19">
        <f t="array" ref="E164">index('Hitter Stats'!K:K,match($A164,'Hitter Stats'!$A:$A,0))-index('2024'!K:K,match($A164,'2024'!$A:$A,0))</f>
        <v>6</v>
      </c>
      <c r="F164" s="19">
        <f t="array" ref="F164">index('Hitter Stats'!L:L,match($A164,'Hitter Stats'!$A:$A,0))-index('2024'!L:L,match($A164,'2024'!$A:$A,0))</f>
        <v>-12</v>
      </c>
      <c r="G164" s="19">
        <f t="array" ref="G164">index('Hitter Stats'!M:M,match($A164,'Hitter Stats'!$A:$A,0))-index('2024'!M:M,match($A164,'2024'!$A:$A,0))</f>
        <v>-4</v>
      </c>
    </row>
    <row r="165">
      <c r="A165" s="11">
        <f>IFERROR(__xludf.DUMMYFUNCTION("""COMPUTED_VALUE"""),621043.0)</f>
        <v>621043</v>
      </c>
      <c r="B165" s="17" t="str">
        <f t="array" ref="B165">index('Hitter Stats'!B:B,match(A165,'Hitter Stats'!A:A,0))</f>
        <v>Carlos Correa</v>
      </c>
      <c r="C165" s="14">
        <f t="array" ref="C165">index('Hitter Stats'!F:F,match($A165,'Hitter Stats'!$A:$A,0))-index('2024'!F:F,match($A165,'2024'!$A:$A,0))</f>
        <v>0.014366368</v>
      </c>
      <c r="D165" s="19">
        <f t="array" ref="D165">index('Hitter Stats'!H:H,match($A165,'Hitter Stats'!$A:$A,0))-index('2024'!H:H,match($A165,'2024'!$A:$A,0))</f>
        <v>-7</v>
      </c>
      <c r="E165" s="19">
        <f t="array" ref="E165">index('Hitter Stats'!K:K,match($A165,'Hitter Stats'!$A:$A,0))-index('2024'!K:K,match($A165,'2024'!$A:$A,0))</f>
        <v>-3</v>
      </c>
      <c r="F165" s="19">
        <f t="array" ref="F165">index('Hitter Stats'!L:L,match($A165,'Hitter Stats'!$A:$A,0))-index('2024'!L:L,match($A165,'2024'!$A:$A,0))</f>
        <v>-11</v>
      </c>
      <c r="G165" s="19">
        <f t="array" ref="G165">index('Hitter Stats'!M:M,match($A165,'Hitter Stats'!$A:$A,0))-index('2024'!M:M,match($A165,'2024'!$A:$A,0))</f>
        <v>-17</v>
      </c>
    </row>
    <row r="166">
      <c r="A166" s="11">
        <f>IFERROR(__xludf.DUMMYFUNCTION("""COMPUTED_VALUE"""),681297.0)</f>
        <v>681297</v>
      </c>
      <c r="B166" s="17" t="str">
        <f t="array" ref="B166">index('Hitter Stats'!B:B,match(A166,'Hitter Stats'!A:A,0))</f>
        <v>Colton Cowser</v>
      </c>
      <c r="C166" s="14">
        <f t="array" ref="C166">index('Hitter Stats'!F:F,match($A166,'Hitter Stats'!$A:$A,0))-index('2024'!F:F,match($A166,'2024'!$A:$A,0))</f>
        <v>-0.01461789</v>
      </c>
      <c r="D166" s="19">
        <f t="array" ref="D166">index('Hitter Stats'!H:H,match($A166,'Hitter Stats'!$A:$A,0))-index('2024'!H:H,match($A166,'2024'!$A:$A,0))</f>
        <v>0</v>
      </c>
      <c r="E166" s="19">
        <f t="array" ref="E166">index('Hitter Stats'!K:K,match($A166,'Hitter Stats'!$A:$A,0))-index('2024'!K:K,match($A166,'2024'!$A:$A,0))</f>
        <v>-4</v>
      </c>
      <c r="F166" s="19">
        <f t="array" ref="F166">index('Hitter Stats'!L:L,match($A166,'Hitter Stats'!$A:$A,0))-index('2024'!L:L,match($A166,'2024'!$A:$A,0))</f>
        <v>-10</v>
      </c>
      <c r="G166" s="19">
        <f t="array" ref="G166">index('Hitter Stats'!M:M,match($A166,'Hitter Stats'!$A:$A,0))-index('2024'!M:M,match($A166,'2024'!$A:$A,0))</f>
        <v>-8</v>
      </c>
    </row>
    <row r="167">
      <c r="A167" s="11">
        <f>IFERROR(__xludf.DUMMYFUNCTION("""COMPUTED_VALUE"""),643376.0)</f>
        <v>643376</v>
      </c>
      <c r="B167" s="17" t="str">
        <f t="array" ref="B167">index('Hitter Stats'!B:B,match(A167,'Hitter Stats'!A:A,0))</f>
        <v>Danny Jansen</v>
      </c>
      <c r="C167" s="14">
        <f t="array" ref="C167">index('Hitter Stats'!F:F,match($A167,'Hitter Stats'!$A:$A,0))-index('2024'!F:F,match($A167,'2024'!$A:$A,0))</f>
        <v>0.007919103</v>
      </c>
      <c r="D167" s="19">
        <f t="array" ref="D167">index('Hitter Stats'!H:H,match($A167,'Hitter Stats'!$A:$A,0))-index('2024'!H:H,match($A167,'2024'!$A:$A,0))</f>
        <v>-2</v>
      </c>
      <c r="E167" s="19">
        <f t="array" ref="E167">index('Hitter Stats'!K:K,match($A167,'Hitter Stats'!$A:$A,0))-index('2024'!K:K,match($A167,'2024'!$A:$A,0))</f>
        <v>-12</v>
      </c>
      <c r="F167" s="19">
        <f t="array" ref="F167">index('Hitter Stats'!L:L,match($A167,'Hitter Stats'!$A:$A,0))-index('2024'!L:L,match($A167,'2024'!$A:$A,0))</f>
        <v>13</v>
      </c>
      <c r="G167" s="19">
        <f t="array" ref="G167">index('Hitter Stats'!M:M,match($A167,'Hitter Stats'!$A:$A,0))-index('2024'!M:M,match($A167,'2024'!$A:$A,0))</f>
        <v>3</v>
      </c>
    </row>
    <row r="168">
      <c r="A168" s="11">
        <f>IFERROR(__xludf.DUMMYFUNCTION("""COMPUTED_VALUE"""),663457.0)</f>
        <v>663457</v>
      </c>
      <c r="B168" s="17" t="str">
        <f t="array" ref="B168">index('Hitter Stats'!B:B,match(A168,'Hitter Stats'!A:A,0))</f>
        <v>Lars Nootbaar</v>
      </c>
      <c r="C168" s="14">
        <f t="array" ref="C168">index('Hitter Stats'!F:F,match($A168,'Hitter Stats'!$A:$A,0))-index('2024'!F:F,match($A168,'2024'!$A:$A,0))</f>
        <v>0.011098564</v>
      </c>
      <c r="D168" s="19">
        <f t="array" ref="D168">index('Hitter Stats'!H:H,match($A168,'Hitter Stats'!$A:$A,0))-index('2024'!H:H,match($A168,'2024'!$A:$A,0))</f>
        <v>-6</v>
      </c>
      <c r="E168" s="19">
        <f t="array" ref="E168">index('Hitter Stats'!K:K,match($A168,'Hitter Stats'!$A:$A,0))-index('2024'!K:K,match($A168,'2024'!$A:$A,0))</f>
        <v>-11</v>
      </c>
      <c r="F168" s="19">
        <f t="array" ref="F168">index('Hitter Stats'!L:L,match($A168,'Hitter Stats'!$A:$A,0))-index('2024'!L:L,match($A168,'2024'!$A:$A,0))</f>
        <v>-11</v>
      </c>
      <c r="G168" s="19">
        <f t="array" ref="G168">index('Hitter Stats'!M:M,match($A168,'Hitter Stats'!$A:$A,0))-index('2024'!M:M,match($A168,'2024'!$A:$A,0))</f>
        <v>-19</v>
      </c>
    </row>
    <row r="169">
      <c r="A169" s="11">
        <f>IFERROR(__xludf.DUMMYFUNCTION("""COMPUTED_VALUE"""),680757.0)</f>
        <v>680757</v>
      </c>
      <c r="B169" s="17" t="str">
        <f t="array" ref="B169">index('Hitter Stats'!B:B,match(A169,'Hitter Stats'!A:A,0))</f>
        <v>Steven Kwan</v>
      </c>
      <c r="C169" s="14">
        <f t="array" ref="C169">index('Hitter Stats'!F:F,match($A169,'Hitter Stats'!$A:$A,0))-index('2024'!F:F,match($A169,'2024'!$A:$A,0))</f>
        <v>0.018724437</v>
      </c>
      <c r="D169" s="19">
        <f t="array" ref="D169">index('Hitter Stats'!H:H,match($A169,'Hitter Stats'!$A:$A,0))-index('2024'!H:H,match($A169,'2024'!$A:$A,0))</f>
        <v>-3</v>
      </c>
      <c r="E169" s="19">
        <f t="array" ref="E169">index('Hitter Stats'!K:K,match($A169,'Hitter Stats'!$A:$A,0))-index('2024'!K:K,match($A169,'2024'!$A:$A,0))</f>
        <v>-1</v>
      </c>
      <c r="F169" s="19">
        <f t="array" ref="F169">index('Hitter Stats'!L:L,match($A169,'Hitter Stats'!$A:$A,0))-index('2024'!L:L,match($A169,'2024'!$A:$A,0))</f>
        <v>-5</v>
      </c>
      <c r="G169" s="19">
        <f t="array" ref="G169">index('Hitter Stats'!M:M,match($A169,'Hitter Stats'!$A:$A,0))-index('2024'!M:M,match($A169,'2024'!$A:$A,0))</f>
        <v>-10</v>
      </c>
    </row>
    <row r="170">
      <c r="A170" s="11">
        <f>IFERROR(__xludf.DUMMYFUNCTION("""COMPUTED_VALUE"""),656976.0)</f>
        <v>656976</v>
      </c>
      <c r="B170" s="17" t="str">
        <f t="array" ref="B170">index('Hitter Stats'!B:B,match(A170,'Hitter Stats'!A:A,0))</f>
        <v>Pavin Smith</v>
      </c>
      <c r="C170" s="14">
        <f t="array" ref="C170">index('Hitter Stats'!F:F,match($A170,'Hitter Stats'!$A:$A,0))-index('2024'!F:F,match($A170,'2024'!$A:$A,0))</f>
        <v>0.00267093</v>
      </c>
      <c r="D170" s="19">
        <f t="array" ref="D170">index('Hitter Stats'!H:H,match($A170,'Hitter Stats'!$A:$A,0))-index('2024'!H:H,match($A170,'2024'!$A:$A,0))</f>
        <v>-12</v>
      </c>
      <c r="E170" s="19">
        <f t="array" ref="E170">index('Hitter Stats'!K:K,match($A170,'Hitter Stats'!$A:$A,0))-index('2024'!K:K,match($A170,'2024'!$A:$A,0))</f>
        <v>-35</v>
      </c>
      <c r="F170" s="19">
        <f t="array" ref="F170">index('Hitter Stats'!L:L,match($A170,'Hitter Stats'!$A:$A,0))-index('2024'!L:L,match($A170,'2024'!$A:$A,0))</f>
        <v>-13</v>
      </c>
      <c r="G170" s="19">
        <f t="array" ref="G170">index('Hitter Stats'!M:M,match($A170,'Hitter Stats'!$A:$A,0))-index('2024'!M:M,match($A170,'2024'!$A:$A,0))</f>
        <v>-36</v>
      </c>
    </row>
    <row r="171">
      <c r="A171" s="11">
        <f>IFERROR(__xludf.DUMMYFUNCTION("""COMPUTED_VALUE"""),641857.0)</f>
        <v>641857</v>
      </c>
      <c r="B171" s="17" t="str">
        <f t="array" ref="B171">index('Hitter Stats'!B:B,match(A171,'Hitter Stats'!A:A,0))</f>
        <v>Ryan McMahon</v>
      </c>
      <c r="C171" s="14">
        <f t="array" ref="C171">index('Hitter Stats'!F:F,match($A171,'Hitter Stats'!$A:$A,0))-index('2024'!F:F,match($A171,'2024'!$A:$A,0))</f>
        <v>-0.012281464</v>
      </c>
      <c r="D171" s="19">
        <f t="array" ref="D171">index('Hitter Stats'!H:H,match($A171,'Hitter Stats'!$A:$A,0))-index('2024'!H:H,match($A171,'2024'!$A:$A,0))</f>
        <v>6</v>
      </c>
      <c r="E171" s="19">
        <f t="array" ref="E171">index('Hitter Stats'!K:K,match($A171,'Hitter Stats'!$A:$A,0))-index('2024'!K:K,match($A171,'2024'!$A:$A,0))</f>
        <v>-16</v>
      </c>
      <c r="F171" s="19">
        <f t="array" ref="F171">index('Hitter Stats'!L:L,match($A171,'Hitter Stats'!$A:$A,0))-index('2024'!L:L,match($A171,'2024'!$A:$A,0))</f>
        <v>-4</v>
      </c>
      <c r="G171" s="19">
        <f t="array" ref="G171">index('Hitter Stats'!M:M,match($A171,'Hitter Stats'!$A:$A,0))-index('2024'!M:M,match($A171,'2024'!$A:$A,0))</f>
        <v>-9</v>
      </c>
    </row>
    <row r="172">
      <c r="A172" s="11">
        <f>IFERROR(__xludf.DUMMYFUNCTION("""COMPUTED_VALUE"""),669701.0)</f>
        <v>669701</v>
      </c>
      <c r="B172" s="17" t="str">
        <f t="array" ref="B172">index('Hitter Stats'!B:B,match(A172,'Hitter Stats'!A:A,0))</f>
        <v>Josh Smith</v>
      </c>
      <c r="C172" s="14">
        <f t="array" ref="C172">index('Hitter Stats'!F:F,match($A172,'Hitter Stats'!$A:$A,0))-index('2024'!F:F,match($A172,'2024'!$A:$A,0))</f>
        <v>0.014135214</v>
      </c>
      <c r="D172" s="19">
        <f t="array" ref="D172">index('Hitter Stats'!H:H,match($A172,'Hitter Stats'!$A:$A,0))-index('2024'!H:H,match($A172,'2024'!$A:$A,0))</f>
        <v>0</v>
      </c>
      <c r="E172" s="19">
        <f t="array" ref="E172">index('Hitter Stats'!K:K,match($A172,'Hitter Stats'!$A:$A,0))-index('2024'!K:K,match($A172,'2024'!$A:$A,0))</f>
        <v>11</v>
      </c>
      <c r="F172" s="19">
        <f t="array" ref="F172">index('Hitter Stats'!L:L,match($A172,'Hitter Stats'!$A:$A,0))-index('2024'!L:L,match($A172,'2024'!$A:$A,0))</f>
        <v>-3</v>
      </c>
      <c r="G172" s="19">
        <f t="array" ref="G172">index('Hitter Stats'!M:M,match($A172,'Hitter Stats'!$A:$A,0))-index('2024'!M:M,match($A172,'2024'!$A:$A,0))</f>
        <v>2</v>
      </c>
    </row>
    <row r="173">
      <c r="A173" s="11">
        <f>IFERROR(__xludf.DUMMYFUNCTION("""COMPUTED_VALUE"""),666969.0)</f>
        <v>666969</v>
      </c>
      <c r="B173" s="17" t="str">
        <f t="array" ref="B173">index('Hitter Stats'!B:B,match(A173,'Hitter Stats'!A:A,0))</f>
        <v>Adolis García</v>
      </c>
      <c r="C173" s="14">
        <f t="array" ref="C173">index('Hitter Stats'!F:F,match($A173,'Hitter Stats'!$A:$A,0))-index('2024'!F:F,match($A173,'2024'!$A:$A,0))</f>
        <v>0.001837719</v>
      </c>
      <c r="D173" s="19">
        <f t="array" ref="D173">index('Hitter Stats'!H:H,match($A173,'Hitter Stats'!$A:$A,0))-index('2024'!H:H,match($A173,'2024'!$A:$A,0))</f>
        <v>2</v>
      </c>
      <c r="E173" s="19">
        <f t="array" ref="E173">index('Hitter Stats'!K:K,match($A173,'Hitter Stats'!$A:$A,0))-index('2024'!K:K,match($A173,'2024'!$A:$A,0))</f>
        <v>3</v>
      </c>
      <c r="F173" s="19">
        <f t="array" ref="F173">index('Hitter Stats'!L:L,match($A173,'Hitter Stats'!$A:$A,0))-index('2024'!L:L,match($A173,'2024'!$A:$A,0))</f>
        <v>1</v>
      </c>
      <c r="G173" s="19">
        <f t="array" ref="G173">index('Hitter Stats'!M:M,match($A173,'Hitter Stats'!$A:$A,0))-index('2024'!M:M,match($A173,'2024'!$A:$A,0))</f>
        <v>6</v>
      </c>
    </row>
    <row r="174">
      <c r="A174" s="11">
        <f>IFERROR(__xludf.DUMMYFUNCTION("""COMPUTED_VALUE"""),669394.0)</f>
        <v>669394</v>
      </c>
      <c r="B174" s="17" t="str">
        <f t="array" ref="B174">index('Hitter Stats'!B:B,match(A174,'Hitter Stats'!A:A,0))</f>
        <v>Jake Burger</v>
      </c>
      <c r="C174" s="14">
        <f t="array" ref="C174">index('Hitter Stats'!F:F,match($A174,'Hitter Stats'!$A:$A,0))-index('2024'!F:F,match($A174,'2024'!$A:$A,0))</f>
        <v>0.015507111</v>
      </c>
      <c r="D174" s="19">
        <f t="array" ref="D174">index('Hitter Stats'!H:H,match($A174,'Hitter Stats'!$A:$A,0))-index('2024'!H:H,match($A174,'2024'!$A:$A,0))</f>
        <v>-1</v>
      </c>
      <c r="E174" s="19">
        <f t="array" ref="E174">index('Hitter Stats'!K:K,match($A174,'Hitter Stats'!$A:$A,0))-index('2024'!K:K,match($A174,'2024'!$A:$A,0))</f>
        <v>0</v>
      </c>
      <c r="F174" s="19">
        <f t="array" ref="F174">index('Hitter Stats'!L:L,match($A174,'Hitter Stats'!$A:$A,0))-index('2024'!L:L,match($A174,'2024'!$A:$A,0))</f>
        <v>-15</v>
      </c>
      <c r="G174" s="19">
        <f t="array" ref="G174">index('Hitter Stats'!M:M,match($A174,'Hitter Stats'!$A:$A,0))-index('2024'!M:M,match($A174,'2024'!$A:$A,0))</f>
        <v>-13</v>
      </c>
    </row>
    <row r="175">
      <c r="A175" s="11">
        <f>IFERROR(__xludf.DUMMYFUNCTION("""COMPUTED_VALUE"""),670242.0)</f>
        <v>670242</v>
      </c>
      <c r="B175" s="17" t="str">
        <f t="array" ref="B175">index('Hitter Stats'!B:B,match(A175,'Hitter Stats'!A:A,0))</f>
        <v>Matt Wallner</v>
      </c>
      <c r="C175" s="14">
        <f t="array" ref="C175">index('Hitter Stats'!F:F,match($A175,'Hitter Stats'!$A:$A,0))-index('2024'!F:F,match($A175,'2024'!$A:$A,0))</f>
        <v>0.019038394</v>
      </c>
      <c r="D175" s="19">
        <f t="array" ref="D175">index('Hitter Stats'!H:H,match($A175,'Hitter Stats'!$A:$A,0))-index('2024'!H:H,match($A175,'2024'!$A:$A,0))</f>
        <v>-12</v>
      </c>
      <c r="E175" s="19">
        <f t="array" ref="E175">index('Hitter Stats'!K:K,match($A175,'Hitter Stats'!$A:$A,0))-index('2024'!K:K,match($A175,'2024'!$A:$A,0))</f>
        <v>13</v>
      </c>
      <c r="F175" s="19">
        <f t="array" ref="F175">index('Hitter Stats'!L:L,match($A175,'Hitter Stats'!$A:$A,0))-index('2024'!L:L,match($A175,'2024'!$A:$A,0))</f>
        <v>-29</v>
      </c>
      <c r="G175" s="19">
        <f t="array" ref="G175">index('Hitter Stats'!M:M,match($A175,'Hitter Stats'!$A:$A,0))-index('2024'!M:M,match($A175,'2024'!$A:$A,0))</f>
        <v>-17</v>
      </c>
    </row>
    <row r="176">
      <c r="A176" s="11">
        <f>IFERROR(__xludf.DUMMYFUNCTION("""COMPUTED_VALUE"""),672761.0)</f>
        <v>672761</v>
      </c>
      <c r="B176" s="17" t="str">
        <f t="array" ref="B176">index('Hitter Stats'!B:B,match(A176,'Hitter Stats'!A:A,0))</f>
        <v>Wenceel Pérez</v>
      </c>
      <c r="C176" s="14">
        <f t="array" ref="C176">index('Hitter Stats'!F:F,match($A176,'Hitter Stats'!$A:$A,0))-index('2024'!F:F,match($A176,'2024'!$A:$A,0))</f>
        <v>0.017686978</v>
      </c>
      <c r="D176" s="19">
        <f t="array" ref="D176">index('Hitter Stats'!H:H,match($A176,'Hitter Stats'!$A:$A,0))-index('2024'!H:H,match($A176,'2024'!$A:$A,0))</f>
        <v>1</v>
      </c>
      <c r="E176" s="19">
        <f t="array" ref="E176">index('Hitter Stats'!K:K,match($A176,'Hitter Stats'!$A:$A,0))-index('2024'!K:K,match($A176,'2024'!$A:$A,0))</f>
        <v>-5</v>
      </c>
      <c r="F176" s="19">
        <f t="array" ref="F176">index('Hitter Stats'!L:L,match($A176,'Hitter Stats'!$A:$A,0))-index('2024'!L:L,match($A176,'2024'!$A:$A,0))</f>
        <v>5</v>
      </c>
      <c r="G176" s="19">
        <f t="array" ref="G176">index('Hitter Stats'!M:M,match($A176,'Hitter Stats'!$A:$A,0))-index('2024'!M:M,match($A176,'2024'!$A:$A,0))</f>
        <v>5</v>
      </c>
    </row>
    <row r="177">
      <c r="A177" s="11">
        <f>IFERROR(__xludf.DUMMYFUNCTION("""COMPUTED_VALUE"""),666160.0)</f>
        <v>666160</v>
      </c>
      <c r="B177" s="17" t="str">
        <f t="array" ref="B177">index('Hitter Stats'!B:B,match(A177,'Hitter Stats'!A:A,0))</f>
        <v>Mickey Moniak</v>
      </c>
      <c r="C177" s="14">
        <f t="array" ref="C177">index('Hitter Stats'!F:F,match($A177,'Hitter Stats'!$A:$A,0))-index('2024'!F:F,match($A177,'2024'!$A:$A,0))</f>
        <v>-0.012355708</v>
      </c>
      <c r="D177" s="19">
        <f t="array" ref="D177">index('Hitter Stats'!H:H,match($A177,'Hitter Stats'!$A:$A,0))-index('2024'!H:H,match($A177,'2024'!$A:$A,0))</f>
        <v>-2</v>
      </c>
      <c r="E177" s="19">
        <f t="array" ref="E177">index('Hitter Stats'!K:K,match($A177,'Hitter Stats'!$A:$A,0))-index('2024'!K:K,match($A177,'2024'!$A:$A,0))</f>
        <v>4</v>
      </c>
      <c r="F177" s="19">
        <f t="array" ref="F177">index('Hitter Stats'!L:L,match($A177,'Hitter Stats'!$A:$A,0))-index('2024'!L:L,match($A177,'2024'!$A:$A,0))</f>
        <v>4</v>
      </c>
      <c r="G177" s="19">
        <f t="array" ref="G177">index('Hitter Stats'!M:M,match($A177,'Hitter Stats'!$A:$A,0))-index('2024'!M:M,match($A177,'2024'!$A:$A,0))</f>
        <v>11</v>
      </c>
    </row>
    <row r="178">
      <c r="A178" s="11">
        <f>IFERROR(__xludf.DUMMYFUNCTION("""COMPUTED_VALUE"""),682928.0)</f>
        <v>682928</v>
      </c>
      <c r="B178" s="17" t="str">
        <f t="array" ref="B178">index('Hitter Stats'!B:B,match(A178,'Hitter Stats'!A:A,0))</f>
        <v>CJ Abrams</v>
      </c>
      <c r="C178" s="14">
        <f t="array" ref="C178">index('Hitter Stats'!F:F,match($A178,'Hitter Stats'!$A:$A,0))-index('2024'!F:F,match($A178,'2024'!$A:$A,0))</f>
        <v>-0.037140072</v>
      </c>
      <c r="D178" s="19">
        <f t="array" ref="D178">index('Hitter Stats'!H:H,match($A178,'Hitter Stats'!$A:$A,0))-index('2024'!H:H,match($A178,'2024'!$A:$A,0))</f>
        <v>0</v>
      </c>
      <c r="E178" s="19">
        <f t="array" ref="E178">index('Hitter Stats'!K:K,match($A178,'Hitter Stats'!$A:$A,0))-index('2024'!K:K,match($A178,'2024'!$A:$A,0))</f>
        <v>9</v>
      </c>
      <c r="F178" s="19">
        <f t="array" ref="F178">index('Hitter Stats'!L:L,match($A178,'Hitter Stats'!$A:$A,0))-index('2024'!L:L,match($A178,'2024'!$A:$A,0))</f>
        <v>-5</v>
      </c>
      <c r="G178" s="19">
        <f t="array" ref="G178">index('Hitter Stats'!M:M,match($A178,'Hitter Stats'!$A:$A,0))-index('2024'!M:M,match($A178,'2024'!$A:$A,0))</f>
        <v>0</v>
      </c>
    </row>
    <row r="179">
      <c r="A179" s="11">
        <f>IFERROR(__xludf.DUMMYFUNCTION("""COMPUTED_VALUE"""),643446.0)</f>
        <v>643446</v>
      </c>
      <c r="B179" s="17" t="str">
        <f t="array" ref="B179">index('Hitter Stats'!B:B,match(A179,'Hitter Stats'!A:A,0))</f>
        <v>Jeff McNeil</v>
      </c>
      <c r="C179" s="14">
        <f t="array" ref="C179">index('Hitter Stats'!F:F,match($A179,'Hitter Stats'!$A:$A,0))-index('2024'!F:F,match($A179,'2024'!$A:$A,0))</f>
        <v>-0.018744429</v>
      </c>
      <c r="D179" s="19">
        <f t="array" ref="D179">index('Hitter Stats'!H:H,match($A179,'Hitter Stats'!$A:$A,0))-index('2024'!H:H,match($A179,'2024'!$A:$A,0))</f>
        <v>13</v>
      </c>
      <c r="E179" s="19">
        <f t="array" ref="E179">index('Hitter Stats'!K:K,match($A179,'Hitter Stats'!$A:$A,0))-index('2024'!K:K,match($A179,'2024'!$A:$A,0))</f>
        <v>3</v>
      </c>
      <c r="F179" s="19">
        <f t="array" ref="F179">index('Hitter Stats'!L:L,match($A179,'Hitter Stats'!$A:$A,0))-index('2024'!L:L,match($A179,'2024'!$A:$A,0))</f>
        <v>4</v>
      </c>
      <c r="G179" s="19">
        <f t="array" ref="G179">index('Hitter Stats'!M:M,match($A179,'Hitter Stats'!$A:$A,0))-index('2024'!M:M,match($A179,'2024'!$A:$A,0))</f>
        <v>12</v>
      </c>
    </row>
    <row r="180">
      <c r="A180" s="11">
        <f>IFERROR(__xludf.DUMMYFUNCTION("""COMPUTED_VALUE"""),669224.0)</f>
        <v>669224</v>
      </c>
      <c r="B180" s="17" t="str">
        <f t="array" ref="B180">index('Hitter Stats'!B:B,match(A180,'Hitter Stats'!A:A,0))</f>
        <v>Austin Wells</v>
      </c>
      <c r="C180" s="14">
        <f t="array" ref="C180">index('Hitter Stats'!F:F,match($A180,'Hitter Stats'!$A:$A,0))-index('2024'!F:F,match($A180,'2024'!$A:$A,0))</f>
        <v>0.010582253</v>
      </c>
      <c r="D180" s="19">
        <f t="array" ref="D180">index('Hitter Stats'!H:H,match($A180,'Hitter Stats'!$A:$A,0))-index('2024'!H:H,match($A180,'2024'!$A:$A,0))</f>
        <v>-11</v>
      </c>
      <c r="E180" s="19">
        <f t="array" ref="E180">index('Hitter Stats'!K:K,match($A180,'Hitter Stats'!$A:$A,0))-index('2024'!K:K,match($A180,'2024'!$A:$A,0))</f>
        <v>2</v>
      </c>
      <c r="F180" s="19">
        <f t="array" ref="F180">index('Hitter Stats'!L:L,match($A180,'Hitter Stats'!$A:$A,0))-index('2024'!L:L,match($A180,'2024'!$A:$A,0))</f>
        <v>-3</v>
      </c>
      <c r="G180" s="19">
        <f t="array" ref="G180">index('Hitter Stats'!M:M,match($A180,'Hitter Stats'!$A:$A,0))-index('2024'!M:M,match($A180,'2024'!$A:$A,0))</f>
        <v>-8</v>
      </c>
    </row>
    <row r="181">
      <c r="A181" s="11">
        <f>IFERROR(__xludf.DUMMYFUNCTION("""COMPUTED_VALUE"""),666971.0)</f>
        <v>666971</v>
      </c>
      <c r="B181" s="17" t="str">
        <f t="array" ref="B181">index('Hitter Stats'!B:B,match(A181,'Hitter Stats'!A:A,0))</f>
        <v>Lourdes Gurriel Jr.</v>
      </c>
      <c r="C181" s="14">
        <f t="array" ref="C181">index('Hitter Stats'!F:F,match($A181,'Hitter Stats'!$A:$A,0))-index('2024'!F:F,match($A181,'2024'!$A:$A,0))</f>
        <v>0.012685491</v>
      </c>
      <c r="D181" s="19">
        <f t="array" ref="D181">index('Hitter Stats'!H:H,match($A181,'Hitter Stats'!$A:$A,0))-index('2024'!H:H,match($A181,'2024'!$A:$A,0))</f>
        <v>5</v>
      </c>
      <c r="E181" s="19">
        <f t="array" ref="E181">index('Hitter Stats'!K:K,match($A181,'Hitter Stats'!$A:$A,0))-index('2024'!K:K,match($A181,'2024'!$A:$A,0))</f>
        <v>8</v>
      </c>
      <c r="F181" s="19">
        <f t="array" ref="F181">index('Hitter Stats'!L:L,match($A181,'Hitter Stats'!$A:$A,0))-index('2024'!L:L,match($A181,'2024'!$A:$A,0))</f>
        <v>-11</v>
      </c>
      <c r="G181" s="19">
        <f t="array" ref="G181">index('Hitter Stats'!M:M,match($A181,'Hitter Stats'!$A:$A,0))-index('2024'!M:M,match($A181,'2024'!$A:$A,0))</f>
        <v>-8</v>
      </c>
    </row>
    <row r="182">
      <c r="A182" s="11">
        <f>IFERROR(__xludf.DUMMYFUNCTION("""COMPUTED_VALUE"""),572233.0)</f>
        <v>572233</v>
      </c>
      <c r="B182" s="17" t="str">
        <f t="array" ref="B182">index('Hitter Stats'!B:B,match(A182,'Hitter Stats'!A:A,0))</f>
        <v>Christian Walker</v>
      </c>
      <c r="C182" s="14">
        <f t="array" ref="C182">index('Hitter Stats'!F:F,match($A182,'Hitter Stats'!$A:$A,0))-index('2024'!F:F,match($A182,'2024'!$A:$A,0))</f>
        <v>0.029861963</v>
      </c>
      <c r="D182" s="19">
        <f t="array" ref="D182">index('Hitter Stats'!H:H,match($A182,'Hitter Stats'!$A:$A,0))-index('2024'!H:H,match($A182,'2024'!$A:$A,0))</f>
        <v>-8</v>
      </c>
      <c r="E182" s="19">
        <f t="array" ref="E182">index('Hitter Stats'!K:K,match($A182,'Hitter Stats'!$A:$A,0))-index('2024'!K:K,match($A182,'2024'!$A:$A,0))</f>
        <v>-2</v>
      </c>
      <c r="F182" s="19">
        <f t="array" ref="F182">index('Hitter Stats'!L:L,match($A182,'Hitter Stats'!$A:$A,0))-index('2024'!L:L,match($A182,'2024'!$A:$A,0))</f>
        <v>-13</v>
      </c>
      <c r="G182" s="19">
        <f t="array" ref="G182">index('Hitter Stats'!M:M,match($A182,'Hitter Stats'!$A:$A,0))-index('2024'!M:M,match($A182,'2024'!$A:$A,0))</f>
        <v>-17</v>
      </c>
    </row>
    <row r="183">
      <c r="A183" s="11">
        <f>IFERROR(__xludf.DUMMYFUNCTION("""COMPUTED_VALUE"""),683011.0)</f>
        <v>683011</v>
      </c>
      <c r="B183" s="17" t="str">
        <f t="array" ref="B183">index('Hitter Stats'!B:B,match(A183,'Hitter Stats'!A:A,0))</f>
        <v>Anthony Volpe</v>
      </c>
      <c r="C183" s="14">
        <f t="array" ref="C183">index('Hitter Stats'!F:F,match($A183,'Hitter Stats'!$A:$A,0))-index('2024'!F:F,match($A183,'2024'!$A:$A,0))</f>
        <v>-0.032409539</v>
      </c>
      <c r="D183" s="19">
        <f t="array" ref="D183">index('Hitter Stats'!H:H,match($A183,'Hitter Stats'!$A:$A,0))-index('2024'!H:H,match($A183,'2024'!$A:$A,0))</f>
        <v>12</v>
      </c>
      <c r="E183" s="19">
        <f t="array" ref="E183">index('Hitter Stats'!K:K,match($A183,'Hitter Stats'!$A:$A,0))-index('2024'!K:K,match($A183,'2024'!$A:$A,0))</f>
        <v>-9</v>
      </c>
      <c r="F183" s="19">
        <f t="array" ref="F183">index('Hitter Stats'!L:L,match($A183,'Hitter Stats'!$A:$A,0))-index('2024'!L:L,match($A183,'2024'!$A:$A,0))</f>
        <v>4</v>
      </c>
      <c r="G183" s="19">
        <f t="array" ref="G183">index('Hitter Stats'!M:M,match($A183,'Hitter Stats'!$A:$A,0))-index('2024'!M:M,match($A183,'2024'!$A:$A,0))</f>
        <v>5</v>
      </c>
    </row>
    <row r="184">
      <c r="A184" s="11">
        <f>IFERROR(__xludf.DUMMYFUNCTION("""COMPUTED_VALUE"""),596146.0)</f>
        <v>596146</v>
      </c>
      <c r="B184" s="17" t="str">
        <f t="array" ref="B184">index('Hitter Stats'!B:B,match(A184,'Hitter Stats'!A:A,0))</f>
        <v>Max Kepler</v>
      </c>
      <c r="C184" s="14">
        <f t="array" ref="C184">index('Hitter Stats'!F:F,match($A184,'Hitter Stats'!$A:$A,0))-index('2024'!F:F,match($A184,'2024'!$A:$A,0))</f>
        <v>-0.061714865</v>
      </c>
      <c r="D184" s="19">
        <f t="array" ref="D184">index('Hitter Stats'!H:H,match($A184,'Hitter Stats'!$A:$A,0))-index('2024'!H:H,match($A184,'2024'!$A:$A,0))</f>
        <v>4</v>
      </c>
      <c r="E184" s="19">
        <f t="array" ref="E184">index('Hitter Stats'!K:K,match($A184,'Hitter Stats'!$A:$A,0))-index('2024'!K:K,match($A184,'2024'!$A:$A,0))</f>
        <v>2</v>
      </c>
      <c r="F184" s="19">
        <f t="array" ref="F184">index('Hitter Stats'!L:L,match($A184,'Hitter Stats'!$A:$A,0))-index('2024'!L:L,match($A184,'2024'!$A:$A,0))</f>
        <v>-2</v>
      </c>
      <c r="G184" s="19">
        <f t="array" ref="G184">index('Hitter Stats'!M:M,match($A184,'Hitter Stats'!$A:$A,0))-index('2024'!M:M,match($A184,'2024'!$A:$A,0))</f>
        <v>2</v>
      </c>
    </row>
    <row r="185">
      <c r="A185" s="11">
        <f>IFERROR(__xludf.DUMMYFUNCTION("""COMPUTED_VALUE"""),678554.0)</f>
        <v>678554</v>
      </c>
      <c r="B185" s="17" t="str">
        <f t="array" ref="B185">index('Hitter Stats'!B:B,match(A185,'Hitter Stats'!A:A,0))</f>
        <v>Curtis Mead</v>
      </c>
      <c r="C185" s="14">
        <f t="array" ref="C185">index('Hitter Stats'!F:F,match($A185,'Hitter Stats'!$A:$A,0))-index('2024'!F:F,match($A185,'2024'!$A:$A,0))</f>
        <v>-0.091083053</v>
      </c>
      <c r="D185" s="19">
        <f t="array" ref="D185">index('Hitter Stats'!H:H,match($A185,'Hitter Stats'!$A:$A,0))-index('2024'!H:H,match($A185,'2024'!$A:$A,0))</f>
        <v>35</v>
      </c>
      <c r="E185" s="19">
        <f t="array" ref="E185">index('Hitter Stats'!K:K,match($A185,'Hitter Stats'!$A:$A,0))-index('2024'!K:K,match($A185,'2024'!$A:$A,0))</f>
        <v>-7</v>
      </c>
      <c r="F185" s="19">
        <f t="array" ref="F185">index('Hitter Stats'!L:L,match($A185,'Hitter Stats'!$A:$A,0))-index('2024'!L:L,match($A185,'2024'!$A:$A,0))</f>
        <v>-5</v>
      </c>
      <c r="G185" s="19">
        <f t="array" ref="G185">index('Hitter Stats'!M:M,match($A185,'Hitter Stats'!$A:$A,0))-index('2024'!M:M,match($A185,'2024'!$A:$A,0))</f>
        <v>6</v>
      </c>
    </row>
    <row r="186">
      <c r="A186" s="11">
        <f>IFERROR(__xludf.DUMMYFUNCTION("""COMPUTED_VALUE"""),680776.0)</f>
        <v>680776</v>
      </c>
      <c r="B186" s="17" t="str">
        <f t="array" ref="B186">index('Hitter Stats'!B:B,match(A186,'Hitter Stats'!A:A,0))</f>
        <v>Jarren Duran</v>
      </c>
      <c r="C186" s="14">
        <f t="array" ref="C186">index('Hitter Stats'!F:F,match($A186,'Hitter Stats'!$A:$A,0))-index('2024'!F:F,match($A186,'2024'!$A:$A,0))</f>
        <v>0.003339548</v>
      </c>
      <c r="D186" s="19">
        <f t="array" ref="D186">index('Hitter Stats'!H:H,match($A186,'Hitter Stats'!$A:$A,0))-index('2024'!H:H,match($A186,'2024'!$A:$A,0))</f>
        <v>-5</v>
      </c>
      <c r="E186" s="19">
        <f t="array" ref="E186">index('Hitter Stats'!K:K,match($A186,'Hitter Stats'!$A:$A,0))-index('2024'!K:K,match($A186,'2024'!$A:$A,0))</f>
        <v>-7</v>
      </c>
      <c r="F186" s="19">
        <f t="array" ref="F186">index('Hitter Stats'!L:L,match($A186,'Hitter Stats'!$A:$A,0))-index('2024'!L:L,match($A186,'2024'!$A:$A,0))</f>
        <v>-3</v>
      </c>
      <c r="G186" s="19">
        <f t="array" ref="G186">index('Hitter Stats'!M:M,match($A186,'Hitter Stats'!$A:$A,0))-index('2024'!M:M,match($A186,'2024'!$A:$A,0))</f>
        <v>-10</v>
      </c>
    </row>
    <row r="187">
      <c r="A187" s="11">
        <f>IFERROR(__xludf.DUMMYFUNCTION("""COMPUTED_VALUE"""),680474.0)</f>
        <v>680474</v>
      </c>
      <c r="B187" s="17" t="str">
        <f t="array" ref="B187">index('Hitter Stats'!B:B,match(A187,'Hitter Stats'!A:A,0))</f>
        <v>Max Schuemann</v>
      </c>
      <c r="C187" s="14">
        <f t="array" ref="C187">index('Hitter Stats'!F:F,match($A187,'Hitter Stats'!$A:$A,0))-index('2024'!F:F,match($A187,'2024'!$A:$A,0))</f>
        <v>0.037243489</v>
      </c>
      <c r="D187" s="19">
        <f t="array" ref="D187">index('Hitter Stats'!H:H,match($A187,'Hitter Stats'!$A:$A,0))-index('2024'!H:H,match($A187,'2024'!$A:$A,0))</f>
        <v>14</v>
      </c>
      <c r="E187" s="19">
        <f t="array" ref="E187">index('Hitter Stats'!K:K,match($A187,'Hitter Stats'!$A:$A,0))-index('2024'!K:K,match($A187,'2024'!$A:$A,0))</f>
        <v>9</v>
      </c>
      <c r="F187" s="19">
        <f t="array" ref="F187">index('Hitter Stats'!L:L,match($A187,'Hitter Stats'!$A:$A,0))-index('2024'!L:L,match($A187,'2024'!$A:$A,0))</f>
        <v>-11</v>
      </c>
      <c r="G187" s="19">
        <f t="array" ref="G187">index('Hitter Stats'!M:M,match($A187,'Hitter Stats'!$A:$A,0))-index('2024'!M:M,match($A187,'2024'!$A:$A,0))</f>
        <v>-3</v>
      </c>
    </row>
    <row r="188">
      <c r="A188" s="11">
        <f>IFERROR(__xludf.DUMMYFUNCTION("""COMPUTED_VALUE"""),657077.0)</f>
        <v>657077</v>
      </c>
      <c r="B188" s="17" t="str">
        <f t="array" ref="B188">index('Hitter Stats'!B:B,match(A188,'Hitter Stats'!A:A,0))</f>
        <v>Alex Verdugo</v>
      </c>
      <c r="C188" s="14">
        <f t="array" ref="C188">index('Hitter Stats'!F:F,match($A188,'Hitter Stats'!$A:$A,0))-index('2024'!F:F,match($A188,'2024'!$A:$A,0))</f>
        <v>-0.051215526</v>
      </c>
      <c r="D188" s="19">
        <f t="array" ref="D188">index('Hitter Stats'!H:H,match($A188,'Hitter Stats'!$A:$A,0))-index('2024'!H:H,match($A188,'2024'!$A:$A,0))</f>
        <v>-16</v>
      </c>
      <c r="E188" s="19">
        <f t="array" ref="E188">index('Hitter Stats'!K:K,match($A188,'Hitter Stats'!$A:$A,0))-index('2024'!K:K,match($A188,'2024'!$A:$A,0))</f>
        <v>15</v>
      </c>
      <c r="F188" s="19">
        <f t="array" ref="F188">index('Hitter Stats'!L:L,match($A188,'Hitter Stats'!$A:$A,0))-index('2024'!L:L,match($A188,'2024'!$A:$A,0))</f>
        <v>-2</v>
      </c>
      <c r="G188" s="19">
        <f t="array" ref="G188">index('Hitter Stats'!M:M,match($A188,'Hitter Stats'!$A:$A,0))-index('2024'!M:M,match($A188,'2024'!$A:$A,0))</f>
        <v>-6</v>
      </c>
    </row>
    <row r="189">
      <c r="A189" s="11">
        <f>IFERROR(__xludf.DUMMYFUNCTION("""COMPUTED_VALUE"""),649966.0)</f>
        <v>649966</v>
      </c>
      <c r="B189" s="17" t="str">
        <f t="array" ref="B189">index('Hitter Stats'!B:B,match(A189,'Hitter Stats'!A:A,0))</f>
        <v>Luis Urías</v>
      </c>
      <c r="C189" s="14">
        <f t="array" ref="C189">index('Hitter Stats'!F:F,match($A189,'Hitter Stats'!$A:$A,0))-index('2024'!F:F,match($A189,'2024'!$A:$A,0))</f>
        <v>-0.029398407</v>
      </c>
      <c r="D189" s="19">
        <f t="array" ref="D189">index('Hitter Stats'!H:H,match($A189,'Hitter Stats'!$A:$A,0))-index('2024'!H:H,match($A189,'2024'!$A:$A,0))</f>
        <v>13</v>
      </c>
      <c r="E189" s="19">
        <f t="array" ref="E189">index('Hitter Stats'!K:K,match($A189,'Hitter Stats'!$A:$A,0))-index('2024'!K:K,match($A189,'2024'!$A:$A,0))</f>
        <v>35</v>
      </c>
      <c r="F189" s="19">
        <f t="array" ref="F189">index('Hitter Stats'!L:L,match($A189,'Hitter Stats'!$A:$A,0))-index('2024'!L:L,match($A189,'2024'!$A:$A,0))</f>
        <v>-29</v>
      </c>
      <c r="G189" s="19">
        <f t="array" ref="G189">index('Hitter Stats'!M:M,match($A189,'Hitter Stats'!$A:$A,0))-index('2024'!M:M,match($A189,'2024'!$A:$A,0))</f>
        <v>-4</v>
      </c>
    </row>
    <row r="190">
      <c r="A190" s="11">
        <f>IFERROR(__xludf.DUMMYFUNCTION("""COMPUTED_VALUE"""),602104.0)</f>
        <v>602104</v>
      </c>
      <c r="B190" s="17" t="str">
        <f t="array" ref="B190">index('Hitter Stats'!B:B,match(A190,'Hitter Stats'!A:A,0))</f>
        <v>Ramón Urías</v>
      </c>
      <c r="C190" s="14">
        <f t="array" ref="C190">index('Hitter Stats'!F:F,match($A190,'Hitter Stats'!$A:$A,0))-index('2024'!F:F,match($A190,'2024'!$A:$A,0))</f>
        <v>-0.013510577</v>
      </c>
      <c r="D190" s="19">
        <f t="array" ref="D190">index('Hitter Stats'!H:H,match($A190,'Hitter Stats'!$A:$A,0))-index('2024'!H:H,match($A190,'2024'!$A:$A,0))</f>
        <v>-4</v>
      </c>
      <c r="E190" s="19">
        <f t="array" ref="E190">index('Hitter Stats'!K:K,match($A190,'Hitter Stats'!$A:$A,0))-index('2024'!K:K,match($A190,'2024'!$A:$A,0))</f>
        <v>-5</v>
      </c>
      <c r="F190" s="19">
        <f t="array" ref="F190">index('Hitter Stats'!L:L,match($A190,'Hitter Stats'!$A:$A,0))-index('2024'!L:L,match($A190,'2024'!$A:$A,0))</f>
        <v>-7</v>
      </c>
      <c r="G190" s="19">
        <f t="array" ref="G190">index('Hitter Stats'!M:M,match($A190,'Hitter Stats'!$A:$A,0))-index('2024'!M:M,match($A190,'2024'!$A:$A,0))</f>
        <v>-11</v>
      </c>
    </row>
    <row r="191">
      <c r="A191" s="11">
        <f>IFERROR(__xludf.DUMMYFUNCTION("""COMPUTED_VALUE"""),518595.0)</f>
        <v>518595</v>
      </c>
      <c r="B191" s="17" t="str">
        <f t="array" ref="B191">index('Hitter Stats'!B:B,match(A191,'Hitter Stats'!A:A,0))</f>
        <v>Travis d'Arnaud</v>
      </c>
      <c r="C191" s="14">
        <f t="array" ref="C191">index('Hitter Stats'!F:F,match($A191,'Hitter Stats'!$A:$A,0))-index('2024'!F:F,match($A191,'2024'!$A:$A,0))</f>
        <v>0.012031767</v>
      </c>
      <c r="D191" s="19">
        <f t="array" ref="D191">index('Hitter Stats'!H:H,match($A191,'Hitter Stats'!$A:$A,0))-index('2024'!H:H,match($A191,'2024'!$A:$A,0))</f>
        <v>-23</v>
      </c>
      <c r="E191" s="19">
        <f t="array" ref="E191">index('Hitter Stats'!K:K,match($A191,'Hitter Stats'!$A:$A,0))-index('2024'!K:K,match($A191,'2024'!$A:$A,0))</f>
        <v>-7</v>
      </c>
      <c r="F191" s="19">
        <f t="array" ref="F191">index('Hitter Stats'!L:L,match($A191,'Hitter Stats'!$A:$A,0))-index('2024'!L:L,match($A191,'2024'!$A:$A,0))</f>
        <v>6</v>
      </c>
      <c r="G191" s="19">
        <f t="array" ref="G191">index('Hitter Stats'!M:M,match($A191,'Hitter Stats'!$A:$A,0))-index('2024'!M:M,match($A191,'2024'!$A:$A,0))</f>
        <v>-8</v>
      </c>
    </row>
    <row r="192">
      <c r="A192" s="11">
        <f>IFERROR(__xludf.DUMMYFUNCTION("""COMPUTED_VALUE"""),607208.0)</f>
        <v>607208</v>
      </c>
      <c r="B192" s="17" t="str">
        <f t="array" ref="B192">index('Hitter Stats'!B:B,match(A192,'Hitter Stats'!A:A,0))</f>
        <v>Trea Turner</v>
      </c>
      <c r="C192" s="14">
        <f t="array" ref="C192">index('Hitter Stats'!F:F,match($A192,'Hitter Stats'!$A:$A,0))-index('2024'!F:F,match($A192,'2024'!$A:$A,0))</f>
        <v>-0.042847325</v>
      </c>
      <c r="D192" s="19">
        <f t="array" ref="D192">index('Hitter Stats'!H:H,match($A192,'Hitter Stats'!$A:$A,0))-index('2024'!H:H,match($A192,'2024'!$A:$A,0))</f>
        <v>11</v>
      </c>
      <c r="E192" s="19">
        <f t="array" ref="E192">index('Hitter Stats'!K:K,match($A192,'Hitter Stats'!$A:$A,0))-index('2024'!K:K,match($A192,'2024'!$A:$A,0))</f>
        <v>3</v>
      </c>
      <c r="F192" s="19">
        <f t="array" ref="F192">index('Hitter Stats'!L:L,match($A192,'Hitter Stats'!$A:$A,0))-index('2024'!L:L,match($A192,'2024'!$A:$A,0))</f>
        <v>-5</v>
      </c>
      <c r="G192" s="19">
        <f t="array" ref="G192">index('Hitter Stats'!M:M,match($A192,'Hitter Stats'!$A:$A,0))-index('2024'!M:M,match($A192,'2024'!$A:$A,0))</f>
        <v>0</v>
      </c>
    </row>
    <row r="193">
      <c r="A193" s="11">
        <f>IFERROR(__xludf.DUMMYFUNCTION("""COMPUTED_VALUE"""),624585.0)</f>
        <v>624585</v>
      </c>
      <c r="B193" s="17" t="str">
        <f t="array" ref="B193">index('Hitter Stats'!B:B,match(A193,'Hitter Stats'!A:A,0))</f>
        <v>Jorge Soler</v>
      </c>
      <c r="C193" s="14">
        <f t="array" ref="C193">index('Hitter Stats'!F:F,match($A193,'Hitter Stats'!$A:$A,0))-index('2024'!F:F,match($A193,'2024'!$A:$A,0))</f>
        <v>-0.01395407</v>
      </c>
      <c r="D193" s="19">
        <f t="array" ref="D193">index('Hitter Stats'!H:H,match($A193,'Hitter Stats'!$A:$A,0))-index('2024'!H:H,match($A193,'2024'!$A:$A,0))</f>
        <v>11</v>
      </c>
      <c r="E193" s="19">
        <f t="array" ref="E193">index('Hitter Stats'!K:K,match($A193,'Hitter Stats'!$A:$A,0))-index('2024'!K:K,match($A193,'2024'!$A:$A,0))</f>
        <v>-12</v>
      </c>
      <c r="F193" s="19">
        <f t="array" ref="F193">index('Hitter Stats'!L:L,match($A193,'Hitter Stats'!$A:$A,0))-index('2024'!L:L,match($A193,'2024'!$A:$A,0))</f>
        <v>-13</v>
      </c>
      <c r="G193" s="19">
        <f t="array" ref="G193">index('Hitter Stats'!M:M,match($A193,'Hitter Stats'!$A:$A,0))-index('2024'!M:M,match($A193,'2024'!$A:$A,0))</f>
        <v>-13</v>
      </c>
    </row>
    <row r="194">
      <c r="A194" s="11">
        <f>IFERROR(__xludf.DUMMYFUNCTION("""COMPUTED_VALUE"""),571771.0)</f>
        <v>571771</v>
      </c>
      <c r="B194" s="17" t="str">
        <f t="array" ref="B194">index('Hitter Stats'!B:B,match(A194,'Hitter Stats'!A:A,0))</f>
        <v>Enrique Hernández</v>
      </c>
      <c r="C194" s="14">
        <f t="array" ref="C194">index('Hitter Stats'!F:F,match($A194,'Hitter Stats'!$A:$A,0))-index('2024'!F:F,match($A194,'2024'!$A:$A,0))</f>
        <v>0.016459356</v>
      </c>
      <c r="D194" s="19">
        <f t="array" ref="D194">index('Hitter Stats'!H:H,match($A194,'Hitter Stats'!$A:$A,0))-index('2024'!H:H,match($A194,'2024'!$A:$A,0))</f>
        <v>-8</v>
      </c>
      <c r="E194" s="19">
        <f t="array" ref="E194">index('Hitter Stats'!K:K,match($A194,'Hitter Stats'!$A:$A,0))-index('2024'!K:K,match($A194,'2024'!$A:$A,0))</f>
        <v>-11</v>
      </c>
      <c r="F194" s="19">
        <f t="array" ref="F194">index('Hitter Stats'!L:L,match($A194,'Hitter Stats'!$A:$A,0))-index('2024'!L:L,match($A194,'2024'!$A:$A,0))</f>
        <v>14</v>
      </c>
      <c r="G194" s="19">
        <f t="array" ref="G194">index('Hitter Stats'!M:M,match($A194,'Hitter Stats'!$A:$A,0))-index('2024'!M:M,match($A194,'2024'!$A:$A,0))</f>
        <v>6</v>
      </c>
    </row>
    <row r="195">
      <c r="A195" s="11">
        <f>IFERROR(__xludf.DUMMYFUNCTION("""COMPUTED_VALUE"""),666624.0)</f>
        <v>666624</v>
      </c>
      <c r="B195" s="17" t="str">
        <f t="array" ref="B195">index('Hitter Stats'!B:B,match(A195,'Hitter Stats'!A:A,0))</f>
        <v>Christopher Morel</v>
      </c>
      <c r="C195" s="14">
        <f t="array" ref="C195">index('Hitter Stats'!F:F,match($A195,'Hitter Stats'!$A:$A,0))-index('2024'!F:F,match($A195,'2024'!$A:$A,0))</f>
        <v>0.080052586</v>
      </c>
      <c r="D195" s="19">
        <f t="array" ref="D195">index('Hitter Stats'!H:H,match($A195,'Hitter Stats'!$A:$A,0))-index('2024'!H:H,match($A195,'2024'!$A:$A,0))</f>
        <v>-11</v>
      </c>
      <c r="E195" s="19">
        <f t="array" ref="E195">index('Hitter Stats'!K:K,match($A195,'Hitter Stats'!$A:$A,0))-index('2024'!K:K,match($A195,'2024'!$A:$A,0))</f>
        <v>-14</v>
      </c>
      <c r="F195" s="19">
        <f t="array" ref="F195">index('Hitter Stats'!L:L,match($A195,'Hitter Stats'!$A:$A,0))-index('2024'!L:L,match($A195,'2024'!$A:$A,0))</f>
        <v>5</v>
      </c>
      <c r="G195" s="19">
        <f t="array" ref="G195">index('Hitter Stats'!M:M,match($A195,'Hitter Stats'!$A:$A,0))-index('2024'!M:M,match($A195,'2024'!$A:$A,0))</f>
        <v>-9</v>
      </c>
    </row>
    <row r="196">
      <c r="A196" s="11">
        <f>IFERROR(__xludf.DUMMYFUNCTION("""COMPUTED_VALUE"""),670042.0)</f>
        <v>670042</v>
      </c>
      <c r="B196" s="17" t="str">
        <f t="array" ref="B196">index('Hitter Stats'!B:B,match(A196,'Hitter Stats'!A:A,0))</f>
        <v>Luke Raley</v>
      </c>
      <c r="C196" s="14">
        <f t="array" ref="C196">index('Hitter Stats'!F:F,match($A196,'Hitter Stats'!$A:$A,0))-index('2024'!F:F,match($A196,'2024'!$A:$A,0))</f>
        <v>0.017786578</v>
      </c>
      <c r="D196" s="19">
        <f t="array" ref="D196">index('Hitter Stats'!H:H,match($A196,'Hitter Stats'!$A:$A,0))-index('2024'!H:H,match($A196,'2024'!$A:$A,0))</f>
        <v>16</v>
      </c>
      <c r="E196" s="19">
        <f t="array" ref="E196">index('Hitter Stats'!K:K,match($A196,'Hitter Stats'!$A:$A,0))-index('2024'!K:K,match($A196,'2024'!$A:$A,0))</f>
        <v>-2</v>
      </c>
      <c r="F196" s="19">
        <f t="array" ref="F196">index('Hitter Stats'!L:L,match($A196,'Hitter Stats'!$A:$A,0))-index('2024'!L:L,match($A196,'2024'!$A:$A,0))</f>
        <v>-7</v>
      </c>
      <c r="G196" s="19">
        <f t="array" ref="G196">index('Hitter Stats'!M:M,match($A196,'Hitter Stats'!$A:$A,0))-index('2024'!M:M,match($A196,'2024'!$A:$A,0))</f>
        <v>2</v>
      </c>
    </row>
    <row r="197">
      <c r="A197" s="11">
        <f>IFERROR(__xludf.DUMMYFUNCTION("""COMPUTED_VALUE"""),570482.0)</f>
        <v>570482</v>
      </c>
      <c r="B197" s="17" t="str">
        <f t="array" ref="B197">index('Hitter Stats'!B:B,match(A197,'Hitter Stats'!A:A,0))</f>
        <v>Gio Urshela</v>
      </c>
      <c r="C197" s="14">
        <f t="array" ref="C197">index('Hitter Stats'!F:F,match($A197,'Hitter Stats'!$A:$A,0))-index('2024'!F:F,match($A197,'2024'!$A:$A,0))</f>
        <v>0.012261753</v>
      </c>
      <c r="D197" s="19">
        <f t="array" ref="D197">index('Hitter Stats'!H:H,match($A197,'Hitter Stats'!$A:$A,0))-index('2024'!H:H,match($A197,'2024'!$A:$A,0))</f>
        <v>-11</v>
      </c>
      <c r="E197" s="19">
        <f t="array" ref="E197">index('Hitter Stats'!K:K,match($A197,'Hitter Stats'!$A:$A,0))-index('2024'!K:K,match($A197,'2024'!$A:$A,0))</f>
        <v>-1</v>
      </c>
      <c r="F197" s="19">
        <f t="array" ref="F197">index('Hitter Stats'!L:L,match($A197,'Hitter Stats'!$A:$A,0))-index('2024'!L:L,match($A197,'2024'!$A:$A,0))</f>
        <v>1</v>
      </c>
      <c r="G197" s="19">
        <f t="array" ref="G197">index('Hitter Stats'!M:M,match($A197,'Hitter Stats'!$A:$A,0))-index('2024'!M:M,match($A197,'2024'!$A:$A,0))</f>
        <v>-4</v>
      </c>
    </row>
    <row r="198">
      <c r="A198" s="11">
        <f>IFERROR(__xludf.DUMMYFUNCTION("""COMPUTED_VALUE"""),663886.0)</f>
        <v>663886</v>
      </c>
      <c r="B198" s="17" t="str">
        <f t="array" ref="B198">index('Hitter Stats'!B:B,match(A198,'Hitter Stats'!A:A,0))</f>
        <v>Tyler Stephenson</v>
      </c>
      <c r="C198" s="14">
        <f t="array" ref="C198">index('Hitter Stats'!F:F,match($A198,'Hitter Stats'!$A:$A,0))-index('2024'!F:F,match($A198,'2024'!$A:$A,0))</f>
        <v>-0.01329455</v>
      </c>
      <c r="D198" s="19">
        <f t="array" ref="D198">index('Hitter Stats'!H:H,match($A198,'Hitter Stats'!$A:$A,0))-index('2024'!H:H,match($A198,'2024'!$A:$A,0))</f>
        <v>-12</v>
      </c>
      <c r="E198" s="19">
        <f t="array" ref="E198">index('Hitter Stats'!K:K,match($A198,'Hitter Stats'!$A:$A,0))-index('2024'!K:K,match($A198,'2024'!$A:$A,0))</f>
        <v>-25</v>
      </c>
      <c r="F198" s="19">
        <f t="array" ref="F198">index('Hitter Stats'!L:L,match($A198,'Hitter Stats'!$A:$A,0))-index('2024'!L:L,match($A198,'2024'!$A:$A,0))</f>
        <v>10</v>
      </c>
      <c r="G198" s="19">
        <f t="array" ref="G198">index('Hitter Stats'!M:M,match($A198,'Hitter Stats'!$A:$A,0))-index('2024'!M:M,match($A198,'2024'!$A:$A,0))</f>
        <v>-11</v>
      </c>
    </row>
    <row r="199">
      <c r="A199" s="11">
        <f>IFERROR(__xludf.DUMMYFUNCTION("""COMPUTED_VALUE"""),663993.0)</f>
        <v>663993</v>
      </c>
      <c r="B199" s="17" t="str">
        <f t="array" ref="B199">index('Hitter Stats'!B:B,match(A199,'Hitter Stats'!A:A,0))</f>
        <v>Nathaniel Lowe</v>
      </c>
      <c r="C199" s="14">
        <f t="array" ref="C199">index('Hitter Stats'!F:F,match($A199,'Hitter Stats'!$A:$A,0))-index('2024'!F:F,match($A199,'2024'!$A:$A,0))</f>
        <v>0.001058822</v>
      </c>
      <c r="D199" s="19">
        <f t="array" ref="D199">index('Hitter Stats'!H:H,match($A199,'Hitter Stats'!$A:$A,0))-index('2024'!H:H,match($A199,'2024'!$A:$A,0))</f>
        <v>-12</v>
      </c>
      <c r="E199" s="19">
        <f t="array" ref="E199">index('Hitter Stats'!K:K,match($A199,'Hitter Stats'!$A:$A,0))-index('2024'!K:K,match($A199,'2024'!$A:$A,0))</f>
        <v>-8</v>
      </c>
      <c r="F199" s="19">
        <f t="array" ref="F199">index('Hitter Stats'!L:L,match($A199,'Hitter Stats'!$A:$A,0))-index('2024'!L:L,match($A199,'2024'!$A:$A,0))</f>
        <v>0</v>
      </c>
      <c r="G199" s="19">
        <f t="array" ref="G199">index('Hitter Stats'!M:M,match($A199,'Hitter Stats'!$A:$A,0))-index('2024'!M:M,match($A199,'2024'!$A:$A,0))</f>
        <v>-9</v>
      </c>
    </row>
    <row r="200">
      <c r="A200" s="11">
        <f>IFERROR(__xludf.DUMMYFUNCTION("""COMPUTED_VALUE"""),681082.0)</f>
        <v>681082</v>
      </c>
      <c r="B200" s="17" t="str">
        <f t="array" ref="B200">index('Hitter Stats'!B:B,match(A200,'Hitter Stats'!A:A,0))</f>
        <v>Bryson Stott</v>
      </c>
      <c r="C200" s="14">
        <f t="array" ref="C200">index('Hitter Stats'!F:F,match($A200,'Hitter Stats'!$A:$A,0))-index('2024'!F:F,match($A200,'2024'!$A:$A,0))</f>
        <v>-0.080802461</v>
      </c>
      <c r="D200" s="19">
        <f t="array" ref="D200">index('Hitter Stats'!H:H,match($A200,'Hitter Stats'!$A:$A,0))-index('2024'!H:H,match($A200,'2024'!$A:$A,0))</f>
        <v>19</v>
      </c>
      <c r="E200" s="19">
        <f t="array" ref="E200">index('Hitter Stats'!K:K,match($A200,'Hitter Stats'!$A:$A,0))-index('2024'!K:K,match($A200,'2024'!$A:$A,0))</f>
        <v>-5</v>
      </c>
      <c r="F200" s="19">
        <f t="array" ref="F200">index('Hitter Stats'!L:L,match($A200,'Hitter Stats'!$A:$A,0))-index('2024'!L:L,match($A200,'2024'!$A:$A,0))</f>
        <v>-5</v>
      </c>
      <c r="G200" s="19">
        <f t="array" ref="G200">index('Hitter Stats'!M:M,match($A200,'Hitter Stats'!$A:$A,0))-index('2024'!M:M,match($A200,'2024'!$A:$A,0))</f>
        <v>1</v>
      </c>
    </row>
    <row r="201">
      <c r="A201" s="11">
        <f>IFERROR(__xludf.DUMMYFUNCTION("""COMPUTED_VALUE"""),663616.0)</f>
        <v>663616</v>
      </c>
      <c r="B201" s="17" t="str">
        <f t="array" ref="B201">index('Hitter Stats'!B:B,match(A201,'Hitter Stats'!A:A,0))</f>
        <v>Trevor Larnach</v>
      </c>
      <c r="C201" s="14">
        <f t="array" ref="C201">index('Hitter Stats'!F:F,match($A201,'Hitter Stats'!$A:$A,0))-index('2024'!F:F,match($A201,'2024'!$A:$A,0))</f>
        <v>0.017603251</v>
      </c>
      <c r="D201" s="19">
        <f t="array" ref="D201">index('Hitter Stats'!H:H,match($A201,'Hitter Stats'!$A:$A,0))-index('2024'!H:H,match($A201,'2024'!$A:$A,0))</f>
        <v>-16</v>
      </c>
      <c r="E201" s="19">
        <f t="array" ref="E201">index('Hitter Stats'!K:K,match($A201,'Hitter Stats'!$A:$A,0))-index('2024'!K:K,match($A201,'2024'!$A:$A,0))</f>
        <v>2</v>
      </c>
      <c r="F201" s="19">
        <f t="array" ref="F201">index('Hitter Stats'!L:L,match($A201,'Hitter Stats'!$A:$A,0))-index('2024'!L:L,match($A201,'2024'!$A:$A,0))</f>
        <v>-10</v>
      </c>
      <c r="G201" s="19">
        <f t="array" ref="G201">index('Hitter Stats'!M:M,match($A201,'Hitter Stats'!$A:$A,0))-index('2024'!M:M,match($A201,'2024'!$A:$A,0))</f>
        <v>-17</v>
      </c>
    </row>
    <row r="202">
      <c r="A202" s="11">
        <f>IFERROR(__xludf.DUMMYFUNCTION("""COMPUTED_VALUE"""),680779.0)</f>
        <v>680779</v>
      </c>
      <c r="B202" s="17" t="str">
        <f t="array" ref="B202">index('Hitter Stats'!B:B,match(A202,'Hitter Stats'!A:A,0))</f>
        <v>Henry Davis</v>
      </c>
      <c r="C202" s="14">
        <f t="array" ref="C202">index('Hitter Stats'!F:F,match($A202,'Hitter Stats'!$A:$A,0))-index('2024'!F:F,match($A202,'2024'!$A:$A,0))</f>
        <v>0.065165473</v>
      </c>
      <c r="D202" s="19">
        <f t="array" ref="D202">index('Hitter Stats'!H:H,match($A202,'Hitter Stats'!$A:$A,0))-index('2024'!H:H,match($A202,'2024'!$A:$A,0))</f>
        <v>-7</v>
      </c>
      <c r="E202" s="19">
        <f t="array" ref="E202">index('Hitter Stats'!K:K,match($A202,'Hitter Stats'!$A:$A,0))-index('2024'!K:K,match($A202,'2024'!$A:$A,0))</f>
        <v>29</v>
      </c>
      <c r="F202" s="19">
        <f t="array" ref="F202">index('Hitter Stats'!L:L,match($A202,'Hitter Stats'!$A:$A,0))-index('2024'!L:L,match($A202,'2024'!$A:$A,0))</f>
        <v>17</v>
      </c>
      <c r="G202" s="19">
        <f t="array" ref="G202">index('Hitter Stats'!M:M,match($A202,'Hitter Stats'!$A:$A,0))-index('2024'!M:M,match($A202,'2024'!$A:$A,0))</f>
        <v>23</v>
      </c>
    </row>
    <row r="203">
      <c r="A203" s="11">
        <f>IFERROR(__xludf.DUMMYFUNCTION("""COMPUTED_VALUE"""),650859.0)</f>
        <v>650859</v>
      </c>
      <c r="B203" s="17" t="str">
        <f t="array" ref="B203">index('Hitter Stats'!B:B,match(A203,'Hitter Stats'!A:A,0))</f>
        <v>Luis Rengifo</v>
      </c>
      <c r="C203" s="14">
        <f t="array" ref="C203">index('Hitter Stats'!F:F,match($A203,'Hitter Stats'!$A:$A,0))-index('2024'!F:F,match($A203,'2024'!$A:$A,0))</f>
        <v>-0.037646275</v>
      </c>
      <c r="D203" s="19">
        <f t="array" ref="D203">index('Hitter Stats'!H:H,match($A203,'Hitter Stats'!$A:$A,0))-index('2024'!H:H,match($A203,'2024'!$A:$A,0))</f>
        <v>2</v>
      </c>
      <c r="E203" s="19">
        <f t="array" ref="E203">index('Hitter Stats'!K:K,match($A203,'Hitter Stats'!$A:$A,0))-index('2024'!K:K,match($A203,'2024'!$A:$A,0))</f>
        <v>-1</v>
      </c>
      <c r="F203" s="19">
        <f t="array" ref="F203">index('Hitter Stats'!L:L,match($A203,'Hitter Stats'!$A:$A,0))-index('2024'!L:L,match($A203,'2024'!$A:$A,0))</f>
        <v>2</v>
      </c>
      <c r="G203" s="19">
        <f t="array" ref="G203">index('Hitter Stats'!M:M,match($A203,'Hitter Stats'!$A:$A,0))-index('2024'!M:M,match($A203,'2024'!$A:$A,0))</f>
        <v>4</v>
      </c>
    </row>
    <row r="204">
      <c r="A204" s="11">
        <f>IFERROR(__xludf.DUMMYFUNCTION("""COMPUTED_VALUE"""),691026.0)</f>
        <v>691026</v>
      </c>
      <c r="B204" s="17" t="str">
        <f t="array" ref="B204">index('Hitter Stats'!B:B,match(A204,'Hitter Stats'!A:A,0))</f>
        <v>Masyn Winn</v>
      </c>
      <c r="C204" s="14">
        <f t="array" ref="C204">index('Hitter Stats'!F:F,match($A204,'Hitter Stats'!$A:$A,0))-index('2024'!F:F,match($A204,'2024'!$A:$A,0))</f>
        <v>-0.041168138</v>
      </c>
      <c r="D204" s="19">
        <f t="array" ref="D204">index('Hitter Stats'!H:H,match($A204,'Hitter Stats'!$A:$A,0))-index('2024'!H:H,match($A204,'2024'!$A:$A,0))</f>
        <v>10</v>
      </c>
      <c r="E204" s="19">
        <f t="array" ref="E204">index('Hitter Stats'!K:K,match($A204,'Hitter Stats'!$A:$A,0))-index('2024'!K:K,match($A204,'2024'!$A:$A,0))</f>
        <v>-9</v>
      </c>
      <c r="F204" s="19">
        <f t="array" ref="F204">index('Hitter Stats'!L:L,match($A204,'Hitter Stats'!$A:$A,0))-index('2024'!L:L,match($A204,'2024'!$A:$A,0))</f>
        <v>-1</v>
      </c>
      <c r="G204" s="19">
        <f t="array" ref="G204">index('Hitter Stats'!M:M,match($A204,'Hitter Stats'!$A:$A,0))-index('2024'!M:M,match($A204,'2024'!$A:$A,0))</f>
        <v>-1</v>
      </c>
    </row>
    <row r="205">
      <c r="A205" s="11">
        <f>IFERROR(__xludf.DUMMYFUNCTION("""COMPUTED_VALUE"""),671732.0)</f>
        <v>671732</v>
      </c>
      <c r="B205" s="17" t="str">
        <f t="array" ref="B205">index('Hitter Stats'!B:B,match(A205,'Hitter Stats'!A:A,0))</f>
        <v>Lawrence Butler</v>
      </c>
      <c r="C205" s="14">
        <f t="array" ref="C205">index('Hitter Stats'!F:F,match($A205,'Hitter Stats'!$A:$A,0))-index('2024'!F:F,match($A205,'2024'!$A:$A,0))</f>
        <v>0.001519322</v>
      </c>
      <c r="D205" s="19">
        <f t="array" ref="D205">index('Hitter Stats'!H:H,match($A205,'Hitter Stats'!$A:$A,0))-index('2024'!H:H,match($A205,'2024'!$A:$A,0))</f>
        <v>2</v>
      </c>
      <c r="E205" s="19">
        <f t="array" ref="E205">index('Hitter Stats'!K:K,match($A205,'Hitter Stats'!$A:$A,0))-index('2024'!K:K,match($A205,'2024'!$A:$A,0))</f>
        <v>-14</v>
      </c>
      <c r="F205" s="19">
        <f t="array" ref="F205">index('Hitter Stats'!L:L,match($A205,'Hitter Stats'!$A:$A,0))-index('2024'!L:L,match($A205,'2024'!$A:$A,0))</f>
        <v>-16</v>
      </c>
      <c r="G205" s="19">
        <f t="array" ref="G205">index('Hitter Stats'!M:M,match($A205,'Hitter Stats'!$A:$A,0))-index('2024'!M:M,match($A205,'2024'!$A:$A,0))</f>
        <v>-22</v>
      </c>
    </row>
    <row r="206">
      <c r="A206" s="11">
        <f>IFERROR(__xludf.DUMMYFUNCTION("""COMPUTED_VALUE"""),677588.0)</f>
        <v>677588</v>
      </c>
      <c r="B206" s="17" t="str">
        <f t="array" ref="B206">index('Hitter Stats'!B:B,match(A206,'Hitter Stats'!A:A,0))</f>
        <v>José Tena</v>
      </c>
      <c r="C206" s="14">
        <f t="array" ref="C206">index('Hitter Stats'!F:F,match($A206,'Hitter Stats'!$A:$A,0))-index('2024'!F:F,match($A206,'2024'!$A:$A,0))</f>
        <v>-0.044512985</v>
      </c>
      <c r="D206" s="19">
        <f t="array" ref="D206">index('Hitter Stats'!H:H,match($A206,'Hitter Stats'!$A:$A,0))-index('2024'!H:H,match($A206,'2024'!$A:$A,0))</f>
        <v>21</v>
      </c>
      <c r="E206" s="19">
        <f t="array" ref="E206">index('Hitter Stats'!K:K,match($A206,'Hitter Stats'!$A:$A,0))-index('2024'!K:K,match($A206,'2024'!$A:$A,0))</f>
        <v>-8</v>
      </c>
      <c r="F206" s="19">
        <f t="array" ref="F206">index('Hitter Stats'!L:L,match($A206,'Hitter Stats'!$A:$A,0))-index('2024'!L:L,match($A206,'2024'!$A:$A,0))</f>
        <v>-16</v>
      </c>
      <c r="G206" s="19">
        <f t="array" ref="G206">index('Hitter Stats'!M:M,match($A206,'Hitter Stats'!$A:$A,0))-index('2024'!M:M,match($A206,'2024'!$A:$A,0))</f>
        <v>-12</v>
      </c>
    </row>
    <row r="207">
      <c r="A207" s="11">
        <f>IFERROR(__xludf.DUMMYFUNCTION("""COMPUTED_VALUE"""),682626.0)</f>
        <v>682626</v>
      </c>
      <c r="B207" s="17" t="str">
        <f t="array" ref="B207">index('Hitter Stats'!B:B,match(A207,'Hitter Stats'!A:A,0))</f>
        <v>Francisco Alvarez</v>
      </c>
      <c r="C207" s="14">
        <f t="array" ref="C207">index('Hitter Stats'!F:F,match($A207,'Hitter Stats'!$A:$A,0))-index('2024'!F:F,match($A207,'2024'!$A:$A,0))</f>
        <v>0.032371667</v>
      </c>
      <c r="D207" s="19">
        <f t="array" ref="D207">index('Hitter Stats'!H:H,match($A207,'Hitter Stats'!$A:$A,0))-index('2024'!H:H,match($A207,'2024'!$A:$A,0))</f>
        <v>3</v>
      </c>
      <c r="E207" s="19">
        <f t="array" ref="E207">index('Hitter Stats'!K:K,match($A207,'Hitter Stats'!$A:$A,0))-index('2024'!K:K,match($A207,'2024'!$A:$A,0))</f>
        <v>-14</v>
      </c>
      <c r="F207" s="19">
        <f t="array" ref="F207">index('Hitter Stats'!L:L,match($A207,'Hitter Stats'!$A:$A,0))-index('2024'!L:L,match($A207,'2024'!$A:$A,0))</f>
        <v>4</v>
      </c>
      <c r="G207" s="19">
        <f t="array" ref="G207">index('Hitter Stats'!M:M,match($A207,'Hitter Stats'!$A:$A,0))-index('2024'!M:M,match($A207,'2024'!$A:$A,0))</f>
        <v>-2</v>
      </c>
    </row>
    <row r="208">
      <c r="A208" s="11">
        <f>IFERROR(__xludf.DUMMYFUNCTION("""COMPUTED_VALUE"""),665926.0)</f>
        <v>665926</v>
      </c>
      <c r="B208" s="17" t="str">
        <f t="array" ref="B208">index('Hitter Stats'!B:B,match(A208,'Hitter Stats'!A:A,0))</f>
        <v>Andrés Giménez</v>
      </c>
      <c r="C208" s="14">
        <f t="array" ref="C208">index('Hitter Stats'!F:F,match($A208,'Hitter Stats'!$A:$A,0))-index('2024'!F:F,match($A208,'2024'!$A:$A,0))</f>
        <v>-0.084583732</v>
      </c>
      <c r="D208" s="19">
        <f t="array" ref="D208">index('Hitter Stats'!H:H,match($A208,'Hitter Stats'!$A:$A,0))-index('2024'!H:H,match($A208,'2024'!$A:$A,0))</f>
        <v>2</v>
      </c>
      <c r="E208" s="19">
        <f t="array" ref="E208">index('Hitter Stats'!K:K,match($A208,'Hitter Stats'!$A:$A,0))-index('2024'!K:K,match($A208,'2024'!$A:$A,0))</f>
        <v>1</v>
      </c>
      <c r="F208" s="19">
        <f t="array" ref="F208">index('Hitter Stats'!L:L,match($A208,'Hitter Stats'!$A:$A,0))-index('2024'!L:L,match($A208,'2024'!$A:$A,0))</f>
        <v>2</v>
      </c>
      <c r="G208" s="19">
        <f t="array" ref="G208">index('Hitter Stats'!M:M,match($A208,'Hitter Stats'!$A:$A,0))-index('2024'!M:M,match($A208,'2024'!$A:$A,0))</f>
        <v>3</v>
      </c>
    </row>
    <row r="209">
      <c r="A209" s="11">
        <f>IFERROR(__xludf.DUMMYFUNCTION("""COMPUTED_VALUE"""),694192.0)</f>
        <v>694192</v>
      </c>
      <c r="B209" s="17" t="str">
        <f t="array" ref="B209">index('Hitter Stats'!B:B,match(A209,'Hitter Stats'!A:A,0))</f>
        <v>Jackson Chourio</v>
      </c>
      <c r="C209" s="14">
        <f t="array" ref="C209">index('Hitter Stats'!F:F,match($A209,'Hitter Stats'!$A:$A,0))-index('2024'!F:F,match($A209,'2024'!$A:$A,0))</f>
        <v>0.045914899</v>
      </c>
      <c r="D209" s="19">
        <f t="array" ref="D209">index('Hitter Stats'!H:H,match($A209,'Hitter Stats'!$A:$A,0))-index('2024'!H:H,match($A209,'2024'!$A:$A,0))</f>
        <v>-8</v>
      </c>
      <c r="E209" s="19">
        <f t="array" ref="E209">index('Hitter Stats'!K:K,match($A209,'Hitter Stats'!$A:$A,0))-index('2024'!K:K,match($A209,'2024'!$A:$A,0))</f>
        <v>3</v>
      </c>
      <c r="F209" s="19">
        <f t="array" ref="F209">index('Hitter Stats'!L:L,match($A209,'Hitter Stats'!$A:$A,0))-index('2024'!L:L,match($A209,'2024'!$A:$A,0))</f>
        <v>-8</v>
      </c>
      <c r="G209" s="19">
        <f t="array" ref="G209">index('Hitter Stats'!M:M,match($A209,'Hitter Stats'!$A:$A,0))-index('2024'!M:M,match($A209,'2024'!$A:$A,0))</f>
        <v>-11</v>
      </c>
    </row>
    <row r="210">
      <c r="A210" s="11">
        <f>IFERROR(__xludf.DUMMYFUNCTION("""COMPUTED_VALUE"""),669743.0)</f>
        <v>669743</v>
      </c>
      <c r="B210" s="17" t="str">
        <f t="array" ref="B210">index('Hitter Stats'!B:B,match(A210,'Hitter Stats'!A:A,0))</f>
        <v>Alex Call</v>
      </c>
      <c r="C210" s="14">
        <f t="array" ref="C210">index('Hitter Stats'!F:F,match($A210,'Hitter Stats'!$A:$A,0))-index('2024'!F:F,match($A210,'2024'!$A:$A,0))</f>
        <v>-0.064450216</v>
      </c>
      <c r="D210" s="19">
        <f t="array" ref="D210">index('Hitter Stats'!H:H,match($A210,'Hitter Stats'!$A:$A,0))-index('2024'!H:H,match($A210,'2024'!$A:$A,0))</f>
        <v>-21</v>
      </c>
      <c r="E210" s="19">
        <f t="array" ref="E210">index('Hitter Stats'!K:K,match($A210,'Hitter Stats'!$A:$A,0))-index('2024'!K:K,match($A210,'2024'!$A:$A,0))</f>
        <v>12</v>
      </c>
      <c r="F210" s="19">
        <f t="array" ref="F210">index('Hitter Stats'!L:L,match($A210,'Hitter Stats'!$A:$A,0))-index('2024'!L:L,match($A210,'2024'!$A:$A,0))</f>
        <v>-7</v>
      </c>
      <c r="G210" s="19">
        <f t="array" ref="G210">index('Hitter Stats'!M:M,match($A210,'Hitter Stats'!$A:$A,0))-index('2024'!M:M,match($A210,'2024'!$A:$A,0))</f>
        <v>-17</v>
      </c>
    </row>
    <row r="211">
      <c r="A211" s="11">
        <f>IFERROR(__xludf.DUMMYFUNCTION("""COMPUTED_VALUE"""),696100.0)</f>
        <v>696100</v>
      </c>
      <c r="B211" s="17" t="str">
        <f t="array" ref="B211">index('Hitter Stats'!B:B,match(A211,'Hitter Stats'!A:A,0))</f>
        <v>Hunter Goodman</v>
      </c>
      <c r="C211" s="14">
        <f t="array" ref="C211">index('Hitter Stats'!F:F,match($A211,'Hitter Stats'!$A:$A,0))-index('2024'!F:F,match($A211,'2024'!$A:$A,0))</f>
        <v>-0.021238917</v>
      </c>
      <c r="D211" s="19">
        <f t="array" ref="D211">index('Hitter Stats'!H:H,match($A211,'Hitter Stats'!$A:$A,0))-index('2024'!H:H,match($A211,'2024'!$A:$A,0))</f>
        <v>-1</v>
      </c>
      <c r="E211" s="19">
        <f t="array" ref="E211">index('Hitter Stats'!K:K,match($A211,'Hitter Stats'!$A:$A,0))-index('2024'!K:K,match($A211,'2024'!$A:$A,0))</f>
        <v>9</v>
      </c>
      <c r="F211" s="19">
        <f t="array" ref="F211">index('Hitter Stats'!L:L,match($A211,'Hitter Stats'!$A:$A,0))-index('2024'!L:L,match($A211,'2024'!$A:$A,0))</f>
        <v>1</v>
      </c>
      <c r="G211" s="19">
        <f t="array" ref="G211">index('Hitter Stats'!M:M,match($A211,'Hitter Stats'!$A:$A,0))-index('2024'!M:M,match($A211,'2024'!$A:$A,0))</f>
        <v>10</v>
      </c>
    </row>
    <row r="212">
      <c r="A212" s="11">
        <f>IFERROR(__xludf.DUMMYFUNCTION("""COMPUTED_VALUE"""),673357.0)</f>
        <v>673357</v>
      </c>
      <c r="B212" s="17" t="str">
        <f t="array" ref="B212">index('Hitter Stats'!B:B,match(A212,'Hitter Stats'!A:A,0))</f>
        <v>Luis Robert Jr.</v>
      </c>
      <c r="C212" s="14">
        <f t="array" ref="C212">index('Hitter Stats'!F:F,match($A212,'Hitter Stats'!$A:$A,0))-index('2024'!F:F,match($A212,'2024'!$A:$A,0))</f>
        <v>0.031004653</v>
      </c>
      <c r="D212" s="19">
        <f t="array" ref="D212">index('Hitter Stats'!H:H,match($A212,'Hitter Stats'!$A:$A,0))-index('2024'!H:H,match($A212,'2024'!$A:$A,0))</f>
        <v>4</v>
      </c>
      <c r="E212" s="19">
        <f t="array" ref="E212">index('Hitter Stats'!K:K,match($A212,'Hitter Stats'!$A:$A,0))-index('2024'!K:K,match($A212,'2024'!$A:$A,0))</f>
        <v>-10</v>
      </c>
      <c r="F212" s="19">
        <f t="array" ref="F212">index('Hitter Stats'!L:L,match($A212,'Hitter Stats'!$A:$A,0))-index('2024'!L:L,match($A212,'2024'!$A:$A,0))</f>
        <v>-1</v>
      </c>
      <c r="G212" s="19">
        <f t="array" ref="G212">index('Hitter Stats'!M:M,match($A212,'Hitter Stats'!$A:$A,0))-index('2024'!M:M,match($A212,'2024'!$A:$A,0))</f>
        <v>-4</v>
      </c>
    </row>
    <row r="213">
      <c r="A213" s="11">
        <f>IFERROR(__xludf.DUMMYFUNCTION("""COMPUTED_VALUE"""),687462.0)</f>
        <v>687462</v>
      </c>
      <c r="B213" s="17" t="str">
        <f t="array" ref="B213">index('Hitter Stats'!B:B,match(A213,'Hitter Stats'!A:A,0))</f>
        <v>Spencer Horwitz</v>
      </c>
      <c r="C213" s="14">
        <f t="array" ref="C213">index('Hitter Stats'!F:F,match($A213,'Hitter Stats'!$A:$A,0))-index('2024'!F:F,match($A213,'2024'!$A:$A,0))</f>
        <v>0.000426425</v>
      </c>
      <c r="D213" s="19">
        <f t="array" ref="D213">index('Hitter Stats'!H:H,match($A213,'Hitter Stats'!$A:$A,0))-index('2024'!H:H,match($A213,'2024'!$A:$A,0))</f>
        <v>-4</v>
      </c>
      <c r="E213" s="19">
        <f t="array" ref="E213">index('Hitter Stats'!K:K,match($A213,'Hitter Stats'!$A:$A,0))-index('2024'!K:K,match($A213,'2024'!$A:$A,0))</f>
        <v>-16</v>
      </c>
      <c r="F213" s="19">
        <f t="array" ref="F213">index('Hitter Stats'!L:L,match($A213,'Hitter Stats'!$A:$A,0))-index('2024'!L:L,match($A213,'2024'!$A:$A,0))</f>
        <v>-15</v>
      </c>
      <c r="G213" s="19">
        <f t="array" ref="G213">index('Hitter Stats'!M:M,match($A213,'Hitter Stats'!$A:$A,0))-index('2024'!M:M,match($A213,'2024'!$A:$A,0))</f>
        <v>-26</v>
      </c>
    </row>
    <row r="214">
      <c r="A214" s="11">
        <f>IFERROR(__xludf.DUMMYFUNCTION("""COMPUTED_VALUE"""),666310.0)</f>
        <v>666310</v>
      </c>
      <c r="B214" s="17" t="str">
        <f t="array" ref="B214">index('Hitter Stats'!B:B,match(A214,'Hitter Stats'!A:A,0))</f>
        <v>Bo Naylor</v>
      </c>
      <c r="C214" s="14">
        <f t="array" ref="C214">index('Hitter Stats'!F:F,match($A214,'Hitter Stats'!$A:$A,0))-index('2024'!F:F,match($A214,'2024'!$A:$A,0))</f>
        <v>0.015192596</v>
      </c>
      <c r="D214" s="19">
        <f t="array" ref="D214">index('Hitter Stats'!H:H,match($A214,'Hitter Stats'!$A:$A,0))-index('2024'!H:H,match($A214,'2024'!$A:$A,0))</f>
        <v>7</v>
      </c>
      <c r="E214" s="19">
        <f t="array" ref="E214">index('Hitter Stats'!K:K,match($A214,'Hitter Stats'!$A:$A,0))-index('2024'!K:K,match($A214,'2024'!$A:$A,0))</f>
        <v>4</v>
      </c>
      <c r="F214" s="19">
        <f t="array" ref="F214">index('Hitter Stats'!L:L,match($A214,'Hitter Stats'!$A:$A,0))-index('2024'!L:L,match($A214,'2024'!$A:$A,0))</f>
        <v>5</v>
      </c>
      <c r="G214" s="19">
        <f t="array" ref="G214">index('Hitter Stats'!M:M,match($A214,'Hitter Stats'!$A:$A,0))-index('2024'!M:M,match($A214,'2024'!$A:$A,0))</f>
        <v>10</v>
      </c>
    </row>
    <row r="215">
      <c r="A215" s="11">
        <f>IFERROR(__xludf.DUMMYFUNCTION("""COMPUTED_VALUE"""),630105.0)</f>
        <v>630105</v>
      </c>
      <c r="B215" s="17" t="str">
        <f t="array" ref="B215">index('Hitter Stats'!B:B,match(A215,'Hitter Stats'!A:A,0))</f>
        <v>Jake Cronenworth</v>
      </c>
      <c r="C215" s="14">
        <f t="array" ref="C215">index('Hitter Stats'!F:F,match($A215,'Hitter Stats'!$A:$A,0))-index('2024'!F:F,match($A215,'2024'!$A:$A,0))</f>
        <v>-0.025940804</v>
      </c>
      <c r="D215" s="19">
        <f t="array" ref="D215">index('Hitter Stats'!H:H,match($A215,'Hitter Stats'!$A:$A,0))-index('2024'!H:H,match($A215,'2024'!$A:$A,0))</f>
        <v>-4</v>
      </c>
      <c r="E215" s="19">
        <f t="array" ref="E215">index('Hitter Stats'!K:K,match($A215,'Hitter Stats'!$A:$A,0))-index('2024'!K:K,match($A215,'2024'!$A:$A,0))</f>
        <v>-1</v>
      </c>
      <c r="F215" s="19">
        <f t="array" ref="F215">index('Hitter Stats'!L:L,match($A215,'Hitter Stats'!$A:$A,0))-index('2024'!L:L,match($A215,'2024'!$A:$A,0))</f>
        <v>-11</v>
      </c>
      <c r="G215" s="19">
        <f t="array" ref="G215">index('Hitter Stats'!M:M,match($A215,'Hitter Stats'!$A:$A,0))-index('2024'!M:M,match($A215,'2024'!$A:$A,0))</f>
        <v>-14</v>
      </c>
    </row>
    <row r="216">
      <c r="A216" s="11">
        <f>IFERROR(__xludf.DUMMYFUNCTION("""COMPUTED_VALUE"""),516782.0)</f>
        <v>516782</v>
      </c>
      <c r="B216" s="17" t="str">
        <f t="array" ref="B216">index('Hitter Stats'!B:B,match(A216,'Hitter Stats'!A:A,0))</f>
        <v>Starling Marte</v>
      </c>
      <c r="C216" s="14">
        <f t="array" ref="C216">index('Hitter Stats'!F:F,match($A216,'Hitter Stats'!$A:$A,0))-index('2024'!F:F,match($A216,'2024'!$A:$A,0))</f>
        <v>-0.010452314</v>
      </c>
      <c r="D216" s="19">
        <f t="array" ref="D216">index('Hitter Stats'!H:H,match($A216,'Hitter Stats'!$A:$A,0))-index('2024'!H:H,match($A216,'2024'!$A:$A,0))</f>
        <v>-3</v>
      </c>
      <c r="E216" s="19">
        <f t="array" ref="E216">index('Hitter Stats'!K:K,match($A216,'Hitter Stats'!$A:$A,0))-index('2024'!K:K,match($A216,'2024'!$A:$A,0))</f>
        <v>11</v>
      </c>
      <c r="F216" s="19">
        <f t="array" ref="F216">index('Hitter Stats'!L:L,match($A216,'Hitter Stats'!$A:$A,0))-index('2024'!L:L,match($A216,'2024'!$A:$A,0))</f>
        <v>-20</v>
      </c>
      <c r="G216" s="19">
        <f t="array" ref="G216">index('Hitter Stats'!M:M,match($A216,'Hitter Stats'!$A:$A,0))-index('2024'!M:M,match($A216,'2024'!$A:$A,0))</f>
        <v>-17</v>
      </c>
    </row>
    <row r="217">
      <c r="A217" s="11">
        <f>IFERROR(__xludf.DUMMYFUNCTION("""COMPUTED_VALUE"""),518934.0)</f>
        <v>518934</v>
      </c>
      <c r="B217" s="17" t="str">
        <f t="array" ref="B217">index('Hitter Stats'!B:B,match(A217,'Hitter Stats'!A:A,0))</f>
        <v>DJ LeMahieu</v>
      </c>
      <c r="C217" s="14">
        <f t="array" ref="C217">index('Hitter Stats'!F:F,match($A217,'Hitter Stats'!$A:$A,0))-index('2024'!F:F,match($A217,'2024'!$A:$A,0))</f>
        <v>-0.028654186</v>
      </c>
      <c r="D217" s="19">
        <f t="array" ref="D217">index('Hitter Stats'!H:H,match($A217,'Hitter Stats'!$A:$A,0))-index('2024'!H:H,match($A217,'2024'!$A:$A,0))</f>
        <v>11</v>
      </c>
      <c r="E217" s="19">
        <f t="array" ref="E217">index('Hitter Stats'!K:K,match($A217,'Hitter Stats'!$A:$A,0))-index('2024'!K:K,match($A217,'2024'!$A:$A,0))</f>
        <v>-16</v>
      </c>
      <c r="F217" s="19">
        <f t="array" ref="F217">index('Hitter Stats'!L:L,match($A217,'Hitter Stats'!$A:$A,0))-index('2024'!L:L,match($A217,'2024'!$A:$A,0))</f>
        <v>0</v>
      </c>
      <c r="G217" s="19">
        <f t="array" ref="G217">index('Hitter Stats'!M:M,match($A217,'Hitter Stats'!$A:$A,0))-index('2024'!M:M,match($A217,'2024'!$A:$A,0))</f>
        <v>-2</v>
      </c>
    </row>
    <row r="218">
      <c r="A218" s="11">
        <f>IFERROR(__xludf.DUMMYFUNCTION("""COMPUTED_VALUE"""),641598.0)</f>
        <v>641598</v>
      </c>
      <c r="B218" s="17" t="str">
        <f t="array" ref="B218">index('Hitter Stats'!B:B,match(A218,'Hitter Stats'!A:A,0))</f>
        <v>Mitch Garver</v>
      </c>
      <c r="C218" s="14">
        <f t="array" ref="C218">index('Hitter Stats'!F:F,match($A218,'Hitter Stats'!$A:$A,0))-index('2024'!F:F,match($A218,'2024'!$A:$A,0))</f>
        <v>0.021293924</v>
      </c>
      <c r="D218" s="19">
        <f t="array" ref="D218">index('Hitter Stats'!H:H,match($A218,'Hitter Stats'!$A:$A,0))-index('2024'!H:H,match($A218,'2024'!$A:$A,0))</f>
        <v>-9</v>
      </c>
      <c r="E218" s="19">
        <f t="array" ref="E218">index('Hitter Stats'!K:K,match($A218,'Hitter Stats'!$A:$A,0))-index('2024'!K:K,match($A218,'2024'!$A:$A,0))</f>
        <v>7</v>
      </c>
      <c r="F218" s="19">
        <f t="array" ref="F218">index('Hitter Stats'!L:L,match($A218,'Hitter Stats'!$A:$A,0))-index('2024'!L:L,match($A218,'2024'!$A:$A,0))</f>
        <v>4</v>
      </c>
      <c r="G218" s="19">
        <f t="array" ref="G218">index('Hitter Stats'!M:M,match($A218,'Hitter Stats'!$A:$A,0))-index('2024'!M:M,match($A218,'2024'!$A:$A,0))</f>
        <v>0</v>
      </c>
    </row>
    <row r="219">
      <c r="A219" s="11">
        <f>IFERROR(__xludf.DUMMYFUNCTION("""COMPUTED_VALUE"""),676914.0)</f>
        <v>676914</v>
      </c>
      <c r="B219" s="17" t="str">
        <f t="array" ref="B219">index('Hitter Stats'!B:B,match(A219,'Hitter Stats'!A:A,0))</f>
        <v>Davis Schneider</v>
      </c>
      <c r="C219" s="14">
        <f t="array" ref="C219">index('Hitter Stats'!F:F,match($A219,'Hitter Stats'!$A:$A,0))-index('2024'!F:F,match($A219,'2024'!$A:$A,0))</f>
        <v>-0.004740741</v>
      </c>
      <c r="D219" s="19">
        <f t="array" ref="D219">index('Hitter Stats'!H:H,match($A219,'Hitter Stats'!$A:$A,0))-index('2024'!H:H,match($A219,'2024'!$A:$A,0))</f>
        <v>1</v>
      </c>
      <c r="E219" s="19">
        <f t="array" ref="E219">index('Hitter Stats'!K:K,match($A219,'Hitter Stats'!$A:$A,0))-index('2024'!K:K,match($A219,'2024'!$A:$A,0))</f>
        <v>-15</v>
      </c>
      <c r="F219" s="19">
        <f t="array" ref="F219">index('Hitter Stats'!L:L,match($A219,'Hitter Stats'!$A:$A,0))-index('2024'!L:L,match($A219,'2024'!$A:$A,0))</f>
        <v>-2</v>
      </c>
      <c r="G219" s="19">
        <f t="array" ref="G219">index('Hitter Stats'!M:M,match($A219,'Hitter Stats'!$A:$A,0))-index('2024'!M:M,match($A219,'2024'!$A:$A,0))</f>
        <v>-7</v>
      </c>
    </row>
    <row r="220">
      <c r="A220" s="11">
        <f>IFERROR(__xludf.DUMMYFUNCTION("""COMPUTED_VALUE"""),663898.0)</f>
        <v>663898</v>
      </c>
      <c r="B220" s="17" t="str">
        <f t="array" ref="B220">index('Hitter Stats'!B:B,match(A220,'Hitter Stats'!A:A,0))</f>
        <v>Brendan Rodgers</v>
      </c>
      <c r="C220" s="14">
        <f t="array" ref="C220">index('Hitter Stats'!F:F,match($A220,'Hitter Stats'!$A:$A,0))-index('2024'!F:F,match($A220,'2024'!$A:$A,0))</f>
        <v>-0.041870939</v>
      </c>
      <c r="D220" s="19">
        <f t="array" ref="D220">index('Hitter Stats'!H:H,match($A220,'Hitter Stats'!$A:$A,0))-index('2024'!H:H,match($A220,'2024'!$A:$A,0))</f>
        <v>-9</v>
      </c>
      <c r="E220" s="19">
        <f t="array" ref="E220">index('Hitter Stats'!K:K,match($A220,'Hitter Stats'!$A:$A,0))-index('2024'!K:K,match($A220,'2024'!$A:$A,0))</f>
        <v>-28</v>
      </c>
      <c r="F220" s="19">
        <f t="array" ref="F220">index('Hitter Stats'!L:L,match($A220,'Hitter Stats'!$A:$A,0))-index('2024'!L:L,match($A220,'2024'!$A:$A,0))</f>
        <v>13</v>
      </c>
      <c r="G220" s="19">
        <f t="array" ref="G220">index('Hitter Stats'!M:M,match($A220,'Hitter Stats'!$A:$A,0))-index('2024'!M:M,match($A220,'2024'!$A:$A,0))</f>
        <v>-7</v>
      </c>
    </row>
    <row r="221">
      <c r="A221" s="11">
        <f>IFERROR(__xludf.DUMMYFUNCTION("""COMPUTED_VALUE"""),467793.0)</f>
        <v>467793</v>
      </c>
      <c r="B221" s="17" t="str">
        <f t="array" ref="B221">index('Hitter Stats'!B:B,match(A221,'Hitter Stats'!A:A,0))</f>
        <v>Carlos Santana</v>
      </c>
      <c r="C221" s="14">
        <f t="array" ref="C221">index('Hitter Stats'!F:F,match($A221,'Hitter Stats'!$A:$A,0))-index('2024'!F:F,match($A221,'2024'!$A:$A,0))</f>
        <v>0.001872246</v>
      </c>
      <c r="D221" s="19">
        <f t="array" ref="D221">index('Hitter Stats'!H:H,match($A221,'Hitter Stats'!$A:$A,0))-index('2024'!H:H,match($A221,'2024'!$A:$A,0))</f>
        <v>1</v>
      </c>
      <c r="E221" s="19">
        <f t="array" ref="E221">index('Hitter Stats'!K:K,match($A221,'Hitter Stats'!$A:$A,0))-index('2024'!K:K,match($A221,'2024'!$A:$A,0))</f>
        <v>-1</v>
      </c>
      <c r="F221" s="19">
        <f t="array" ref="F221">index('Hitter Stats'!L:L,match($A221,'Hitter Stats'!$A:$A,0))-index('2024'!L:L,match($A221,'2024'!$A:$A,0))</f>
        <v>-5</v>
      </c>
      <c r="G221" s="19">
        <f t="array" ref="G221">index('Hitter Stats'!M:M,match($A221,'Hitter Stats'!$A:$A,0))-index('2024'!M:M,match($A221,'2024'!$A:$A,0))</f>
        <v>-7</v>
      </c>
    </row>
    <row r="222">
      <c r="A222" s="11">
        <f>IFERROR(__xludf.DUMMYFUNCTION("""COMPUTED_VALUE"""),678009.0)</f>
        <v>678009</v>
      </c>
      <c r="B222" s="17" t="str">
        <f t="array" ref="B222">index('Hitter Stats'!B:B,match(A222,'Hitter Stats'!A:A,0))</f>
        <v>Parker Meadows</v>
      </c>
      <c r="C222" s="14">
        <f t="array" ref="C222">index('Hitter Stats'!F:F,match($A222,'Hitter Stats'!$A:$A,0))-index('2024'!F:F,match($A222,'2024'!$A:$A,0))</f>
        <v>-0.000021408</v>
      </c>
      <c r="D222" s="19">
        <f t="array" ref="D222">index('Hitter Stats'!H:H,match($A222,'Hitter Stats'!$A:$A,0))-index('2024'!H:H,match($A222,'2024'!$A:$A,0))</f>
        <v>0</v>
      </c>
      <c r="E222" s="19">
        <f t="array" ref="E222">index('Hitter Stats'!K:K,match($A222,'Hitter Stats'!$A:$A,0))-index('2024'!K:K,match($A222,'2024'!$A:$A,0))</f>
        <v>-20</v>
      </c>
      <c r="F222" s="19">
        <f t="array" ref="F222">index('Hitter Stats'!L:L,match($A222,'Hitter Stats'!$A:$A,0))-index('2024'!L:L,match($A222,'2024'!$A:$A,0))</f>
        <v>9</v>
      </c>
      <c r="G222" s="19">
        <f t="array" ref="G222">index('Hitter Stats'!M:M,match($A222,'Hitter Stats'!$A:$A,0))-index('2024'!M:M,match($A222,'2024'!$A:$A,0))</f>
        <v>-2</v>
      </c>
    </row>
    <row r="223">
      <c r="A223" s="11">
        <f>IFERROR(__xludf.DUMMYFUNCTION("""COMPUTED_VALUE"""),664056.0)</f>
        <v>664056</v>
      </c>
      <c r="B223" s="17" t="str">
        <f t="array" ref="B223">index('Hitter Stats'!B:B,match(A223,'Hitter Stats'!A:A,0))</f>
        <v>Harrison Bader</v>
      </c>
      <c r="C223" s="14">
        <f t="array" ref="C223">index('Hitter Stats'!F:F,match($A223,'Hitter Stats'!$A:$A,0))-index('2024'!F:F,match($A223,'2024'!$A:$A,0))</f>
        <v>-0.006720387</v>
      </c>
      <c r="D223" s="19">
        <f t="array" ref="D223">index('Hitter Stats'!H:H,match($A223,'Hitter Stats'!$A:$A,0))-index('2024'!H:H,match($A223,'2024'!$A:$A,0))</f>
        <v>0</v>
      </c>
      <c r="E223" s="19">
        <f t="array" ref="E223">index('Hitter Stats'!K:K,match($A223,'Hitter Stats'!$A:$A,0))-index('2024'!K:K,match($A223,'2024'!$A:$A,0))</f>
        <v>-17</v>
      </c>
      <c r="F223" s="19">
        <f t="array" ref="F223">index('Hitter Stats'!L:L,match($A223,'Hitter Stats'!$A:$A,0))-index('2024'!L:L,match($A223,'2024'!$A:$A,0))</f>
        <v>5</v>
      </c>
      <c r="G223" s="19">
        <f t="array" ref="G223">index('Hitter Stats'!M:M,match($A223,'Hitter Stats'!$A:$A,0))-index('2024'!M:M,match($A223,'2024'!$A:$A,0))</f>
        <v>-2</v>
      </c>
    </row>
    <row r="224">
      <c r="A224" s="11">
        <f>IFERROR(__xludf.DUMMYFUNCTION("""COMPUTED_VALUE"""),573262.0)</f>
        <v>573262</v>
      </c>
      <c r="B224" s="17" t="str">
        <f t="array" ref="B224">index('Hitter Stats'!B:B,match(A224,'Hitter Stats'!A:A,0))</f>
        <v>Mike Yastrzemski</v>
      </c>
      <c r="C224" s="14">
        <f t="array" ref="C224">index('Hitter Stats'!F:F,match($A224,'Hitter Stats'!$A:$A,0))-index('2024'!F:F,match($A224,'2024'!$A:$A,0))</f>
        <v>-0.005951636</v>
      </c>
      <c r="D224" s="19">
        <f t="array" ref="D224">index('Hitter Stats'!H:H,match($A224,'Hitter Stats'!$A:$A,0))-index('2024'!H:H,match($A224,'2024'!$A:$A,0))</f>
        <v>-8</v>
      </c>
      <c r="E224" s="19">
        <f t="array" ref="E224">index('Hitter Stats'!K:K,match($A224,'Hitter Stats'!$A:$A,0))-index('2024'!K:K,match($A224,'2024'!$A:$A,0))</f>
        <v>9</v>
      </c>
      <c r="F224" s="19">
        <f t="array" ref="F224">index('Hitter Stats'!L:L,match($A224,'Hitter Stats'!$A:$A,0))-index('2024'!L:L,match($A224,'2024'!$A:$A,0))</f>
        <v>-6</v>
      </c>
      <c r="G224" s="19">
        <f t="array" ref="G224">index('Hitter Stats'!M:M,match($A224,'Hitter Stats'!$A:$A,0))-index('2024'!M:M,match($A224,'2024'!$A:$A,0))</f>
        <v>-5</v>
      </c>
    </row>
    <row r="225">
      <c r="A225" s="11">
        <f>IFERROR(__xludf.DUMMYFUNCTION("""COMPUTED_VALUE"""),669707.0)</f>
        <v>669707</v>
      </c>
      <c r="B225" s="17" t="str">
        <f t="array" ref="B225">index('Hitter Stats'!B:B,match(A225,'Hitter Stats'!A:A,0))</f>
        <v>Jared Triolo</v>
      </c>
      <c r="C225" s="14">
        <f t="array" ref="C225">index('Hitter Stats'!F:F,match($A225,'Hitter Stats'!$A:$A,0))-index('2024'!F:F,match($A225,'2024'!$A:$A,0))</f>
        <v>0.028128328</v>
      </c>
      <c r="D225" s="19">
        <f t="array" ref="D225">index('Hitter Stats'!H:H,match($A225,'Hitter Stats'!$A:$A,0))-index('2024'!H:H,match($A225,'2024'!$A:$A,0))</f>
        <v>3</v>
      </c>
      <c r="E225" s="19">
        <f t="array" ref="E225">index('Hitter Stats'!K:K,match($A225,'Hitter Stats'!$A:$A,0))-index('2024'!K:K,match($A225,'2024'!$A:$A,0))</f>
        <v>11</v>
      </c>
      <c r="F225" s="19">
        <f t="array" ref="F225">index('Hitter Stats'!L:L,match($A225,'Hitter Stats'!$A:$A,0))-index('2024'!L:L,match($A225,'2024'!$A:$A,0))</f>
        <v>-8</v>
      </c>
      <c r="G225" s="19">
        <f t="array" ref="G225">index('Hitter Stats'!M:M,match($A225,'Hitter Stats'!$A:$A,0))-index('2024'!M:M,match($A225,'2024'!$A:$A,0))</f>
        <v>-3</v>
      </c>
    </row>
    <row r="226">
      <c r="A226" s="11">
        <f>IFERROR(__xludf.DUMMYFUNCTION("""COMPUTED_VALUE"""),456781.0)</f>
        <v>456781</v>
      </c>
      <c r="B226" s="17" t="str">
        <f t="array" ref="B226">index('Hitter Stats'!B:B,match(A226,'Hitter Stats'!A:A,0))</f>
        <v>Donovan Solano</v>
      </c>
      <c r="C226" s="14">
        <f t="array" ref="C226">index('Hitter Stats'!F:F,match($A226,'Hitter Stats'!$A:$A,0))-index('2024'!F:F,match($A226,'2024'!$A:$A,0))</f>
        <v>0.038771711</v>
      </c>
      <c r="D226" s="19">
        <f t="array" ref="D226">index('Hitter Stats'!H:H,match($A226,'Hitter Stats'!$A:$A,0))-index('2024'!H:H,match($A226,'2024'!$A:$A,0))</f>
        <v>-9</v>
      </c>
      <c r="E226" s="19">
        <f t="array" ref="E226">index('Hitter Stats'!K:K,match($A226,'Hitter Stats'!$A:$A,0))-index('2024'!K:K,match($A226,'2024'!$A:$A,0))</f>
        <v>1</v>
      </c>
      <c r="F226" s="19">
        <f t="array" ref="F226">index('Hitter Stats'!L:L,match($A226,'Hitter Stats'!$A:$A,0))-index('2024'!L:L,match($A226,'2024'!$A:$A,0))</f>
        <v>-8</v>
      </c>
      <c r="G226" s="19">
        <f t="array" ref="G226">index('Hitter Stats'!M:M,match($A226,'Hitter Stats'!$A:$A,0))-index('2024'!M:M,match($A226,'2024'!$A:$A,0))</f>
        <v>-11</v>
      </c>
    </row>
    <row r="227">
      <c r="A227" s="11">
        <f>IFERROR(__xludf.DUMMYFUNCTION("""COMPUTED_VALUE"""),666185.0)</f>
        <v>666185</v>
      </c>
      <c r="B227" s="17" t="str">
        <f t="array" ref="B227">index('Hitter Stats'!B:B,match(A227,'Hitter Stats'!A:A,0))</f>
        <v>Dylan Carlson</v>
      </c>
      <c r="C227" s="14">
        <f t="array" ref="C227">index('Hitter Stats'!F:F,match($A227,'Hitter Stats'!$A:$A,0))-index('2024'!F:F,match($A227,'2024'!$A:$A,0))</f>
        <v>0.008764202</v>
      </c>
      <c r="D227" s="19">
        <f t="array" ref="D227">index('Hitter Stats'!H:H,match($A227,'Hitter Stats'!$A:$A,0))-index('2024'!H:H,match($A227,'2024'!$A:$A,0))</f>
        <v>9</v>
      </c>
      <c r="E227" s="19">
        <f t="array" ref="E227">index('Hitter Stats'!K:K,match($A227,'Hitter Stats'!$A:$A,0))-index('2024'!K:K,match($A227,'2024'!$A:$A,0))</f>
        <v>3</v>
      </c>
      <c r="F227" s="19">
        <f t="array" ref="F227">index('Hitter Stats'!L:L,match($A227,'Hitter Stats'!$A:$A,0))-index('2024'!L:L,match($A227,'2024'!$A:$A,0))</f>
        <v>13</v>
      </c>
      <c r="G227" s="19">
        <f t="array" ref="G227">index('Hitter Stats'!M:M,match($A227,'Hitter Stats'!$A:$A,0))-index('2024'!M:M,match($A227,'2024'!$A:$A,0))</f>
        <v>15</v>
      </c>
    </row>
    <row r="228">
      <c r="A228" s="11">
        <f>IFERROR(__xludf.DUMMYFUNCTION("""COMPUTED_VALUE"""),663647.0)</f>
        <v>663647</v>
      </c>
      <c r="B228" s="17" t="str">
        <f t="array" ref="B228">index('Hitter Stats'!B:B,match(A228,'Hitter Stats'!A:A,0))</f>
        <v>Ke'Bryan Hayes</v>
      </c>
      <c r="C228" s="14">
        <f t="array" ref="C228">index('Hitter Stats'!F:F,match($A228,'Hitter Stats'!$A:$A,0))-index('2024'!F:F,match($A228,'2024'!$A:$A,0))</f>
        <v>-0.015423461</v>
      </c>
      <c r="D228" s="19">
        <f t="array" ref="D228">index('Hitter Stats'!H:H,match($A228,'Hitter Stats'!$A:$A,0))-index('2024'!H:H,match($A228,'2024'!$A:$A,0))</f>
        <v>7</v>
      </c>
      <c r="E228" s="19">
        <f t="array" ref="E228">index('Hitter Stats'!K:K,match($A228,'Hitter Stats'!$A:$A,0))-index('2024'!K:K,match($A228,'2024'!$A:$A,0))</f>
        <v>-8</v>
      </c>
      <c r="F228" s="19">
        <f t="array" ref="F228">index('Hitter Stats'!L:L,match($A228,'Hitter Stats'!$A:$A,0))-index('2024'!L:L,match($A228,'2024'!$A:$A,0))</f>
        <v>1</v>
      </c>
      <c r="G228" s="19">
        <f t="array" ref="G228">index('Hitter Stats'!M:M,match($A228,'Hitter Stats'!$A:$A,0))-index('2024'!M:M,match($A228,'2024'!$A:$A,0))</f>
        <v>1</v>
      </c>
    </row>
    <row r="229">
      <c r="A229" s="11">
        <f>IFERROR(__xludf.DUMMYFUNCTION("""COMPUTED_VALUE"""),502054.0)</f>
        <v>502054</v>
      </c>
      <c r="B229" s="17" t="str">
        <f t="array" ref="B229">index('Hitter Stats'!B:B,match(A229,'Hitter Stats'!A:A,0))</f>
        <v>Tommy Pham</v>
      </c>
      <c r="C229" s="14">
        <f t="array" ref="C229">index('Hitter Stats'!F:F,match($A229,'Hitter Stats'!$A:$A,0))-index('2024'!F:F,match($A229,'2024'!$A:$A,0))</f>
        <v>-0.00664708</v>
      </c>
      <c r="D229" s="19">
        <f t="array" ref="D229">index('Hitter Stats'!H:H,match($A229,'Hitter Stats'!$A:$A,0))-index('2024'!H:H,match($A229,'2024'!$A:$A,0))</f>
        <v>1</v>
      </c>
      <c r="E229" s="19">
        <f t="array" ref="E229">index('Hitter Stats'!K:K,match($A229,'Hitter Stats'!$A:$A,0))-index('2024'!K:K,match($A229,'2024'!$A:$A,0))</f>
        <v>-5</v>
      </c>
      <c r="F229" s="19">
        <f t="array" ref="F229">index('Hitter Stats'!L:L,match($A229,'Hitter Stats'!$A:$A,0))-index('2024'!L:L,match($A229,'2024'!$A:$A,0))</f>
        <v>-16</v>
      </c>
      <c r="G229" s="19">
        <f t="array" ref="G229">index('Hitter Stats'!M:M,match($A229,'Hitter Stats'!$A:$A,0))-index('2024'!M:M,match($A229,'2024'!$A:$A,0))</f>
        <v>-19</v>
      </c>
    </row>
    <row r="230">
      <c r="A230" s="11">
        <f>IFERROR(__xludf.DUMMYFUNCTION("""COMPUTED_VALUE"""),656775.0)</f>
        <v>656775</v>
      </c>
      <c r="B230" s="17" t="str">
        <f t="array" ref="B230">index('Hitter Stats'!B:B,match(A230,'Hitter Stats'!A:A,0))</f>
        <v>Cedric Mullins</v>
      </c>
      <c r="C230" s="14">
        <f t="array" ref="C230">index('Hitter Stats'!F:F,match($A230,'Hitter Stats'!$A:$A,0))-index('2024'!F:F,match($A230,'2024'!$A:$A,0))</f>
        <v>-0.041981521</v>
      </c>
      <c r="D230" s="19">
        <f t="array" ref="D230">index('Hitter Stats'!H:H,match($A230,'Hitter Stats'!$A:$A,0))-index('2024'!H:H,match($A230,'2024'!$A:$A,0))</f>
        <v>-3</v>
      </c>
      <c r="E230" s="19">
        <f t="array" ref="E230">index('Hitter Stats'!K:K,match($A230,'Hitter Stats'!$A:$A,0))-index('2024'!K:K,match($A230,'2024'!$A:$A,0))</f>
        <v>-4</v>
      </c>
      <c r="F230" s="19">
        <f t="array" ref="F230">index('Hitter Stats'!L:L,match($A230,'Hitter Stats'!$A:$A,0))-index('2024'!L:L,match($A230,'2024'!$A:$A,0))</f>
        <v>7</v>
      </c>
      <c r="G230" s="19">
        <f t="array" ref="G230">index('Hitter Stats'!M:M,match($A230,'Hitter Stats'!$A:$A,0))-index('2024'!M:M,match($A230,'2024'!$A:$A,0))</f>
        <v>5</v>
      </c>
    </row>
    <row r="231">
      <c r="A231" s="11">
        <f>IFERROR(__xludf.DUMMYFUNCTION("""COMPUTED_VALUE"""),457759.0)</f>
        <v>457759</v>
      </c>
      <c r="B231" s="17" t="str">
        <f t="array" ref="B231">index('Hitter Stats'!B:B,match(A231,'Hitter Stats'!A:A,0))</f>
        <v>Justin Turner</v>
      </c>
      <c r="C231" s="14">
        <f t="array" ref="C231">index('Hitter Stats'!F:F,match($A231,'Hitter Stats'!$A:$A,0))-index('2024'!F:F,match($A231,'2024'!$A:$A,0))</f>
        <v>0.014219216</v>
      </c>
      <c r="D231" s="19">
        <f t="array" ref="D231">index('Hitter Stats'!H:H,match($A231,'Hitter Stats'!$A:$A,0))-index('2024'!H:H,match($A231,'2024'!$A:$A,0))</f>
        <v>-1</v>
      </c>
      <c r="E231" s="19">
        <f t="array" ref="E231">index('Hitter Stats'!K:K,match($A231,'Hitter Stats'!$A:$A,0))-index('2024'!K:K,match($A231,'2024'!$A:$A,0))</f>
        <v>-11</v>
      </c>
      <c r="F231" s="19">
        <f t="array" ref="F231">index('Hitter Stats'!L:L,match($A231,'Hitter Stats'!$A:$A,0))-index('2024'!L:L,match($A231,'2024'!$A:$A,0))</f>
        <v>-8</v>
      </c>
      <c r="G231" s="19">
        <f t="array" ref="G231">index('Hitter Stats'!M:M,match($A231,'Hitter Stats'!$A:$A,0))-index('2024'!M:M,match($A231,'2024'!$A:$A,0))</f>
        <v>-15</v>
      </c>
    </row>
    <row r="232">
      <c r="A232" s="11">
        <f>IFERROR(__xludf.DUMMYFUNCTION("""COMPUTED_VALUE"""),514888.0)</f>
        <v>514888</v>
      </c>
      <c r="B232" s="17" t="str">
        <f t="array" ref="B232">index('Hitter Stats'!B:B,match(A232,'Hitter Stats'!A:A,0))</f>
        <v>Jose Altuve</v>
      </c>
      <c r="C232" s="14">
        <f t="array" ref="C232">index('Hitter Stats'!F:F,match($A232,'Hitter Stats'!$A:$A,0))-index('2024'!F:F,match($A232,'2024'!$A:$A,0))</f>
        <v>-0.010411434</v>
      </c>
      <c r="D232" s="19">
        <f t="array" ref="D232">index('Hitter Stats'!H:H,match($A232,'Hitter Stats'!$A:$A,0))-index('2024'!H:H,match($A232,'2024'!$A:$A,0))</f>
        <v>-9</v>
      </c>
      <c r="E232" s="19">
        <f t="array" ref="E232">index('Hitter Stats'!K:K,match($A232,'Hitter Stats'!$A:$A,0))-index('2024'!K:K,match($A232,'2024'!$A:$A,0))</f>
        <v>1</v>
      </c>
      <c r="F232" s="19">
        <f t="array" ref="F232">index('Hitter Stats'!L:L,match($A232,'Hitter Stats'!$A:$A,0))-index('2024'!L:L,match($A232,'2024'!$A:$A,0))</f>
        <v>-7</v>
      </c>
      <c r="G232" s="19">
        <f t="array" ref="G232">index('Hitter Stats'!M:M,match($A232,'Hitter Stats'!$A:$A,0))-index('2024'!M:M,match($A232,'2024'!$A:$A,0))</f>
        <v>-10</v>
      </c>
    </row>
    <row r="233">
      <c r="A233" s="11">
        <f>IFERROR(__xludf.DUMMYFUNCTION("""COMPUTED_VALUE"""),669234.0)</f>
        <v>669234</v>
      </c>
      <c r="B233" s="17" t="str">
        <f t="array" ref="B233">index('Hitter Stats'!B:B,match(A233,'Hitter Stats'!A:A,0))</f>
        <v>Justyn-Henry Malloy</v>
      </c>
      <c r="C233" s="14">
        <f t="array" ref="C233">index('Hitter Stats'!F:F,match($A233,'Hitter Stats'!$A:$A,0))-index('2024'!F:F,match($A233,'2024'!$A:$A,0))</f>
        <v>-0.027000775</v>
      </c>
      <c r="D233" s="19">
        <f t="array" ref="D233">index('Hitter Stats'!H:H,match($A233,'Hitter Stats'!$A:$A,0))-index('2024'!H:H,match($A233,'2024'!$A:$A,0))</f>
        <v>2</v>
      </c>
      <c r="E233" s="19">
        <f t="array" ref="E233">index('Hitter Stats'!K:K,match($A233,'Hitter Stats'!$A:$A,0))-index('2024'!K:K,match($A233,'2024'!$A:$A,0))</f>
        <v>20</v>
      </c>
      <c r="F233" s="19">
        <f t="array" ref="F233">index('Hitter Stats'!L:L,match($A233,'Hitter Stats'!$A:$A,0))-index('2024'!L:L,match($A233,'2024'!$A:$A,0))</f>
        <v>-18</v>
      </c>
      <c r="G233" s="19">
        <f t="array" ref="G233">index('Hitter Stats'!M:M,match($A233,'Hitter Stats'!$A:$A,0))-index('2024'!M:M,match($A233,'2024'!$A:$A,0))</f>
        <v>-5</v>
      </c>
    </row>
    <row r="234">
      <c r="A234" s="11">
        <f>IFERROR(__xludf.DUMMYFUNCTION("""COMPUTED_VALUE"""),686668.0)</f>
        <v>686668</v>
      </c>
      <c r="B234" s="17" t="str">
        <f t="array" ref="B234">index('Hitter Stats'!B:B,match(A234,'Hitter Stats'!A:A,0))</f>
        <v>Brenton Doyle</v>
      </c>
      <c r="C234" s="14">
        <f t="array" ref="C234">index('Hitter Stats'!F:F,match($A234,'Hitter Stats'!$A:$A,0))-index('2024'!F:F,match($A234,'2024'!$A:$A,0))</f>
        <v>-0.027177376</v>
      </c>
      <c r="D234" s="19">
        <f t="array" ref="D234">index('Hitter Stats'!H:H,match($A234,'Hitter Stats'!$A:$A,0))-index('2024'!H:H,match($A234,'2024'!$A:$A,0))</f>
        <v>-9</v>
      </c>
      <c r="E234" s="19">
        <f t="array" ref="E234">index('Hitter Stats'!K:K,match($A234,'Hitter Stats'!$A:$A,0))-index('2024'!K:K,match($A234,'2024'!$A:$A,0))</f>
        <v>6</v>
      </c>
      <c r="F234" s="19">
        <f t="array" ref="F234">index('Hitter Stats'!L:L,match($A234,'Hitter Stats'!$A:$A,0))-index('2024'!L:L,match($A234,'2024'!$A:$A,0))</f>
        <v>-11</v>
      </c>
      <c r="G234" s="19">
        <f t="array" ref="G234">index('Hitter Stats'!M:M,match($A234,'Hitter Stats'!$A:$A,0))-index('2024'!M:M,match($A234,'2024'!$A:$A,0))</f>
        <v>-12</v>
      </c>
    </row>
    <row r="235">
      <c r="A235" s="11">
        <f>IFERROR(__xludf.DUMMYFUNCTION("""COMPUTED_VALUE"""),624641.0)</f>
        <v>624641</v>
      </c>
      <c r="B235" s="17" t="str">
        <f t="array" ref="B235">index('Hitter Stats'!B:B,match(A235,'Hitter Stats'!A:A,0))</f>
        <v>Edmundo Sosa</v>
      </c>
      <c r="C235" s="14">
        <f t="array" ref="C235">index('Hitter Stats'!F:F,match($A235,'Hitter Stats'!$A:$A,0))-index('2024'!F:F,match($A235,'2024'!$A:$A,0))</f>
        <v>-0.007083793</v>
      </c>
      <c r="D235" s="19">
        <f t="array" ref="D235">index('Hitter Stats'!H:H,match($A235,'Hitter Stats'!$A:$A,0))-index('2024'!H:H,match($A235,'2024'!$A:$A,0))</f>
        <v>0</v>
      </c>
      <c r="E235" s="19">
        <f t="array" ref="E235">index('Hitter Stats'!K:K,match($A235,'Hitter Stats'!$A:$A,0))-index('2024'!K:K,match($A235,'2024'!$A:$A,0))</f>
        <v>10</v>
      </c>
      <c r="F235" s="19">
        <f t="array" ref="F235">index('Hitter Stats'!L:L,match($A235,'Hitter Stats'!$A:$A,0))-index('2024'!L:L,match($A235,'2024'!$A:$A,0))</f>
        <v>-7</v>
      </c>
      <c r="G235" s="19">
        <f t="array" ref="G235">index('Hitter Stats'!M:M,match($A235,'Hitter Stats'!$A:$A,0))-index('2024'!M:M,match($A235,'2024'!$A:$A,0))</f>
        <v>0</v>
      </c>
    </row>
    <row r="236">
      <c r="A236" s="11">
        <f>IFERROR(__xludf.DUMMYFUNCTION("""COMPUTED_VALUE"""),666158.0)</f>
        <v>666158</v>
      </c>
      <c r="B236" s="17" t="str">
        <f t="array" ref="B236">index('Hitter Stats'!B:B,match(A236,'Hitter Stats'!A:A,0))</f>
        <v>Gavin Lux</v>
      </c>
      <c r="C236" s="14">
        <f t="array" ref="C236">index('Hitter Stats'!F:F,match($A236,'Hitter Stats'!$A:$A,0))-index('2024'!F:F,match($A236,'2024'!$A:$A,0))</f>
        <v>-0.028946925</v>
      </c>
      <c r="D236" s="19">
        <f t="array" ref="D236">index('Hitter Stats'!H:H,match($A236,'Hitter Stats'!$A:$A,0))-index('2024'!H:H,match($A236,'2024'!$A:$A,0))</f>
        <v>4</v>
      </c>
      <c r="E236" s="19">
        <f t="array" ref="E236">index('Hitter Stats'!K:K,match($A236,'Hitter Stats'!$A:$A,0))-index('2024'!K:K,match($A236,'2024'!$A:$A,0))</f>
        <v>-5</v>
      </c>
      <c r="F236" s="19">
        <f t="array" ref="F236">index('Hitter Stats'!L:L,match($A236,'Hitter Stats'!$A:$A,0))-index('2024'!L:L,match($A236,'2024'!$A:$A,0))</f>
        <v>-7</v>
      </c>
      <c r="G236" s="19">
        <f t="array" ref="G236">index('Hitter Stats'!M:M,match($A236,'Hitter Stats'!$A:$A,0))-index('2024'!M:M,match($A236,'2024'!$A:$A,0))</f>
        <v>-7</v>
      </c>
    </row>
    <row r="237">
      <c r="A237" s="11">
        <f>IFERROR(__xludf.DUMMYFUNCTION("""COMPUTED_VALUE"""),592626.0)</f>
        <v>592626</v>
      </c>
      <c r="B237" s="17" t="str">
        <f t="array" ref="B237">index('Hitter Stats'!B:B,match(A237,'Hitter Stats'!A:A,0))</f>
        <v>Joc Pederson</v>
      </c>
      <c r="C237" s="14">
        <f t="array" ref="C237">index('Hitter Stats'!F:F,match($A237,'Hitter Stats'!$A:$A,0))-index('2024'!F:F,match($A237,'2024'!$A:$A,0))</f>
        <v>0.015023214</v>
      </c>
      <c r="D237" s="19">
        <f t="array" ref="D237">index('Hitter Stats'!H:H,match($A237,'Hitter Stats'!$A:$A,0))-index('2024'!H:H,match($A237,'2024'!$A:$A,0))</f>
        <v>18</v>
      </c>
      <c r="E237" s="19">
        <f t="array" ref="E237">index('Hitter Stats'!K:K,match($A237,'Hitter Stats'!$A:$A,0))-index('2024'!K:K,match($A237,'2024'!$A:$A,0))</f>
        <v>2</v>
      </c>
      <c r="F237" s="19">
        <f t="array" ref="F237">index('Hitter Stats'!L:L,match($A237,'Hitter Stats'!$A:$A,0))-index('2024'!L:L,match($A237,'2024'!$A:$A,0))</f>
        <v>-42</v>
      </c>
      <c r="G237" s="19">
        <f t="array" ref="G237">index('Hitter Stats'!M:M,match($A237,'Hitter Stats'!$A:$A,0))-index('2024'!M:M,match($A237,'2024'!$A:$A,0))</f>
        <v>-28</v>
      </c>
    </row>
    <row r="238">
      <c r="A238" s="11">
        <f>IFERROR(__xludf.DUMMYFUNCTION("""COMPUTED_VALUE"""),672356.0)</f>
        <v>672356</v>
      </c>
      <c r="B238" s="17" t="str">
        <f t="array" ref="B238">index('Hitter Stats'!B:B,match(A238,'Hitter Stats'!A:A,0))</f>
        <v>Gabriel Arias</v>
      </c>
      <c r="C238" s="14">
        <f t="array" ref="C238">index('Hitter Stats'!F:F,match($A238,'Hitter Stats'!$A:$A,0))-index('2024'!F:F,match($A238,'2024'!$A:$A,0))</f>
        <v>0.012361354</v>
      </c>
      <c r="D238" s="19">
        <f t="array" ref="D238">index('Hitter Stats'!H:H,match($A238,'Hitter Stats'!$A:$A,0))-index('2024'!H:H,match($A238,'2024'!$A:$A,0))</f>
        <v>1</v>
      </c>
      <c r="E238" s="19">
        <f t="array" ref="E238">index('Hitter Stats'!K:K,match($A238,'Hitter Stats'!$A:$A,0))-index('2024'!K:K,match($A238,'2024'!$A:$A,0))</f>
        <v>0</v>
      </c>
      <c r="F238" s="19">
        <f t="array" ref="F238">index('Hitter Stats'!L:L,match($A238,'Hitter Stats'!$A:$A,0))-index('2024'!L:L,match($A238,'2024'!$A:$A,0))</f>
        <v>7</v>
      </c>
      <c r="G238" s="19">
        <f t="array" ref="G238">index('Hitter Stats'!M:M,match($A238,'Hitter Stats'!$A:$A,0))-index('2024'!M:M,match($A238,'2024'!$A:$A,0))</f>
        <v>11</v>
      </c>
    </row>
    <row r="239">
      <c r="A239" s="11">
        <f>IFERROR(__xludf.DUMMYFUNCTION("""COMPUTED_VALUE"""),527038.0)</f>
        <v>527038</v>
      </c>
      <c r="B239" s="17" t="str">
        <f t="array" ref="B239">index('Hitter Stats'!B:B,match(A239,'Hitter Stats'!A:A,0))</f>
        <v>Wilmer Flores</v>
      </c>
      <c r="C239" s="14">
        <f t="array" ref="C239">index('Hitter Stats'!F:F,match($A239,'Hitter Stats'!$A:$A,0))-index('2024'!F:F,match($A239,'2024'!$A:$A,0))</f>
        <v>0.006573754</v>
      </c>
      <c r="D239" s="19">
        <f t="array" ref="D239">index('Hitter Stats'!H:H,match($A239,'Hitter Stats'!$A:$A,0))-index('2024'!H:H,match($A239,'2024'!$A:$A,0))</f>
        <v>2</v>
      </c>
      <c r="E239" s="19">
        <f t="array" ref="E239">index('Hitter Stats'!K:K,match($A239,'Hitter Stats'!$A:$A,0))-index('2024'!K:K,match($A239,'2024'!$A:$A,0))</f>
        <v>-17</v>
      </c>
      <c r="F239" s="19">
        <f t="array" ref="F239">index('Hitter Stats'!L:L,match($A239,'Hitter Stats'!$A:$A,0))-index('2024'!L:L,match($A239,'2024'!$A:$A,0))</f>
        <v>-1</v>
      </c>
      <c r="G239" s="19">
        <f t="array" ref="G239">index('Hitter Stats'!M:M,match($A239,'Hitter Stats'!$A:$A,0))-index('2024'!M:M,match($A239,'2024'!$A:$A,0))</f>
        <v>-8</v>
      </c>
    </row>
    <row r="240">
      <c r="A240" s="11">
        <f>IFERROR(__xludf.DUMMYFUNCTION("""COMPUTED_VALUE"""),663538.0)</f>
        <v>663538</v>
      </c>
      <c r="B240" s="17" t="str">
        <f t="array" ref="B240">index('Hitter Stats'!B:B,match(A240,'Hitter Stats'!A:A,0))</f>
        <v>Nico Hoerner</v>
      </c>
      <c r="C240" s="14">
        <f t="array" ref="C240">index('Hitter Stats'!F:F,match($A240,'Hitter Stats'!$A:$A,0))-index('2024'!F:F,match($A240,'2024'!$A:$A,0))</f>
        <v>0.002495922</v>
      </c>
      <c r="D240" s="19">
        <f t="array" ref="D240">index('Hitter Stats'!H:H,match($A240,'Hitter Stats'!$A:$A,0))-index('2024'!H:H,match($A240,'2024'!$A:$A,0))</f>
        <v>-4</v>
      </c>
      <c r="E240" s="19">
        <f t="array" ref="E240">index('Hitter Stats'!K:K,match($A240,'Hitter Stats'!$A:$A,0))-index('2024'!K:K,match($A240,'2024'!$A:$A,0))</f>
        <v>9</v>
      </c>
      <c r="F240" s="19">
        <f t="array" ref="F240">index('Hitter Stats'!L:L,match($A240,'Hitter Stats'!$A:$A,0))-index('2024'!L:L,match($A240,'2024'!$A:$A,0))</f>
        <v>-7</v>
      </c>
      <c r="G240" s="19">
        <f t="array" ref="G240">index('Hitter Stats'!M:M,match($A240,'Hitter Stats'!$A:$A,0))-index('2024'!M:M,match($A240,'2024'!$A:$A,0))</f>
        <v>-10</v>
      </c>
    </row>
    <row r="241">
      <c r="A241" s="11">
        <f>IFERROR(__xludf.DUMMYFUNCTION("""COMPUTED_VALUE"""),687952.0)</f>
        <v>687952</v>
      </c>
      <c r="B241" s="17" t="str">
        <f t="array" ref="B241">index('Hitter Stats'!B:B,match(A241,'Hitter Stats'!A:A,0))</f>
        <v>Christian Encarnacion-Strand</v>
      </c>
      <c r="C241" s="14">
        <f t="array" ref="C241">index('Hitter Stats'!F:F,match($A241,'Hitter Stats'!$A:$A,0))-index('2024'!F:F,match($A241,'2024'!$A:$A,0))</f>
        <v>0.020737102</v>
      </c>
      <c r="D241" s="19">
        <f t="array" ref="D241">index('Hitter Stats'!H:H,match($A241,'Hitter Stats'!$A:$A,0))-index('2024'!H:H,match($A241,'2024'!$A:$A,0))</f>
        <v>6</v>
      </c>
      <c r="E241" s="19">
        <f t="array" ref="E241">index('Hitter Stats'!K:K,match($A241,'Hitter Stats'!$A:$A,0))-index('2024'!K:K,match($A241,'2024'!$A:$A,0))</f>
        <v>0</v>
      </c>
      <c r="F241" s="19">
        <f t="array" ref="F241">index('Hitter Stats'!L:L,match($A241,'Hitter Stats'!$A:$A,0))-index('2024'!L:L,match($A241,'2024'!$A:$A,0))</f>
        <v>-16</v>
      </c>
      <c r="G241" s="19">
        <f t="array" ref="G241">index('Hitter Stats'!M:M,match($A241,'Hitter Stats'!$A:$A,0))-index('2024'!M:M,match($A241,'2024'!$A:$A,0))</f>
        <v>-9</v>
      </c>
    </row>
    <row r="242">
      <c r="A242" s="11">
        <f>IFERROR(__xludf.DUMMYFUNCTION("""COMPUTED_VALUE"""),650333.0)</f>
        <v>650333</v>
      </c>
      <c r="B242" s="17" t="str">
        <f t="array" ref="B242">index('Hitter Stats'!B:B,match(A242,'Hitter Stats'!A:A,0))</f>
        <v>Luis Arraez</v>
      </c>
      <c r="C242" s="14">
        <f t="array" ref="C242">index('Hitter Stats'!F:F,match($A242,'Hitter Stats'!$A:$A,0))-index('2024'!F:F,match($A242,'2024'!$A:$A,0))</f>
        <v>-0.010732091</v>
      </c>
      <c r="D242" s="19">
        <f t="array" ref="D242">index('Hitter Stats'!H:H,match($A242,'Hitter Stats'!$A:$A,0))-index('2024'!H:H,match($A242,'2024'!$A:$A,0))</f>
        <v>5</v>
      </c>
      <c r="E242" s="19">
        <f t="array" ref="E242">index('Hitter Stats'!K:K,match($A242,'Hitter Stats'!$A:$A,0))-index('2024'!K:K,match($A242,'2024'!$A:$A,0))</f>
        <v>0</v>
      </c>
      <c r="F242" s="19">
        <f t="array" ref="F242">index('Hitter Stats'!L:L,match($A242,'Hitter Stats'!$A:$A,0))-index('2024'!L:L,match($A242,'2024'!$A:$A,0))</f>
        <v>-15</v>
      </c>
      <c r="G242" s="19">
        <f t="array" ref="G242">index('Hitter Stats'!M:M,match($A242,'Hitter Stats'!$A:$A,0))-index('2024'!M:M,match($A242,'2024'!$A:$A,0))</f>
        <v>-20</v>
      </c>
    </row>
    <row r="243">
      <c r="A243" s="11">
        <f>IFERROR(__xludf.DUMMYFUNCTION("""COMPUTED_VALUE"""),650489.0)</f>
        <v>650489</v>
      </c>
      <c r="B243" s="17" t="str">
        <f t="array" ref="B243">index('Hitter Stats'!B:B,match(A243,'Hitter Stats'!A:A,0))</f>
        <v>Willi Castro</v>
      </c>
      <c r="C243" s="14">
        <f t="array" ref="C243">index('Hitter Stats'!F:F,match($A243,'Hitter Stats'!$A:$A,0))-index('2024'!F:F,match($A243,'2024'!$A:$A,0))</f>
        <v>-0.014194457</v>
      </c>
      <c r="D243" s="19">
        <f t="array" ref="D243">index('Hitter Stats'!H:H,match($A243,'Hitter Stats'!$A:$A,0))-index('2024'!H:H,match($A243,'2024'!$A:$A,0))</f>
        <v>1</v>
      </c>
      <c r="E243" s="19">
        <f t="array" ref="E243">index('Hitter Stats'!K:K,match($A243,'Hitter Stats'!$A:$A,0))-index('2024'!K:K,match($A243,'2024'!$A:$A,0))</f>
        <v>-7</v>
      </c>
      <c r="F243" s="19">
        <f t="array" ref="F243">index('Hitter Stats'!L:L,match($A243,'Hitter Stats'!$A:$A,0))-index('2024'!L:L,match($A243,'2024'!$A:$A,0))</f>
        <v>-6</v>
      </c>
      <c r="G243" s="19">
        <f t="array" ref="G243">index('Hitter Stats'!M:M,match($A243,'Hitter Stats'!$A:$A,0))-index('2024'!M:M,match($A243,'2024'!$A:$A,0))</f>
        <v>-8</v>
      </c>
    </row>
    <row r="244">
      <c r="A244" s="11">
        <f>IFERROR(__xludf.DUMMYFUNCTION("""COMPUTED_VALUE"""),664774.0)</f>
        <v>664774</v>
      </c>
      <c r="B244" s="17" t="str">
        <f t="array" ref="B244">index('Hitter Stats'!B:B,match(A244,'Hitter Stats'!A:A,0))</f>
        <v>LaMonte Wade Jr.</v>
      </c>
      <c r="C244" s="14">
        <f t="array" ref="C244">index('Hitter Stats'!F:F,match($A244,'Hitter Stats'!$A:$A,0))-index('2024'!F:F,match($A244,'2024'!$A:$A,0))</f>
        <v>-0.033132866</v>
      </c>
      <c r="D244" s="19">
        <f t="array" ref="D244">index('Hitter Stats'!H:H,match($A244,'Hitter Stats'!$A:$A,0))-index('2024'!H:H,match($A244,'2024'!$A:$A,0))</f>
        <v>0</v>
      </c>
      <c r="E244" s="19">
        <f t="array" ref="E244">index('Hitter Stats'!K:K,match($A244,'Hitter Stats'!$A:$A,0))-index('2024'!K:K,match($A244,'2024'!$A:$A,0))</f>
        <v>5</v>
      </c>
      <c r="F244" s="19">
        <f t="array" ref="F244">index('Hitter Stats'!L:L,match($A244,'Hitter Stats'!$A:$A,0))-index('2024'!L:L,match($A244,'2024'!$A:$A,0))</f>
        <v>-33</v>
      </c>
      <c r="G244" s="19">
        <f t="array" ref="G244">index('Hitter Stats'!M:M,match($A244,'Hitter Stats'!$A:$A,0))-index('2024'!M:M,match($A244,'2024'!$A:$A,0))</f>
        <v>-28</v>
      </c>
    </row>
    <row r="245">
      <c r="A245" s="11">
        <f>IFERROR(__xludf.DUMMYFUNCTION("""COMPUTED_VALUE"""),663743.0)</f>
        <v>663743</v>
      </c>
      <c r="B245" s="17" t="str">
        <f t="array" ref="B245">index('Hitter Stats'!B:B,match(A245,'Hitter Stats'!A:A,0))</f>
        <v>Nick Fortes</v>
      </c>
      <c r="C245" s="14">
        <f t="array" ref="C245">index('Hitter Stats'!F:F,match($A245,'Hitter Stats'!$A:$A,0))-index('2024'!F:F,match($A245,'2024'!$A:$A,0))</f>
        <v>-0.019848899</v>
      </c>
      <c r="D245" s="19">
        <f t="array" ref="D245">index('Hitter Stats'!H:H,match($A245,'Hitter Stats'!$A:$A,0))-index('2024'!H:H,match($A245,'2024'!$A:$A,0))</f>
        <v>-5</v>
      </c>
      <c r="E245" s="19">
        <f t="array" ref="E245">index('Hitter Stats'!K:K,match($A245,'Hitter Stats'!$A:$A,0))-index('2024'!K:K,match($A245,'2024'!$A:$A,0))</f>
        <v>-7</v>
      </c>
      <c r="F245" s="19">
        <f t="array" ref="F245">index('Hitter Stats'!L:L,match($A245,'Hitter Stats'!$A:$A,0))-index('2024'!L:L,match($A245,'2024'!$A:$A,0))</f>
        <v>13</v>
      </c>
      <c r="G245" s="19">
        <f t="array" ref="G245">index('Hitter Stats'!M:M,match($A245,'Hitter Stats'!$A:$A,0))-index('2024'!M:M,match($A245,'2024'!$A:$A,0))</f>
        <v>13</v>
      </c>
    </row>
    <row r="246">
      <c r="A246" s="11">
        <f>IFERROR(__xludf.DUMMYFUNCTION("""COMPUTED_VALUE"""),694497.0)</f>
        <v>694497</v>
      </c>
      <c r="B246" s="17" t="str">
        <f t="array" ref="B246">index('Hitter Stats'!B:B,match(A246,'Hitter Stats'!A:A,0))</f>
        <v>Evan Carter</v>
      </c>
      <c r="C246" s="14">
        <f t="array" ref="C246">index('Hitter Stats'!F:F,match($A246,'Hitter Stats'!$A:$A,0))-index('2024'!F:F,match($A246,'2024'!$A:$A,0))</f>
        <v>0.068800147</v>
      </c>
      <c r="D246" s="19">
        <f t="array" ref="D246">index('Hitter Stats'!H:H,match($A246,'Hitter Stats'!$A:$A,0))-index('2024'!H:H,match($A246,'2024'!$A:$A,0))</f>
        <v>25</v>
      </c>
      <c r="E246" s="19">
        <f t="array" ref="E246">index('Hitter Stats'!K:K,match($A246,'Hitter Stats'!$A:$A,0))-index('2024'!K:K,match($A246,'2024'!$A:$A,0))</f>
        <v>-2</v>
      </c>
      <c r="F246" s="19">
        <f t="array" ref="F246">index('Hitter Stats'!L:L,match($A246,'Hitter Stats'!$A:$A,0))-index('2024'!L:L,match($A246,'2024'!$A:$A,0))</f>
        <v>-1</v>
      </c>
      <c r="G246" s="19">
        <f t="array" ref="G246">index('Hitter Stats'!M:M,match($A246,'Hitter Stats'!$A:$A,0))-index('2024'!M:M,match($A246,'2024'!$A:$A,0))</f>
        <v>6</v>
      </c>
    </row>
    <row r="247">
      <c r="A247" s="11">
        <f>IFERROR(__xludf.DUMMYFUNCTION("""COMPUTED_VALUE"""),641584.0)</f>
        <v>641584</v>
      </c>
      <c r="B247" s="17" t="str">
        <f t="array" ref="B247">index('Hitter Stats'!B:B,match(A247,'Hitter Stats'!A:A,0))</f>
        <v>Jake Fraley</v>
      </c>
      <c r="C247" s="14">
        <f t="array" ref="C247">index('Hitter Stats'!F:F,match($A247,'Hitter Stats'!$A:$A,0))-index('2024'!F:F,match($A247,'2024'!$A:$A,0))</f>
        <v>-0.090638556</v>
      </c>
      <c r="D247" s="19">
        <f t="array" ref="D247">index('Hitter Stats'!H:H,match($A247,'Hitter Stats'!$A:$A,0))-index('2024'!H:H,match($A247,'2024'!$A:$A,0))</f>
        <v>11</v>
      </c>
      <c r="E247" s="19">
        <f t="array" ref="E247">index('Hitter Stats'!K:K,match($A247,'Hitter Stats'!$A:$A,0))-index('2024'!K:K,match($A247,'2024'!$A:$A,0))</f>
        <v>10</v>
      </c>
      <c r="F247" s="19">
        <f t="array" ref="F247">index('Hitter Stats'!L:L,match($A247,'Hitter Stats'!$A:$A,0))-index('2024'!L:L,match($A247,'2024'!$A:$A,0))</f>
        <v>-7</v>
      </c>
      <c r="G247" s="19">
        <f t="array" ref="G247">index('Hitter Stats'!M:M,match($A247,'Hitter Stats'!$A:$A,0))-index('2024'!M:M,match($A247,'2024'!$A:$A,0))</f>
        <v>7</v>
      </c>
    </row>
    <row r="248">
      <c r="A248" s="11">
        <f>IFERROR(__xludf.DUMMYFUNCTION("""COMPUTED_VALUE"""),543309.0)</f>
        <v>543309</v>
      </c>
      <c r="B248" s="17" t="str">
        <f t="array" ref="B248">index('Hitter Stats'!B:B,match(A248,'Hitter Stats'!A:A,0))</f>
        <v>Kyle Higashioka</v>
      </c>
      <c r="C248" s="14">
        <f t="array" ref="C248">index('Hitter Stats'!F:F,match($A248,'Hitter Stats'!$A:$A,0))-index('2024'!F:F,match($A248,'2024'!$A:$A,0))</f>
        <v>-0.010453844</v>
      </c>
      <c r="D248" s="19">
        <f t="array" ref="D248">index('Hitter Stats'!H:H,match($A248,'Hitter Stats'!$A:$A,0))-index('2024'!H:H,match($A248,'2024'!$A:$A,0))</f>
        <v>14</v>
      </c>
      <c r="E248" s="19">
        <f t="array" ref="E248">index('Hitter Stats'!K:K,match($A248,'Hitter Stats'!$A:$A,0))-index('2024'!K:K,match($A248,'2024'!$A:$A,0))</f>
        <v>17</v>
      </c>
      <c r="F248" s="19">
        <f t="array" ref="F248">index('Hitter Stats'!L:L,match($A248,'Hitter Stats'!$A:$A,0))-index('2024'!L:L,match($A248,'2024'!$A:$A,0))</f>
        <v>-26</v>
      </c>
      <c r="G248" s="19">
        <f t="array" ref="G248">index('Hitter Stats'!M:M,match($A248,'Hitter Stats'!$A:$A,0))-index('2024'!M:M,match($A248,'2024'!$A:$A,0))</f>
        <v>-14</v>
      </c>
    </row>
    <row r="249">
      <c r="A249" s="11">
        <f>IFERROR(__xludf.DUMMYFUNCTION("""COMPUTED_VALUE"""),666023.0)</f>
        <v>666023</v>
      </c>
      <c r="B249" s="17" t="str">
        <f t="array" ref="B249">index('Hitter Stats'!B:B,match(A249,'Hitter Stats'!A:A,0))</f>
        <v>Freddy Fermin</v>
      </c>
      <c r="C249" s="14">
        <f t="array" ref="C249">index('Hitter Stats'!F:F,match($A249,'Hitter Stats'!$A:$A,0))-index('2024'!F:F,match($A249,'2024'!$A:$A,0))</f>
        <v>-0.010948217</v>
      </c>
      <c r="D249" s="19">
        <f t="array" ref="D249">index('Hitter Stats'!H:H,match($A249,'Hitter Stats'!$A:$A,0))-index('2024'!H:H,match($A249,'2024'!$A:$A,0))</f>
        <v>-3</v>
      </c>
      <c r="E249" s="19">
        <f t="array" ref="E249">index('Hitter Stats'!K:K,match($A249,'Hitter Stats'!$A:$A,0))-index('2024'!K:K,match($A249,'2024'!$A:$A,0))</f>
        <v>-1</v>
      </c>
      <c r="F249" s="19">
        <f t="array" ref="F249">index('Hitter Stats'!L:L,match($A249,'Hitter Stats'!$A:$A,0))-index('2024'!L:L,match($A249,'2024'!$A:$A,0))</f>
        <v>-2</v>
      </c>
      <c r="G249" s="19">
        <f t="array" ref="G249">index('Hitter Stats'!M:M,match($A249,'Hitter Stats'!$A:$A,0))-index('2024'!M:M,match($A249,'2024'!$A:$A,0))</f>
        <v>-5</v>
      </c>
    </row>
    <row r="250">
      <c r="A250" s="11">
        <f>IFERROR(__xludf.DUMMYFUNCTION("""COMPUTED_VALUE"""),670770.0)</f>
        <v>670770</v>
      </c>
      <c r="B250" s="17" t="str">
        <f t="array" ref="B250">index('Hitter Stats'!B:B,match(A250,'Hitter Stats'!A:A,0))</f>
        <v>TJ Friedl</v>
      </c>
      <c r="C250" s="14">
        <f t="array" ref="C250">index('Hitter Stats'!F:F,match($A250,'Hitter Stats'!$A:$A,0))-index('2024'!F:F,match($A250,'2024'!$A:$A,0))</f>
        <v>-0.048401045</v>
      </c>
      <c r="D250" s="19">
        <f t="array" ref="D250">index('Hitter Stats'!H:H,match($A250,'Hitter Stats'!$A:$A,0))-index('2024'!H:H,match($A250,'2024'!$A:$A,0))</f>
        <v>9</v>
      </c>
      <c r="E250" s="19">
        <f t="array" ref="E250">index('Hitter Stats'!K:K,match($A250,'Hitter Stats'!$A:$A,0))-index('2024'!K:K,match($A250,'2024'!$A:$A,0))</f>
        <v>-3</v>
      </c>
      <c r="F250" s="19">
        <f t="array" ref="F250">index('Hitter Stats'!L:L,match($A250,'Hitter Stats'!$A:$A,0))-index('2024'!L:L,match($A250,'2024'!$A:$A,0))</f>
        <v>-1</v>
      </c>
      <c r="G250" s="19">
        <f t="array" ref="G250">index('Hitter Stats'!M:M,match($A250,'Hitter Stats'!$A:$A,0))-index('2024'!M:M,match($A250,'2024'!$A:$A,0))</f>
        <v>1</v>
      </c>
    </row>
    <row r="251">
      <c r="A251" s="11">
        <f>IFERROR(__xludf.DUMMYFUNCTION("""COMPUTED_VALUE"""),609280.0)</f>
        <v>609280</v>
      </c>
      <c r="B251" s="17" t="str">
        <f t="array" ref="B251">index('Hitter Stats'!B:B,match(A251,'Hitter Stats'!A:A,0))</f>
        <v>Miguel Andujar</v>
      </c>
      <c r="C251" s="14">
        <f t="array" ref="C251">index('Hitter Stats'!F:F,match($A251,'Hitter Stats'!$A:$A,0))-index('2024'!F:F,match($A251,'2024'!$A:$A,0))</f>
        <v>0.041992774</v>
      </c>
      <c r="D251" s="19">
        <f t="array" ref="D251">index('Hitter Stats'!H:H,match($A251,'Hitter Stats'!$A:$A,0))-index('2024'!H:H,match($A251,'2024'!$A:$A,0))</f>
        <v>11</v>
      </c>
      <c r="E251" s="19">
        <f t="array" ref="E251">index('Hitter Stats'!K:K,match($A251,'Hitter Stats'!$A:$A,0))-index('2024'!K:K,match($A251,'2024'!$A:$A,0))</f>
        <v>-8</v>
      </c>
      <c r="F251" s="19">
        <f t="array" ref="F251">index('Hitter Stats'!L:L,match($A251,'Hitter Stats'!$A:$A,0))-index('2024'!L:L,match($A251,'2024'!$A:$A,0))</f>
        <v>-4</v>
      </c>
      <c r="G251" s="19">
        <f t="array" ref="G251">index('Hitter Stats'!M:M,match($A251,'Hitter Stats'!$A:$A,0))-index('2024'!M:M,match($A251,'2024'!$A:$A,0))</f>
        <v>-5</v>
      </c>
    </row>
    <row r="252">
      <c r="A252" s="11">
        <f>IFERROR(__xludf.DUMMYFUNCTION("""COMPUTED_VALUE"""),624431.0)</f>
        <v>624431</v>
      </c>
      <c r="B252" s="17" t="str">
        <f t="array" ref="B252">index('Hitter Stats'!B:B,match(A252,'Hitter Stats'!A:A,0))</f>
        <v>Jose Trevino</v>
      </c>
      <c r="C252" s="14">
        <f t="array" ref="C252">index('Hitter Stats'!F:F,match($A252,'Hitter Stats'!$A:$A,0))-index('2024'!F:F,match($A252,'2024'!$A:$A,0))</f>
        <v>0.071728844</v>
      </c>
      <c r="D252" s="19">
        <f t="array" ref="D252">index('Hitter Stats'!H:H,match($A252,'Hitter Stats'!$A:$A,0))-index('2024'!H:H,match($A252,'2024'!$A:$A,0))</f>
        <v>-16</v>
      </c>
      <c r="E252" s="19">
        <f t="array" ref="E252">index('Hitter Stats'!K:K,match($A252,'Hitter Stats'!$A:$A,0))-index('2024'!K:K,match($A252,'2024'!$A:$A,0))</f>
        <v>8</v>
      </c>
      <c r="F252" s="19">
        <f t="array" ref="F252">index('Hitter Stats'!L:L,match($A252,'Hitter Stats'!$A:$A,0))-index('2024'!L:L,match($A252,'2024'!$A:$A,0))</f>
        <v>5</v>
      </c>
      <c r="G252" s="19">
        <f t="array" ref="G252">index('Hitter Stats'!M:M,match($A252,'Hitter Stats'!$A:$A,0))-index('2024'!M:M,match($A252,'2024'!$A:$A,0))</f>
        <v>0</v>
      </c>
    </row>
    <row r="253">
      <c r="A253" s="11">
        <f>IFERROR(__xludf.DUMMYFUNCTION("""COMPUTED_VALUE"""),624428.0)</f>
        <v>624428</v>
      </c>
      <c r="B253" s="17" t="str">
        <f t="array" ref="B253">index('Hitter Stats'!B:B,match(A253,'Hitter Stats'!A:A,0))</f>
        <v>Adam Frazier</v>
      </c>
      <c r="C253" s="14">
        <f t="array" ref="C253">index('Hitter Stats'!F:F,match($A253,'Hitter Stats'!$A:$A,0))-index('2024'!F:F,match($A253,'2024'!$A:$A,0))</f>
        <v>0.040934057</v>
      </c>
      <c r="D253" s="19">
        <f t="array" ref="D253">index('Hitter Stats'!H:H,match($A253,'Hitter Stats'!$A:$A,0))-index('2024'!H:H,match($A253,'2024'!$A:$A,0))</f>
        <v>-10</v>
      </c>
      <c r="E253" s="19">
        <f t="array" ref="E253">index('Hitter Stats'!K:K,match($A253,'Hitter Stats'!$A:$A,0))-index('2024'!K:K,match($A253,'2024'!$A:$A,0))</f>
        <v>4</v>
      </c>
      <c r="F253" s="19">
        <f t="array" ref="F253">index('Hitter Stats'!L:L,match($A253,'Hitter Stats'!$A:$A,0))-index('2024'!L:L,match($A253,'2024'!$A:$A,0))</f>
        <v>-6</v>
      </c>
      <c r="G253" s="19">
        <f t="array" ref="G253">index('Hitter Stats'!M:M,match($A253,'Hitter Stats'!$A:$A,0))-index('2024'!M:M,match($A253,'2024'!$A:$A,0))</f>
        <v>-10</v>
      </c>
    </row>
    <row r="254">
      <c r="A254" s="11">
        <f>IFERROR(__xludf.DUMMYFUNCTION("""COMPUTED_VALUE"""),668901.0)</f>
        <v>668901</v>
      </c>
      <c r="B254" s="17" t="str">
        <f t="array" ref="B254">index('Hitter Stats'!B:B,match(A254,'Hitter Stats'!A:A,0))</f>
        <v>Mark Vientos</v>
      </c>
      <c r="C254" s="14">
        <f t="array" ref="C254">index('Hitter Stats'!F:F,match($A254,'Hitter Stats'!$A:$A,0))-index('2024'!F:F,match($A254,'2024'!$A:$A,0))</f>
        <v>0.019860835</v>
      </c>
      <c r="D254" s="19">
        <f t="array" ref="D254">index('Hitter Stats'!H:H,match($A254,'Hitter Stats'!$A:$A,0))-index('2024'!H:H,match($A254,'2024'!$A:$A,0))</f>
        <v>-5</v>
      </c>
      <c r="E254" s="19">
        <f t="array" ref="E254">index('Hitter Stats'!K:K,match($A254,'Hitter Stats'!$A:$A,0))-index('2024'!K:K,match($A254,'2024'!$A:$A,0))</f>
        <v>10</v>
      </c>
      <c r="F254" s="19">
        <f t="array" ref="F254">index('Hitter Stats'!L:L,match($A254,'Hitter Stats'!$A:$A,0))-index('2024'!L:L,match($A254,'2024'!$A:$A,0))</f>
        <v>-32</v>
      </c>
      <c r="G254" s="19">
        <f t="array" ref="G254">index('Hitter Stats'!M:M,match($A254,'Hitter Stats'!$A:$A,0))-index('2024'!M:M,match($A254,'2024'!$A:$A,0))</f>
        <v>-26</v>
      </c>
    </row>
    <row r="255">
      <c r="A255" s="11">
        <f>IFERROR(__xludf.DUMMYFUNCTION("""COMPUTED_VALUE"""),623993.0)</f>
        <v>623993</v>
      </c>
      <c r="B255" s="17" t="str">
        <f t="array" ref="B255">index('Hitter Stats'!B:B,match(A255,'Hitter Stats'!A:A,0))</f>
        <v>Anthony Santander</v>
      </c>
      <c r="C255" s="14">
        <f t="array" ref="C255">index('Hitter Stats'!F:F,match($A255,'Hitter Stats'!$A:$A,0))-index('2024'!F:F,match($A255,'2024'!$A:$A,0))</f>
        <v>-0.012950132</v>
      </c>
      <c r="D255" s="19">
        <f t="array" ref="D255">index('Hitter Stats'!H:H,match($A255,'Hitter Stats'!$A:$A,0))-index('2024'!H:H,match($A255,'2024'!$A:$A,0))</f>
        <v>9</v>
      </c>
      <c r="E255" s="19">
        <f t="array" ref="E255">index('Hitter Stats'!K:K,match($A255,'Hitter Stats'!$A:$A,0))-index('2024'!K:K,match($A255,'2024'!$A:$A,0))</f>
        <v>-5</v>
      </c>
      <c r="F255" s="19">
        <f t="array" ref="F255">index('Hitter Stats'!L:L,match($A255,'Hitter Stats'!$A:$A,0))-index('2024'!L:L,match($A255,'2024'!$A:$A,0))</f>
        <v>-15</v>
      </c>
      <c r="G255" s="19">
        <f t="array" ref="G255">index('Hitter Stats'!M:M,match($A255,'Hitter Stats'!$A:$A,0))-index('2024'!M:M,match($A255,'2024'!$A:$A,0))</f>
        <v>-13</v>
      </c>
    </row>
    <row r="256">
      <c r="A256" s="11">
        <f>IFERROR(__xludf.DUMMYFUNCTION("""COMPUTED_VALUE"""),571448.0)</f>
        <v>571448</v>
      </c>
      <c r="B256" s="17" t="str">
        <f t="array" ref="B256">index('Hitter Stats'!B:B,match(A256,'Hitter Stats'!A:A,0))</f>
        <v>Nolan Arenado</v>
      </c>
      <c r="C256" s="14">
        <f t="array" ref="C256">index('Hitter Stats'!F:F,match($A256,'Hitter Stats'!$A:$A,0))-index('2024'!F:F,match($A256,'2024'!$A:$A,0))</f>
        <v>0.017991188</v>
      </c>
      <c r="D256" s="19">
        <f t="array" ref="D256">index('Hitter Stats'!H:H,match($A256,'Hitter Stats'!$A:$A,0))-index('2024'!H:H,match($A256,'2024'!$A:$A,0))</f>
        <v>1</v>
      </c>
      <c r="E256" s="19">
        <f t="array" ref="E256">index('Hitter Stats'!K:K,match($A256,'Hitter Stats'!$A:$A,0))-index('2024'!K:K,match($A256,'2024'!$A:$A,0))</f>
        <v>7</v>
      </c>
      <c r="F256" s="19">
        <f t="array" ref="F256">index('Hitter Stats'!L:L,match($A256,'Hitter Stats'!$A:$A,0))-index('2024'!L:L,match($A256,'2024'!$A:$A,0))</f>
        <v>-10</v>
      </c>
      <c r="G256" s="19">
        <f t="array" ref="G256">index('Hitter Stats'!M:M,match($A256,'Hitter Stats'!$A:$A,0))-index('2024'!M:M,match($A256,'2024'!$A:$A,0))</f>
        <v>-11</v>
      </c>
    </row>
    <row r="257">
      <c r="A257" s="11">
        <f>IFERROR(__xludf.DUMMYFUNCTION("""COMPUTED_VALUE"""),595879.0)</f>
        <v>595879</v>
      </c>
      <c r="B257" s="17" t="str">
        <f t="array" ref="B257">index('Hitter Stats'!B:B,match(A257,'Hitter Stats'!A:A,0))</f>
        <v>Javier Báez</v>
      </c>
      <c r="C257" s="14">
        <f t="array" ref="C257">index('Hitter Stats'!F:F,match($A257,'Hitter Stats'!$A:$A,0))-index('2024'!F:F,match($A257,'2024'!$A:$A,0))</f>
        <v>0.007775307</v>
      </c>
      <c r="D257" s="19">
        <f t="array" ref="D257">index('Hitter Stats'!H:H,match($A257,'Hitter Stats'!$A:$A,0))-index('2024'!H:H,match($A257,'2024'!$A:$A,0))</f>
        <v>7</v>
      </c>
      <c r="E257" s="19">
        <f t="array" ref="E257">index('Hitter Stats'!K:K,match($A257,'Hitter Stats'!$A:$A,0))-index('2024'!K:K,match($A257,'2024'!$A:$A,0))</f>
        <v>-3</v>
      </c>
      <c r="F257" s="19">
        <f t="array" ref="F257">index('Hitter Stats'!L:L,match($A257,'Hitter Stats'!$A:$A,0))-index('2024'!L:L,match($A257,'2024'!$A:$A,0))</f>
        <v>4</v>
      </c>
      <c r="G257" s="19">
        <f t="array" ref="G257">index('Hitter Stats'!M:M,match($A257,'Hitter Stats'!$A:$A,0))-index('2024'!M:M,match($A257,'2024'!$A:$A,0))</f>
        <v>9</v>
      </c>
    </row>
    <row r="258">
      <c r="A258" s="11">
        <f>IFERROR(__xludf.DUMMYFUNCTION("""COMPUTED_VALUE"""),676609.0)</f>
        <v>676609</v>
      </c>
      <c r="B258" s="17" t="str">
        <f t="array" ref="B258">index('Hitter Stats'!B:B,match(A258,'Hitter Stats'!A:A,0))</f>
        <v>José Caballero</v>
      </c>
      <c r="C258" s="14">
        <f t="array" ref="C258">index('Hitter Stats'!F:F,match($A258,'Hitter Stats'!$A:$A,0))-index('2024'!F:F,match($A258,'2024'!$A:$A,0))</f>
        <v>-0.042904604</v>
      </c>
      <c r="D258" s="19">
        <f t="array" ref="D258">index('Hitter Stats'!H:H,match($A258,'Hitter Stats'!$A:$A,0))-index('2024'!H:H,match($A258,'2024'!$A:$A,0))</f>
        <v>4</v>
      </c>
      <c r="E258" s="19">
        <f t="array" ref="E258">index('Hitter Stats'!K:K,match($A258,'Hitter Stats'!$A:$A,0))-index('2024'!K:K,match($A258,'2024'!$A:$A,0))</f>
        <v>-3</v>
      </c>
      <c r="F258" s="19">
        <f t="array" ref="F258">index('Hitter Stats'!L:L,match($A258,'Hitter Stats'!$A:$A,0))-index('2024'!L:L,match($A258,'2024'!$A:$A,0))</f>
        <v>-2</v>
      </c>
      <c r="G258" s="19">
        <f t="array" ref="G258">index('Hitter Stats'!M:M,match($A258,'Hitter Stats'!$A:$A,0))-index('2024'!M:M,match($A258,'2024'!$A:$A,0))</f>
        <v>0</v>
      </c>
    </row>
    <row r="259">
      <c r="A259" s="11">
        <f>IFERROR(__xludf.DUMMYFUNCTION("""COMPUTED_VALUE"""),691023.0)</f>
        <v>691023</v>
      </c>
      <c r="B259" s="17" t="str">
        <f t="array" ref="B259">index('Hitter Stats'!B:B,match(A259,'Hitter Stats'!A:A,0))</f>
        <v>Jordan Walker</v>
      </c>
      <c r="C259" s="14">
        <f t="array" ref="C259">index('Hitter Stats'!F:F,match($A259,'Hitter Stats'!$A:$A,0))-index('2024'!F:F,match($A259,'2024'!$A:$A,0))</f>
        <v>-0.004405128</v>
      </c>
      <c r="D259" s="19">
        <f t="array" ref="D259">index('Hitter Stats'!H:H,match($A259,'Hitter Stats'!$A:$A,0))-index('2024'!H:H,match($A259,'2024'!$A:$A,0))</f>
        <v>-21</v>
      </c>
      <c r="E259" s="19">
        <f t="array" ref="E259">index('Hitter Stats'!K:K,match($A259,'Hitter Stats'!$A:$A,0))-index('2024'!K:K,match($A259,'2024'!$A:$A,0))</f>
        <v>3</v>
      </c>
      <c r="F259" s="19">
        <f t="array" ref="F259">index('Hitter Stats'!L:L,match($A259,'Hitter Stats'!$A:$A,0))-index('2024'!L:L,match($A259,'2024'!$A:$A,0))</f>
        <v>3</v>
      </c>
      <c r="G259" s="19">
        <f t="array" ref="G259">index('Hitter Stats'!M:M,match($A259,'Hitter Stats'!$A:$A,0))-index('2024'!M:M,match($A259,'2024'!$A:$A,0))</f>
        <v>-5</v>
      </c>
    </row>
    <row r="260">
      <c r="A260" s="11">
        <f>IFERROR(__xludf.DUMMYFUNCTION("""COMPUTED_VALUE"""),664238.0)</f>
        <v>664238</v>
      </c>
      <c r="B260" s="17" t="str">
        <f t="array" ref="B260">index('Hitter Stats'!B:B,match(A260,'Hitter Stats'!A:A,0))</f>
        <v>Dylan Moore</v>
      </c>
      <c r="C260" s="14">
        <f t="array" ref="C260">index('Hitter Stats'!F:F,match($A260,'Hitter Stats'!$A:$A,0))-index('2024'!F:F,match($A260,'2024'!$A:$A,0))</f>
        <v>0.053047838</v>
      </c>
      <c r="D260" s="19">
        <f t="array" ref="D260">index('Hitter Stats'!H:H,match($A260,'Hitter Stats'!$A:$A,0))-index('2024'!H:H,match($A260,'2024'!$A:$A,0))</f>
        <v>-21</v>
      </c>
      <c r="E260" s="19">
        <f t="array" ref="E260">index('Hitter Stats'!K:K,match($A260,'Hitter Stats'!$A:$A,0))-index('2024'!K:K,match($A260,'2024'!$A:$A,0))</f>
        <v>-14</v>
      </c>
      <c r="F260" s="19">
        <f t="array" ref="F260">index('Hitter Stats'!L:L,match($A260,'Hitter Stats'!$A:$A,0))-index('2024'!L:L,match($A260,'2024'!$A:$A,0))</f>
        <v>10</v>
      </c>
      <c r="G260" s="19">
        <f t="array" ref="G260">index('Hitter Stats'!M:M,match($A260,'Hitter Stats'!$A:$A,0))-index('2024'!M:M,match($A260,'2024'!$A:$A,0))</f>
        <v>-11</v>
      </c>
    </row>
    <row r="261">
      <c r="A261" s="11">
        <f>IFERROR(__xludf.DUMMYFUNCTION("""COMPUTED_VALUE"""),621438.0)</f>
        <v>621438</v>
      </c>
      <c r="B261" s="17" t="str">
        <f t="array" ref="B261">index('Hitter Stats'!B:B,match(A261,'Hitter Stats'!A:A,0))</f>
        <v>Tyrone Taylor</v>
      </c>
      <c r="C261" s="14">
        <f t="array" ref="C261">index('Hitter Stats'!F:F,match($A261,'Hitter Stats'!$A:$A,0))-index('2024'!F:F,match($A261,'2024'!$A:$A,0))</f>
        <v>-0.013766302</v>
      </c>
      <c r="D261" s="19">
        <f t="array" ref="D261">index('Hitter Stats'!H:H,match($A261,'Hitter Stats'!$A:$A,0))-index('2024'!H:H,match($A261,'2024'!$A:$A,0))</f>
        <v>1</v>
      </c>
      <c r="E261" s="19">
        <f t="array" ref="E261">index('Hitter Stats'!K:K,match($A261,'Hitter Stats'!$A:$A,0))-index('2024'!K:K,match($A261,'2024'!$A:$A,0))</f>
        <v>5</v>
      </c>
      <c r="F261" s="19">
        <f t="array" ref="F261">index('Hitter Stats'!L:L,match($A261,'Hitter Stats'!$A:$A,0))-index('2024'!L:L,match($A261,'2024'!$A:$A,0))</f>
        <v>-16</v>
      </c>
      <c r="G261" s="19">
        <f t="array" ref="G261">index('Hitter Stats'!M:M,match($A261,'Hitter Stats'!$A:$A,0))-index('2024'!M:M,match($A261,'2024'!$A:$A,0))</f>
        <v>-14</v>
      </c>
    </row>
    <row r="262">
      <c r="A262" s="11">
        <f>IFERROR(__xludf.DUMMYFUNCTION("""COMPUTED_VALUE"""),647351.0)</f>
        <v>647351</v>
      </c>
      <c r="B262" s="17" t="str">
        <f t="array" ref="B262">index('Hitter Stats'!B:B,match(A262,'Hitter Stats'!A:A,0))</f>
        <v>Abraham Toro</v>
      </c>
      <c r="C262" s="14">
        <f t="array" ref="C262">index('Hitter Stats'!F:F,match($A262,'Hitter Stats'!$A:$A,0))-index('2024'!F:F,match($A262,'2024'!$A:$A,0))</f>
        <v>0.025175962</v>
      </c>
      <c r="D262" s="19">
        <f t="array" ref="D262">index('Hitter Stats'!H:H,match($A262,'Hitter Stats'!$A:$A,0))-index('2024'!H:H,match($A262,'2024'!$A:$A,0))</f>
        <v>-10</v>
      </c>
      <c r="E262" s="19">
        <f t="array" ref="E262">index('Hitter Stats'!K:K,match($A262,'Hitter Stats'!$A:$A,0))-index('2024'!K:K,match($A262,'2024'!$A:$A,0))</f>
        <v>-2</v>
      </c>
      <c r="F262" s="19">
        <f t="array" ref="F262">index('Hitter Stats'!L:L,match($A262,'Hitter Stats'!$A:$A,0))-index('2024'!L:L,match($A262,'2024'!$A:$A,0))</f>
        <v>0</v>
      </c>
      <c r="G262" s="19">
        <f t="array" ref="G262">index('Hitter Stats'!M:M,match($A262,'Hitter Stats'!$A:$A,0))-index('2024'!M:M,match($A262,'2024'!$A:$A,0))</f>
        <v>-4</v>
      </c>
    </row>
    <row r="263">
      <c r="A263" s="11">
        <f>IFERROR(__xludf.DUMMYFUNCTION("""COMPUTED_VALUE"""),668715.0)</f>
        <v>668715</v>
      </c>
      <c r="B263" s="17" t="str">
        <f t="array" ref="B263">index('Hitter Stats'!B:B,match(A263,'Hitter Stats'!A:A,0))</f>
        <v>Spencer Steer</v>
      </c>
      <c r="C263" s="14">
        <f t="array" ref="C263">index('Hitter Stats'!F:F,match($A263,'Hitter Stats'!$A:$A,0))-index('2024'!F:F,match($A263,'2024'!$A:$A,0))</f>
        <v>-0.003655808</v>
      </c>
      <c r="D263" s="19">
        <f t="array" ref="D263">index('Hitter Stats'!H:H,match($A263,'Hitter Stats'!$A:$A,0))-index('2024'!H:H,match($A263,'2024'!$A:$A,0))</f>
        <v>-1</v>
      </c>
      <c r="E263" s="19">
        <f t="array" ref="E263">index('Hitter Stats'!K:K,match($A263,'Hitter Stats'!$A:$A,0))-index('2024'!K:K,match($A263,'2024'!$A:$A,0))</f>
        <v>-11</v>
      </c>
      <c r="F263" s="19">
        <f t="array" ref="F263">index('Hitter Stats'!L:L,match($A263,'Hitter Stats'!$A:$A,0))-index('2024'!L:L,match($A263,'2024'!$A:$A,0))</f>
        <v>-8</v>
      </c>
      <c r="G263" s="19">
        <f t="array" ref="G263">index('Hitter Stats'!M:M,match($A263,'Hitter Stats'!$A:$A,0))-index('2024'!M:M,match($A263,'2024'!$A:$A,0))</f>
        <v>-16</v>
      </c>
    </row>
    <row r="264">
      <c r="A264" s="11">
        <f>IFERROR(__xludf.DUMMYFUNCTION("""COMPUTED_VALUE"""),686217.0)</f>
        <v>686217</v>
      </c>
      <c r="B264" s="17" t="str">
        <f t="array" ref="B264">index('Hitter Stats'!B:B,match(A264,'Hitter Stats'!A:A,0))</f>
        <v>Sal Frelick</v>
      </c>
      <c r="C264" s="14">
        <f t="array" ref="C264">index('Hitter Stats'!F:F,match($A264,'Hitter Stats'!$A:$A,0))-index('2024'!F:F,match($A264,'2024'!$A:$A,0))</f>
        <v>0.00050771</v>
      </c>
      <c r="D264" s="19">
        <f t="array" ref="D264">index('Hitter Stats'!H:H,match($A264,'Hitter Stats'!$A:$A,0))-index('2024'!H:H,match($A264,'2024'!$A:$A,0))</f>
        <v>-4</v>
      </c>
      <c r="E264" s="19">
        <f t="array" ref="E264">index('Hitter Stats'!K:K,match($A264,'Hitter Stats'!$A:$A,0))-index('2024'!K:K,match($A264,'2024'!$A:$A,0))</f>
        <v>-2</v>
      </c>
      <c r="F264" s="19">
        <f t="array" ref="F264">index('Hitter Stats'!L:L,match($A264,'Hitter Stats'!$A:$A,0))-index('2024'!L:L,match($A264,'2024'!$A:$A,0))</f>
        <v>-1</v>
      </c>
      <c r="G264" s="19">
        <f t="array" ref="G264">index('Hitter Stats'!M:M,match($A264,'Hitter Stats'!$A:$A,0))-index('2024'!M:M,match($A264,'2024'!$A:$A,0))</f>
        <v>-6</v>
      </c>
    </row>
    <row r="265">
      <c r="A265" s="11">
        <f>IFERROR(__xludf.DUMMYFUNCTION("""COMPUTED_VALUE"""),642136.0)</f>
        <v>642136</v>
      </c>
      <c r="B265" s="17" t="str">
        <f t="array" ref="B265">index('Hitter Stats'!B:B,match(A265,'Hitter Stats'!A:A,0))</f>
        <v>Matt Thaiss</v>
      </c>
      <c r="C265" s="14">
        <f t="array" ref="C265">index('Hitter Stats'!F:F,match($A265,'Hitter Stats'!$A:$A,0))-index('2024'!F:F,match($A265,'2024'!$A:$A,0))</f>
        <v>0.025077522</v>
      </c>
      <c r="D265" s="19">
        <f t="array" ref="D265">index('Hitter Stats'!H:H,match($A265,'Hitter Stats'!$A:$A,0))-index('2024'!H:H,match($A265,'2024'!$A:$A,0))</f>
        <v>7</v>
      </c>
      <c r="E265" s="19">
        <f t="array" ref="E265">index('Hitter Stats'!K:K,match($A265,'Hitter Stats'!$A:$A,0))-index('2024'!K:K,match($A265,'2024'!$A:$A,0))</f>
        <v>12</v>
      </c>
      <c r="F265" s="19">
        <f t="array" ref="F265">index('Hitter Stats'!L:L,match($A265,'Hitter Stats'!$A:$A,0))-index('2024'!L:L,match($A265,'2024'!$A:$A,0))</f>
        <v>-22</v>
      </c>
      <c r="G265" s="19">
        <f t="array" ref="G265">index('Hitter Stats'!M:M,match($A265,'Hitter Stats'!$A:$A,0))-index('2024'!M:M,match($A265,'2024'!$A:$A,0))</f>
        <v>-10</v>
      </c>
    </row>
    <row r="266">
      <c r="A266" s="11">
        <f>IFERROR(__xludf.DUMMYFUNCTION("""COMPUTED_VALUE"""),681460.0)</f>
        <v>681460</v>
      </c>
      <c r="B266" s="17" t="str">
        <f t="array" ref="B266">index('Hitter Stats'!B:B,match(A266,'Hitter Stats'!A:A,0))</f>
        <v>Brooks Baldwin</v>
      </c>
      <c r="C266" s="14">
        <f t="array" ref="C266">index('Hitter Stats'!F:F,match($A266,'Hitter Stats'!$A:$A,0))-index('2024'!F:F,match($A266,'2024'!$A:$A,0))</f>
        <v>-0.056583568</v>
      </c>
      <c r="D266" s="19">
        <f t="array" ref="D266">index('Hitter Stats'!H:H,match($A266,'Hitter Stats'!$A:$A,0))-index('2024'!H:H,match($A266,'2024'!$A:$A,0))</f>
        <v>-12</v>
      </c>
      <c r="E266" s="19">
        <f t="array" ref="E266">index('Hitter Stats'!K:K,match($A266,'Hitter Stats'!$A:$A,0))-index('2024'!K:K,match($A266,'2024'!$A:$A,0))</f>
        <v>-1</v>
      </c>
      <c r="F266" s="19">
        <f t="array" ref="F266">index('Hitter Stats'!L:L,match($A266,'Hitter Stats'!$A:$A,0))-index('2024'!L:L,match($A266,'2024'!$A:$A,0))</f>
        <v>5</v>
      </c>
      <c r="G266" s="19">
        <f t="array" ref="G266">index('Hitter Stats'!M:M,match($A266,'Hitter Stats'!$A:$A,0))-index('2024'!M:M,match($A266,'2024'!$A:$A,0))</f>
        <v>4</v>
      </c>
    </row>
    <row r="267">
      <c r="A267" s="11">
        <f>IFERROR(__xludf.DUMMYFUNCTION("""COMPUTED_VALUE"""),671739.0)</f>
        <v>671739</v>
      </c>
      <c r="B267" s="17" t="str">
        <f t="array" ref="B267">index('Hitter Stats'!B:B,match(A267,'Hitter Stats'!A:A,0))</f>
        <v>Michael Harris II</v>
      </c>
      <c r="C267" s="14">
        <f t="array" ref="C267">index('Hitter Stats'!F:F,match($A267,'Hitter Stats'!$A:$A,0))-index('2024'!F:F,match($A267,'2024'!$A:$A,0))</f>
        <v>0.015586319</v>
      </c>
      <c r="D267" s="19">
        <f t="array" ref="D267">index('Hitter Stats'!H:H,match($A267,'Hitter Stats'!$A:$A,0))-index('2024'!H:H,match($A267,'2024'!$A:$A,0))</f>
        <v>-11</v>
      </c>
      <c r="E267" s="19">
        <f t="array" ref="E267">index('Hitter Stats'!K:K,match($A267,'Hitter Stats'!$A:$A,0))-index('2024'!K:K,match($A267,'2024'!$A:$A,0))</f>
        <v>-1</v>
      </c>
      <c r="F267" s="19">
        <f t="array" ref="F267">index('Hitter Stats'!L:L,match($A267,'Hitter Stats'!$A:$A,0))-index('2024'!L:L,match($A267,'2024'!$A:$A,0))</f>
        <v>-14</v>
      </c>
      <c r="G267" s="19">
        <f t="array" ref="G267">index('Hitter Stats'!M:M,match($A267,'Hitter Stats'!$A:$A,0))-index('2024'!M:M,match($A267,'2024'!$A:$A,0))</f>
        <v>-21</v>
      </c>
    </row>
    <row r="268">
      <c r="A268" s="11">
        <f>IFERROR(__xludf.DUMMYFUNCTION("""COMPUTED_VALUE"""),669911.0)</f>
        <v>669911</v>
      </c>
      <c r="B268" s="17" t="str">
        <f t="array" ref="B268">index('Hitter Stats'!B:B,match(A268,'Hitter Stats'!A:A,0))</f>
        <v>Michael Toglia</v>
      </c>
      <c r="C268" s="14">
        <f t="array" ref="C268">index('Hitter Stats'!F:F,match($A268,'Hitter Stats'!$A:$A,0))-index('2024'!F:F,match($A268,'2024'!$A:$A,0))</f>
        <v>0.03114497</v>
      </c>
      <c r="D268" s="19">
        <f t="array" ref="D268">index('Hitter Stats'!H:H,match($A268,'Hitter Stats'!$A:$A,0))-index('2024'!H:H,match($A268,'2024'!$A:$A,0))</f>
        <v>-16</v>
      </c>
      <c r="E268" s="19">
        <f t="array" ref="E268">index('Hitter Stats'!K:K,match($A268,'Hitter Stats'!$A:$A,0))-index('2024'!K:K,match($A268,'2024'!$A:$A,0))</f>
        <v>-18</v>
      </c>
      <c r="F268" s="19">
        <f t="array" ref="F268">index('Hitter Stats'!L:L,match($A268,'Hitter Stats'!$A:$A,0))-index('2024'!L:L,match($A268,'2024'!$A:$A,0))</f>
        <v>-22</v>
      </c>
      <c r="G268" s="19">
        <f t="array" ref="G268">index('Hitter Stats'!M:M,match($A268,'Hitter Stats'!$A:$A,0))-index('2024'!M:M,match($A268,'2024'!$A:$A,0))</f>
        <v>-32</v>
      </c>
    </row>
    <row r="269">
      <c r="A269" s="11">
        <f>IFERROR(__xludf.DUMMYFUNCTION("""COMPUTED_VALUE"""),592192.0)</f>
        <v>592192</v>
      </c>
      <c r="B269" s="17" t="str">
        <f t="array" ref="B269">index('Hitter Stats'!B:B,match(A269,'Hitter Stats'!A:A,0))</f>
        <v>Mark Canha</v>
      </c>
      <c r="C269" s="14">
        <f t="array" ref="C269">index('Hitter Stats'!F:F,match($A269,'Hitter Stats'!$A:$A,0))-index('2024'!F:F,match($A269,'2024'!$A:$A,0))</f>
        <v>0.040189427</v>
      </c>
      <c r="D269" s="19">
        <f t="array" ref="D269">index('Hitter Stats'!H:H,match($A269,'Hitter Stats'!$A:$A,0))-index('2024'!H:H,match($A269,'2024'!$A:$A,0))</f>
        <v>-16</v>
      </c>
      <c r="E269" s="19">
        <f t="array" ref="E269">index('Hitter Stats'!K:K,match($A269,'Hitter Stats'!$A:$A,0))-index('2024'!K:K,match($A269,'2024'!$A:$A,0))</f>
        <v>9</v>
      </c>
      <c r="F269" s="19">
        <f t="array" ref="F269">index('Hitter Stats'!L:L,match($A269,'Hitter Stats'!$A:$A,0))-index('2024'!L:L,match($A269,'2024'!$A:$A,0))</f>
        <v>-5</v>
      </c>
      <c r="G269" s="19">
        <f t="array" ref="G269">index('Hitter Stats'!M:M,match($A269,'Hitter Stats'!$A:$A,0))-index('2024'!M:M,match($A269,'2024'!$A:$A,0))</f>
        <v>-11</v>
      </c>
    </row>
    <row r="270">
      <c r="A270" s="11">
        <f>IFERROR(__xludf.DUMMYFUNCTION("""COMPUTED_VALUE"""),670764.0)</f>
        <v>670764</v>
      </c>
      <c r="B270" s="17" t="str">
        <f t="array" ref="B270">index('Hitter Stats'!B:B,match(A270,'Hitter Stats'!A:A,0))</f>
        <v>Taylor Walls</v>
      </c>
      <c r="C270" s="14">
        <f t="array" ref="C270">index('Hitter Stats'!F:F,match($A270,'Hitter Stats'!$A:$A,0))-index('2024'!F:F,match($A270,'2024'!$A:$A,0))</f>
        <v>-0.040258652</v>
      </c>
      <c r="D270" s="19">
        <f t="array" ref="D270">index('Hitter Stats'!H:H,match($A270,'Hitter Stats'!$A:$A,0))-index('2024'!H:H,match($A270,'2024'!$A:$A,0))</f>
        <v>2</v>
      </c>
      <c r="E270" s="19">
        <f t="array" ref="E270">index('Hitter Stats'!K:K,match($A270,'Hitter Stats'!$A:$A,0))-index('2024'!K:K,match($A270,'2024'!$A:$A,0))</f>
        <v>8</v>
      </c>
      <c r="F270" s="19">
        <f t="array" ref="F270">index('Hitter Stats'!L:L,match($A270,'Hitter Stats'!$A:$A,0))-index('2024'!L:L,match($A270,'2024'!$A:$A,0))</f>
        <v>3</v>
      </c>
      <c r="G270" s="19">
        <f t="array" ref="G270">index('Hitter Stats'!M:M,match($A270,'Hitter Stats'!$A:$A,0))-index('2024'!M:M,match($A270,'2024'!$A:$A,0))</f>
        <v>3</v>
      </c>
    </row>
    <row r="271">
      <c r="A271" s="11">
        <f>IFERROR(__xludf.DUMMYFUNCTION("""COMPUTED_VALUE"""),677587.0)</f>
        <v>677587</v>
      </c>
      <c r="B271" s="17" t="str">
        <f t="array" ref="B271">index('Hitter Stats'!B:B,match(A271,'Hitter Stats'!A:A,0))</f>
        <v>Brayan Rocchio</v>
      </c>
      <c r="C271" s="14">
        <f t="array" ref="C271">index('Hitter Stats'!F:F,match($A271,'Hitter Stats'!$A:$A,0))-index('2024'!F:F,match($A271,'2024'!$A:$A,0))</f>
        <v>0.039692928</v>
      </c>
      <c r="D271" s="19">
        <f t="array" ref="D271">index('Hitter Stats'!H:H,match($A271,'Hitter Stats'!$A:$A,0))-index('2024'!H:H,match($A271,'2024'!$A:$A,0))</f>
        <v>-4</v>
      </c>
      <c r="E271" s="19">
        <f t="array" ref="E271">index('Hitter Stats'!K:K,match($A271,'Hitter Stats'!$A:$A,0))-index('2024'!K:K,match($A271,'2024'!$A:$A,0))</f>
        <v>3</v>
      </c>
      <c r="F271" s="19">
        <f t="array" ref="F271">index('Hitter Stats'!L:L,match($A271,'Hitter Stats'!$A:$A,0))-index('2024'!L:L,match($A271,'2024'!$A:$A,0))</f>
        <v>5</v>
      </c>
      <c r="G271" s="19">
        <f t="array" ref="G271">index('Hitter Stats'!M:M,match($A271,'Hitter Stats'!$A:$A,0))-index('2024'!M:M,match($A271,'2024'!$A:$A,0))</f>
        <v>5</v>
      </c>
    </row>
    <row r="272">
      <c r="A272" s="11">
        <f>IFERROR(__xludf.DUMMYFUNCTION("""COMPUTED_VALUE"""),676391.0)</f>
        <v>676391</v>
      </c>
      <c r="B272" s="17" t="str">
        <f t="array" ref="B272">index('Hitter Stats'!B:B,match(A272,'Hitter Stats'!A:A,0))</f>
        <v>Ernie Clement</v>
      </c>
      <c r="C272" s="14">
        <f t="array" ref="C272">index('Hitter Stats'!F:F,match($A272,'Hitter Stats'!$A:$A,0))-index('2024'!F:F,match($A272,'2024'!$A:$A,0))</f>
        <v>-0.015000495</v>
      </c>
      <c r="D272" s="19">
        <f t="array" ref="D272">index('Hitter Stats'!H:H,match($A272,'Hitter Stats'!$A:$A,0))-index('2024'!H:H,match($A272,'2024'!$A:$A,0))</f>
        <v>6</v>
      </c>
      <c r="E272" s="19">
        <f t="array" ref="E272">index('Hitter Stats'!K:K,match($A272,'Hitter Stats'!$A:$A,0))-index('2024'!K:K,match($A272,'2024'!$A:$A,0))</f>
        <v>-6</v>
      </c>
      <c r="F272" s="19">
        <f t="array" ref="F272">index('Hitter Stats'!L:L,match($A272,'Hitter Stats'!$A:$A,0))-index('2024'!L:L,match($A272,'2024'!$A:$A,0))</f>
        <v>-3</v>
      </c>
      <c r="G272" s="19">
        <f t="array" ref="G272">index('Hitter Stats'!M:M,match($A272,'Hitter Stats'!$A:$A,0))-index('2024'!M:M,match($A272,'2024'!$A:$A,0))</f>
        <v>-5</v>
      </c>
    </row>
    <row r="273">
      <c r="A273" s="11">
        <f>IFERROR(__xludf.DUMMYFUNCTION("""COMPUTED_VALUE"""),643396.0)</f>
        <v>643396</v>
      </c>
      <c r="B273" s="17" t="str">
        <f t="array" ref="B273">index('Hitter Stats'!B:B,match(A273,'Hitter Stats'!A:A,0))</f>
        <v>Isiah Kiner-Falefa</v>
      </c>
      <c r="C273" s="14">
        <f t="array" ref="C273">index('Hitter Stats'!F:F,match($A273,'Hitter Stats'!$A:$A,0))-index('2024'!F:F,match($A273,'2024'!$A:$A,0))</f>
        <v>0.010327228</v>
      </c>
      <c r="D273" s="19">
        <f t="array" ref="D273">index('Hitter Stats'!H:H,match($A273,'Hitter Stats'!$A:$A,0))-index('2024'!H:H,match($A273,'2024'!$A:$A,0))</f>
        <v>2</v>
      </c>
      <c r="E273" s="19">
        <f t="array" ref="E273">index('Hitter Stats'!K:K,match($A273,'Hitter Stats'!$A:$A,0))-index('2024'!K:K,match($A273,'2024'!$A:$A,0))</f>
        <v>-7</v>
      </c>
      <c r="F273" s="19">
        <f t="array" ref="F273">index('Hitter Stats'!L:L,match($A273,'Hitter Stats'!$A:$A,0))-index('2024'!L:L,match($A273,'2024'!$A:$A,0))</f>
        <v>-5</v>
      </c>
      <c r="G273" s="19">
        <f t="array" ref="G273">index('Hitter Stats'!M:M,match($A273,'Hitter Stats'!$A:$A,0))-index('2024'!M:M,match($A273,'2024'!$A:$A,0))</f>
        <v>-8</v>
      </c>
    </row>
    <row r="274">
      <c r="A274" s="11">
        <f>IFERROR(__xludf.DUMMYFUNCTION("""COMPUTED_VALUE"""),669364.0)</f>
        <v>669364</v>
      </c>
      <c r="B274" s="17" t="str">
        <f t="array" ref="B274">index('Hitter Stats'!B:B,match(A274,'Hitter Stats'!A:A,0))</f>
        <v>Xavier Edwards</v>
      </c>
      <c r="C274" s="14">
        <f t="array" ref="C274">index('Hitter Stats'!F:F,match($A274,'Hitter Stats'!$A:$A,0))-index('2024'!F:F,match($A274,'2024'!$A:$A,0))</f>
        <v>0.006604525</v>
      </c>
      <c r="D274" s="19">
        <f t="array" ref="D274">index('Hitter Stats'!H:H,match($A274,'Hitter Stats'!$A:$A,0))-index('2024'!H:H,match($A274,'2024'!$A:$A,0))</f>
        <v>-15</v>
      </c>
      <c r="E274" s="19">
        <f t="array" ref="E274">index('Hitter Stats'!K:K,match($A274,'Hitter Stats'!$A:$A,0))-index('2024'!K:K,match($A274,'2024'!$A:$A,0))</f>
        <v>7</v>
      </c>
      <c r="F274" s="19">
        <f t="array" ref="F274">index('Hitter Stats'!L:L,match($A274,'Hitter Stats'!$A:$A,0))-index('2024'!L:L,match($A274,'2024'!$A:$A,0))</f>
        <v>-10</v>
      </c>
      <c r="G274" s="19">
        <f t="array" ref="G274">index('Hitter Stats'!M:M,match($A274,'Hitter Stats'!$A:$A,0))-index('2024'!M:M,match($A274,'2024'!$A:$A,0))</f>
        <v>-20</v>
      </c>
    </row>
    <row r="275">
      <c r="A275" s="11">
        <f>IFERROR(__xludf.DUMMYFUNCTION("""COMPUTED_VALUE"""),641680.0)</f>
        <v>641680</v>
      </c>
      <c r="B275" s="17" t="str">
        <f t="array" ref="B275">index('Hitter Stats'!B:B,match(A275,'Hitter Stats'!A:A,0))</f>
        <v>Jonah Heim</v>
      </c>
      <c r="C275" s="14">
        <f t="array" ref="C275">index('Hitter Stats'!F:F,match($A275,'Hitter Stats'!$A:$A,0))-index('2024'!F:F,match($A275,'2024'!$A:$A,0))</f>
        <v>-0.051905123</v>
      </c>
      <c r="D275" s="19">
        <f t="array" ref="D275">index('Hitter Stats'!H:H,match($A275,'Hitter Stats'!$A:$A,0))-index('2024'!H:H,match($A275,'2024'!$A:$A,0))</f>
        <v>1</v>
      </c>
      <c r="E275" s="19">
        <f t="array" ref="E275">index('Hitter Stats'!K:K,match($A275,'Hitter Stats'!$A:$A,0))-index('2024'!K:K,match($A275,'2024'!$A:$A,0))</f>
        <v>-9</v>
      </c>
      <c r="F275" s="19">
        <f t="array" ref="F275">index('Hitter Stats'!L:L,match($A275,'Hitter Stats'!$A:$A,0))-index('2024'!L:L,match($A275,'2024'!$A:$A,0))</f>
        <v>1</v>
      </c>
      <c r="G275" s="19">
        <f t="array" ref="G275">index('Hitter Stats'!M:M,match($A275,'Hitter Stats'!$A:$A,0))-index('2024'!M:M,match($A275,'2024'!$A:$A,0))</f>
        <v>-1</v>
      </c>
    </row>
    <row r="276">
      <c r="A276" s="11">
        <f>IFERROR(__xludf.DUMMYFUNCTION("""COMPUTED_VALUE"""),578428.0)</f>
        <v>578428</v>
      </c>
      <c r="B276" s="17" t="str">
        <f t="array" ref="B276">index('Hitter Stats'!B:B,match(A276,'Hitter Stats'!A:A,0))</f>
        <v>Jose Iglesias</v>
      </c>
      <c r="C276" s="14">
        <f t="array" ref="C276">index('Hitter Stats'!F:F,match($A276,'Hitter Stats'!$A:$A,0))-index('2024'!F:F,match($A276,'2024'!$A:$A,0))</f>
        <v>-0.088689369</v>
      </c>
      <c r="D276" s="19">
        <f t="array" ref="D276">index('Hitter Stats'!H:H,match($A276,'Hitter Stats'!$A:$A,0))-index('2024'!H:H,match($A276,'2024'!$A:$A,0))</f>
        <v>-13</v>
      </c>
      <c r="E276" s="19">
        <f t="array" ref="E276">index('Hitter Stats'!K:K,match($A276,'Hitter Stats'!$A:$A,0))-index('2024'!K:K,match($A276,'2024'!$A:$A,0))</f>
        <v>6</v>
      </c>
      <c r="F276" s="19">
        <f t="array" ref="F276">index('Hitter Stats'!L:L,match($A276,'Hitter Stats'!$A:$A,0))-index('2024'!L:L,match($A276,'2024'!$A:$A,0))</f>
        <v>-18</v>
      </c>
      <c r="G276" s="19">
        <f t="array" ref="G276">index('Hitter Stats'!M:M,match($A276,'Hitter Stats'!$A:$A,0))-index('2024'!M:M,match($A276,'2024'!$A:$A,0))</f>
        <v>-25</v>
      </c>
    </row>
    <row r="277">
      <c r="A277" s="11">
        <f>IFERROR(__xludf.DUMMYFUNCTION("""COMPUTED_VALUE"""),500743.0)</f>
        <v>500743</v>
      </c>
      <c r="B277" s="17" t="str">
        <f t="array" ref="B277">index('Hitter Stats'!B:B,match(A277,'Hitter Stats'!A:A,0))</f>
        <v>Miguel Rojas</v>
      </c>
      <c r="C277" s="14">
        <f t="array" ref="C277">index('Hitter Stats'!F:F,match($A277,'Hitter Stats'!$A:$A,0))-index('2024'!F:F,match($A277,'2024'!$A:$A,0))</f>
        <v>0.000575973</v>
      </c>
      <c r="D277" s="19">
        <f t="array" ref="D277">index('Hitter Stats'!H:H,match($A277,'Hitter Stats'!$A:$A,0))-index('2024'!H:H,match($A277,'2024'!$A:$A,0))</f>
        <v>-10</v>
      </c>
      <c r="E277" s="19">
        <f t="array" ref="E277">index('Hitter Stats'!K:K,match($A277,'Hitter Stats'!$A:$A,0))-index('2024'!K:K,match($A277,'2024'!$A:$A,0))</f>
        <v>-10</v>
      </c>
      <c r="F277" s="19">
        <f t="array" ref="F277">index('Hitter Stats'!L:L,match($A277,'Hitter Stats'!$A:$A,0))-index('2024'!L:L,match($A277,'2024'!$A:$A,0))</f>
        <v>-13</v>
      </c>
      <c r="G277" s="19">
        <f t="array" ref="G277">index('Hitter Stats'!M:M,match($A277,'Hitter Stats'!$A:$A,0))-index('2024'!M:M,match($A277,'2024'!$A:$A,0))</f>
        <v>-26</v>
      </c>
    </row>
    <row r="278">
      <c r="A278" s="11">
        <f>IFERROR(__xludf.DUMMYFUNCTION("""COMPUTED_VALUE"""),656180.0)</f>
        <v>656180</v>
      </c>
      <c r="B278" s="17" t="str">
        <f t="array" ref="B278">index('Hitter Stats'!B:B,match(A278,'Hitter Stats'!A:A,0))</f>
        <v>Riley Adams</v>
      </c>
      <c r="C278" s="14">
        <f t="array" ref="C278">index('Hitter Stats'!F:F,match($A278,'Hitter Stats'!$A:$A,0))-index('2024'!F:F,match($A278,'2024'!$A:$A,0))</f>
        <v>0.025958572</v>
      </c>
      <c r="D278" s="19">
        <f t="array" ref="D278">index('Hitter Stats'!H:H,match($A278,'Hitter Stats'!$A:$A,0))-index('2024'!H:H,match($A278,'2024'!$A:$A,0))</f>
        <v>-19</v>
      </c>
      <c r="E278" s="19">
        <f t="array" ref="E278">index('Hitter Stats'!K:K,match($A278,'Hitter Stats'!$A:$A,0))-index('2024'!K:K,match($A278,'2024'!$A:$A,0))</f>
        <v>-39</v>
      </c>
      <c r="F278" s="19">
        <f t="array" ref="F278">index('Hitter Stats'!L:L,match($A278,'Hitter Stats'!$A:$A,0))-index('2024'!L:L,match($A278,'2024'!$A:$A,0))</f>
        <v>17</v>
      </c>
      <c r="G278" s="19">
        <f t="array" ref="G278">index('Hitter Stats'!M:M,match($A278,'Hitter Stats'!$A:$A,0))-index('2024'!M:M,match($A278,'2024'!$A:$A,0))</f>
        <v>-16</v>
      </c>
    </row>
    <row r="279">
      <c r="A279" s="11">
        <f>IFERROR(__xludf.DUMMYFUNCTION("""COMPUTED_VALUE"""),669289.0)</f>
        <v>669289</v>
      </c>
      <c r="B279" s="17" t="str">
        <f t="array" ref="B279">index('Hitter Stats'!B:B,match(A279,'Hitter Stats'!A:A,0))</f>
        <v>Santiago Espinal</v>
      </c>
      <c r="C279" s="14">
        <f t="array" ref="C279">index('Hitter Stats'!F:F,match($A279,'Hitter Stats'!$A:$A,0))-index('2024'!F:F,match($A279,'2024'!$A:$A,0))</f>
        <v>-0.047746218</v>
      </c>
      <c r="D279" s="19">
        <f t="array" ref="D279">index('Hitter Stats'!H:H,match($A279,'Hitter Stats'!$A:$A,0))-index('2024'!H:H,match($A279,'2024'!$A:$A,0))</f>
        <v>5</v>
      </c>
      <c r="E279" s="19">
        <f t="array" ref="E279">index('Hitter Stats'!K:K,match($A279,'Hitter Stats'!$A:$A,0))-index('2024'!K:K,match($A279,'2024'!$A:$A,0))</f>
        <v>3</v>
      </c>
      <c r="F279" s="19">
        <f t="array" ref="F279">index('Hitter Stats'!L:L,match($A279,'Hitter Stats'!$A:$A,0))-index('2024'!L:L,match($A279,'2024'!$A:$A,0))</f>
        <v>-11</v>
      </c>
      <c r="G279" s="19">
        <f t="array" ref="G279">index('Hitter Stats'!M:M,match($A279,'Hitter Stats'!$A:$A,0))-index('2024'!M:M,match($A279,'2024'!$A:$A,0))</f>
        <v>-12</v>
      </c>
    </row>
    <row r="280">
      <c r="A280" s="11">
        <f>IFERROR(__xludf.DUMMYFUNCTION("""COMPUTED_VALUE"""),571657.0)</f>
        <v>571657</v>
      </c>
      <c r="B280" s="17" t="str">
        <f t="array" ref="B280">index('Hitter Stats'!B:B,match(A280,'Hitter Stats'!A:A,0))</f>
        <v>Kyle Farmer</v>
      </c>
      <c r="C280" s="14">
        <f t="array" ref="C280">index('Hitter Stats'!F:F,match($A280,'Hitter Stats'!$A:$A,0))-index('2024'!F:F,match($A280,'2024'!$A:$A,0))</f>
        <v>-0.015118695</v>
      </c>
      <c r="D280" s="19">
        <f t="array" ref="D280">index('Hitter Stats'!H:H,match($A280,'Hitter Stats'!$A:$A,0))-index('2024'!H:H,match($A280,'2024'!$A:$A,0))</f>
        <v>-5</v>
      </c>
      <c r="E280" s="19">
        <f t="array" ref="E280">index('Hitter Stats'!K:K,match($A280,'Hitter Stats'!$A:$A,0))-index('2024'!K:K,match($A280,'2024'!$A:$A,0))</f>
        <v>-14</v>
      </c>
      <c r="F280" s="19">
        <f t="array" ref="F280">index('Hitter Stats'!L:L,match($A280,'Hitter Stats'!$A:$A,0))-index('2024'!L:L,match($A280,'2024'!$A:$A,0))</f>
        <v>-3</v>
      </c>
      <c r="G280" s="19">
        <f t="array" ref="G280">index('Hitter Stats'!M:M,match($A280,'Hitter Stats'!$A:$A,0))-index('2024'!M:M,match($A280,'2024'!$A:$A,0))</f>
        <v>-14</v>
      </c>
    </row>
    <row r="281">
      <c r="A281" s="11">
        <f>IFERROR(__xludf.DUMMYFUNCTION("""COMPUTED_VALUE"""),686797.0)</f>
        <v>686797</v>
      </c>
      <c r="B281" s="17" t="str">
        <f t="array" ref="B281">index('Hitter Stats'!B:B,match(A281,'Hitter Stats'!A:A,0))</f>
        <v>Brooks Lee</v>
      </c>
      <c r="C281" s="14">
        <f t="array" ref="C281">index('Hitter Stats'!F:F,match($A281,'Hitter Stats'!$A:$A,0))-index('2024'!F:F,match($A281,'2024'!$A:$A,0))</f>
        <v>-0.008762451</v>
      </c>
      <c r="D281" s="19">
        <f t="array" ref="D281">index('Hitter Stats'!H:H,match($A281,'Hitter Stats'!$A:$A,0))-index('2024'!H:H,match($A281,'2024'!$A:$A,0))</f>
        <v>14</v>
      </c>
      <c r="E281" s="19">
        <f t="array" ref="E281">index('Hitter Stats'!K:K,match($A281,'Hitter Stats'!$A:$A,0))-index('2024'!K:K,match($A281,'2024'!$A:$A,0))</f>
        <v>-19</v>
      </c>
      <c r="F281" s="19">
        <f t="array" ref="F281">index('Hitter Stats'!L:L,match($A281,'Hitter Stats'!$A:$A,0))-index('2024'!L:L,match($A281,'2024'!$A:$A,0))</f>
        <v>-5</v>
      </c>
      <c r="G281" s="19">
        <f t="array" ref="G281">index('Hitter Stats'!M:M,match($A281,'Hitter Stats'!$A:$A,0))-index('2024'!M:M,match($A281,'2024'!$A:$A,0))</f>
        <v>-7</v>
      </c>
    </row>
    <row r="282">
      <c r="A282" s="11">
        <f>IFERROR(__xludf.DUMMYFUNCTION("""COMPUTED_VALUE"""),687401.0)</f>
        <v>687401</v>
      </c>
      <c r="B282" s="17" t="str">
        <f t="array" ref="B282">index('Hitter Stats'!B:B,match(A282,'Hitter Stats'!A:A,0))</f>
        <v>Joey Ortiz</v>
      </c>
      <c r="C282" s="14">
        <f t="array" ref="C282">index('Hitter Stats'!F:F,match($A282,'Hitter Stats'!$A:$A,0))-index('2024'!F:F,match($A282,'2024'!$A:$A,0))</f>
        <v>0.041510296</v>
      </c>
      <c r="D282" s="19">
        <f t="array" ref="D282">index('Hitter Stats'!H:H,match($A282,'Hitter Stats'!$A:$A,0))-index('2024'!H:H,match($A282,'2024'!$A:$A,0))</f>
        <v>-13</v>
      </c>
      <c r="E282" s="19">
        <f t="array" ref="E282">index('Hitter Stats'!K:K,match($A282,'Hitter Stats'!$A:$A,0))-index('2024'!K:K,match($A282,'2024'!$A:$A,0))</f>
        <v>9</v>
      </c>
      <c r="F282" s="19">
        <f t="array" ref="F282">index('Hitter Stats'!L:L,match($A282,'Hitter Stats'!$A:$A,0))-index('2024'!L:L,match($A282,'2024'!$A:$A,0))</f>
        <v>-9</v>
      </c>
      <c r="G282" s="19">
        <f t="array" ref="G282">index('Hitter Stats'!M:M,match($A282,'Hitter Stats'!$A:$A,0))-index('2024'!M:M,match($A282,'2024'!$A:$A,0))</f>
        <v>-15</v>
      </c>
    </row>
    <row r="283">
      <c r="A283" s="11">
        <f>IFERROR(__xludf.DUMMYFUNCTION("""COMPUTED_VALUE"""),672275.0)</f>
        <v>672275</v>
      </c>
      <c r="B283" s="17" t="str">
        <f t="array" ref="B283">index('Hitter Stats'!B:B,match(A283,'Hitter Stats'!A:A,0))</f>
        <v>Patrick Bailey</v>
      </c>
      <c r="C283" s="14">
        <f t="array" ref="C283">index('Hitter Stats'!F:F,match($A283,'Hitter Stats'!$A:$A,0))-index('2024'!F:F,match($A283,'2024'!$A:$A,0))</f>
        <v>-0.002059931</v>
      </c>
      <c r="D283" s="19">
        <f t="array" ref="D283">index('Hitter Stats'!H:H,match($A283,'Hitter Stats'!$A:$A,0))-index('2024'!H:H,match($A283,'2024'!$A:$A,0))</f>
        <v>-5</v>
      </c>
      <c r="E283" s="19">
        <f t="array" ref="E283">index('Hitter Stats'!K:K,match($A283,'Hitter Stats'!$A:$A,0))-index('2024'!K:K,match($A283,'2024'!$A:$A,0))</f>
        <v>-17</v>
      </c>
      <c r="F283" s="19">
        <f t="array" ref="F283">index('Hitter Stats'!L:L,match($A283,'Hitter Stats'!$A:$A,0))-index('2024'!L:L,match($A283,'2024'!$A:$A,0))</f>
        <v>-14</v>
      </c>
      <c r="G283" s="19">
        <f t="array" ref="G283">index('Hitter Stats'!M:M,match($A283,'Hitter Stats'!$A:$A,0))-index('2024'!M:M,match($A283,'2024'!$A:$A,0))</f>
        <v>-24</v>
      </c>
    </row>
    <row r="284">
      <c r="A284" s="11">
        <f>IFERROR(__xludf.DUMMYFUNCTION("""COMPUTED_VALUE"""),645444.0)</f>
        <v>645444</v>
      </c>
      <c r="B284" s="17" t="str">
        <f t="array" ref="B284">index('Hitter Stats'!B:B,match(A284,'Hitter Stats'!A:A,0))</f>
        <v>Jose Herrera</v>
      </c>
      <c r="C284" s="14">
        <f t="array" ref="C284">index('Hitter Stats'!F:F,match($A284,'Hitter Stats'!$A:$A,0))-index('2024'!F:F,match($A284,'2024'!$A:$A,0))</f>
        <v>-0.0194436</v>
      </c>
      <c r="D284" s="19">
        <f t="array" ref="D284">index('Hitter Stats'!H:H,match($A284,'Hitter Stats'!$A:$A,0))-index('2024'!H:H,match($A284,'2024'!$A:$A,0))</f>
        <v>3</v>
      </c>
      <c r="E284" s="19">
        <f t="array" ref="E284">index('Hitter Stats'!K:K,match($A284,'Hitter Stats'!$A:$A,0))-index('2024'!K:K,match($A284,'2024'!$A:$A,0))</f>
        <v>4</v>
      </c>
      <c r="F284" s="19">
        <f t="array" ref="F284">index('Hitter Stats'!L:L,match($A284,'Hitter Stats'!$A:$A,0))-index('2024'!L:L,match($A284,'2024'!$A:$A,0))</f>
        <v>-10</v>
      </c>
      <c r="G284" s="19">
        <f t="array" ref="G284">index('Hitter Stats'!M:M,match($A284,'Hitter Stats'!$A:$A,0))-index('2024'!M:M,match($A284,'2024'!$A:$A,0))</f>
        <v>-6</v>
      </c>
    </row>
    <row r="285">
      <c r="A285" s="11">
        <f>IFERROR(__xludf.DUMMYFUNCTION("""COMPUTED_VALUE"""),642731.0)</f>
        <v>642731</v>
      </c>
      <c r="B285" s="17" t="str">
        <f t="array" ref="B285">index('Hitter Stats'!B:B,match(A285,'Hitter Stats'!A:A,0))</f>
        <v>Thairo Estrada</v>
      </c>
      <c r="C285" s="14">
        <f t="array" ref="C285">index('Hitter Stats'!F:F,match($A285,'Hitter Stats'!$A:$A,0))-index('2024'!F:F,match($A285,'2024'!$A:$A,0))</f>
        <v>0.012640308</v>
      </c>
      <c r="D285" s="19">
        <f t="array" ref="D285">index('Hitter Stats'!H:H,match($A285,'Hitter Stats'!$A:$A,0))-index('2024'!H:H,match($A285,'2024'!$A:$A,0))</f>
        <v>10</v>
      </c>
      <c r="E285" s="19">
        <f t="array" ref="E285">index('Hitter Stats'!K:K,match($A285,'Hitter Stats'!$A:$A,0))-index('2024'!K:K,match($A285,'2024'!$A:$A,0))</f>
        <v>2</v>
      </c>
      <c r="F285" s="19">
        <f t="array" ref="F285">index('Hitter Stats'!L:L,match($A285,'Hitter Stats'!$A:$A,0))-index('2024'!L:L,match($A285,'2024'!$A:$A,0))</f>
        <v>-6</v>
      </c>
      <c r="G285" s="19">
        <f t="array" ref="G285">index('Hitter Stats'!M:M,match($A285,'Hitter Stats'!$A:$A,0))-index('2024'!M:M,match($A285,'2024'!$A:$A,0))</f>
        <v>-1</v>
      </c>
    </row>
    <row r="286">
      <c r="A286" s="11">
        <f>IFERROR(__xludf.DUMMYFUNCTION("""COMPUTED_VALUE"""),656537.0)</f>
        <v>656537</v>
      </c>
      <c r="B286" s="17" t="str">
        <f t="array" ref="B286">index('Hitter Stats'!B:B,match(A286,'Hitter Stats'!A:A,0))</f>
        <v>Derek Hill</v>
      </c>
      <c r="C286" s="14">
        <f t="array" ref="C286">index('Hitter Stats'!F:F,match($A286,'Hitter Stats'!$A:$A,0))-index('2024'!F:F,match($A286,'2024'!$A:$A,0))</f>
        <v>-0.004757048</v>
      </c>
      <c r="D286" s="19">
        <f t="array" ref="D286">index('Hitter Stats'!H:H,match($A286,'Hitter Stats'!$A:$A,0))-index('2024'!H:H,match($A286,'2024'!$A:$A,0))</f>
        <v>-13</v>
      </c>
      <c r="E286" s="19">
        <f t="array" ref="E286">index('Hitter Stats'!K:K,match($A286,'Hitter Stats'!$A:$A,0))-index('2024'!K:K,match($A286,'2024'!$A:$A,0))</f>
        <v>4</v>
      </c>
      <c r="F286" s="19">
        <f t="array" ref="F286">index('Hitter Stats'!L:L,match($A286,'Hitter Stats'!$A:$A,0))-index('2024'!L:L,match($A286,'2024'!$A:$A,0))</f>
        <v>-13</v>
      </c>
      <c r="G286" s="19">
        <f t="array" ref="G286">index('Hitter Stats'!M:M,match($A286,'Hitter Stats'!$A:$A,0))-index('2024'!M:M,match($A286,'2024'!$A:$A,0))</f>
        <v>-14</v>
      </c>
    </row>
    <row r="287">
      <c r="A287" s="11">
        <f>IFERROR(__xludf.DUMMYFUNCTION("""COMPUTED_VALUE"""),660688.0)</f>
        <v>660688</v>
      </c>
      <c r="B287" s="17" t="str">
        <f t="array" ref="B287">index('Hitter Stats'!B:B,match(A287,'Hitter Stats'!A:A,0))</f>
        <v>Keibert Ruiz</v>
      </c>
      <c r="C287" s="14">
        <f t="array" ref="C287">index('Hitter Stats'!F:F,match($A287,'Hitter Stats'!$A:$A,0))-index('2024'!F:F,match($A287,'2024'!$A:$A,0))</f>
        <v>-0.005165006</v>
      </c>
      <c r="D287" s="19">
        <f t="array" ref="D287">index('Hitter Stats'!H:H,match($A287,'Hitter Stats'!$A:$A,0))-index('2024'!H:H,match($A287,'2024'!$A:$A,0))</f>
        <v>14</v>
      </c>
      <c r="E287" s="19">
        <f t="array" ref="E287">index('Hitter Stats'!K:K,match($A287,'Hitter Stats'!$A:$A,0))-index('2024'!K:K,match($A287,'2024'!$A:$A,0))</f>
        <v>-11</v>
      </c>
      <c r="F287" s="19">
        <f t="array" ref="F287">index('Hitter Stats'!L:L,match($A287,'Hitter Stats'!$A:$A,0))-index('2024'!L:L,match($A287,'2024'!$A:$A,0))</f>
        <v>-5</v>
      </c>
      <c r="G287" s="19">
        <f t="array" ref="G287">index('Hitter Stats'!M:M,match($A287,'Hitter Stats'!$A:$A,0))-index('2024'!M:M,match($A287,'2024'!$A:$A,0))</f>
        <v>-7</v>
      </c>
    </row>
    <row r="288">
      <c r="A288" s="11">
        <f>IFERROR(__xludf.DUMMYFUNCTION("""COMPUTED_VALUE"""),687363.0)</f>
        <v>687363</v>
      </c>
      <c r="B288" s="17" t="str">
        <f t="array" ref="B288">index('Hitter Stats'!B:B,match(A288,'Hitter Stats'!A:A,0))</f>
        <v>Victor Scott II</v>
      </c>
      <c r="C288" s="14">
        <f t="array" ref="C288">index('Hitter Stats'!F:F,match($A288,'Hitter Stats'!$A:$A,0))-index('2024'!F:F,match($A288,'2024'!$A:$A,0))</f>
        <v>-0.000683259</v>
      </c>
      <c r="D288" s="19">
        <f t="array" ref="D288">index('Hitter Stats'!H:H,match($A288,'Hitter Stats'!$A:$A,0))-index('2024'!H:H,match($A288,'2024'!$A:$A,0))</f>
        <v>10</v>
      </c>
      <c r="E288" s="19">
        <f t="array" ref="E288">index('Hitter Stats'!K:K,match($A288,'Hitter Stats'!$A:$A,0))-index('2024'!K:K,match($A288,'2024'!$A:$A,0))</f>
        <v>-14</v>
      </c>
      <c r="F288" s="19">
        <f t="array" ref="F288">index('Hitter Stats'!L:L,match($A288,'Hitter Stats'!$A:$A,0))-index('2024'!L:L,match($A288,'2024'!$A:$A,0))</f>
        <v>12</v>
      </c>
      <c r="G288" s="19">
        <f t="array" ref="G288">index('Hitter Stats'!M:M,match($A288,'Hitter Stats'!$A:$A,0))-index('2024'!M:M,match($A288,'2024'!$A:$A,0))</f>
        <v>12</v>
      </c>
    </row>
    <row r="289">
      <c r="A289" s="11">
        <f>IFERROR(__xludf.DUMMYFUNCTION("""COMPUTED_VALUE"""),696285.0)</f>
        <v>696285</v>
      </c>
      <c r="B289" s="17" t="str">
        <f t="array" ref="B289">index('Hitter Stats'!B:B,match(A289,'Hitter Stats'!A:A,0))</f>
        <v>Jacob Young</v>
      </c>
      <c r="C289" s="14">
        <f t="array" ref="C289">index('Hitter Stats'!F:F,match($A289,'Hitter Stats'!$A:$A,0))-index('2024'!F:F,match($A289,'2024'!$A:$A,0))</f>
        <v>-0.008231521</v>
      </c>
      <c r="D289" s="19">
        <f t="array" ref="D289">index('Hitter Stats'!H:H,match($A289,'Hitter Stats'!$A:$A,0))-index('2024'!H:H,match($A289,'2024'!$A:$A,0))</f>
        <v>2</v>
      </c>
      <c r="E289" s="19">
        <f t="array" ref="E289">index('Hitter Stats'!K:K,match($A289,'Hitter Stats'!$A:$A,0))-index('2024'!K:K,match($A289,'2024'!$A:$A,0))</f>
        <v>6</v>
      </c>
      <c r="F289" s="19">
        <f t="array" ref="F289">index('Hitter Stats'!L:L,match($A289,'Hitter Stats'!$A:$A,0))-index('2024'!L:L,match($A289,'2024'!$A:$A,0))</f>
        <v>-9</v>
      </c>
      <c r="G289" s="19">
        <f t="array" ref="G289">index('Hitter Stats'!M:M,match($A289,'Hitter Stats'!$A:$A,0))-index('2024'!M:M,match($A289,'2024'!$A:$A,0))</f>
        <v>-9</v>
      </c>
    </row>
    <row r="290">
      <c r="A290" s="11">
        <f>IFERROR(__xludf.DUMMYFUNCTION("""COMPUTED_VALUE"""),681146.0)</f>
        <v>681146</v>
      </c>
      <c r="B290" s="17" t="str">
        <f t="array" ref="B290">index('Hitter Stats'!B:B,match(A290,'Hitter Stats'!A:A,0))</f>
        <v>Jonah Bride</v>
      </c>
      <c r="C290" s="14">
        <f t="array" ref="C290">index('Hitter Stats'!F:F,match($A290,'Hitter Stats'!$A:$A,0))-index('2024'!F:F,match($A290,'2024'!$A:$A,0))</f>
        <v>-0.048864565</v>
      </c>
      <c r="D290" s="19">
        <f t="array" ref="D290">index('Hitter Stats'!H:H,match($A290,'Hitter Stats'!$A:$A,0))-index('2024'!H:H,match($A290,'2024'!$A:$A,0))</f>
        <v>-4</v>
      </c>
      <c r="E290" s="19">
        <f t="array" ref="E290">index('Hitter Stats'!K:K,match($A290,'Hitter Stats'!$A:$A,0))-index('2024'!K:K,match($A290,'2024'!$A:$A,0))</f>
        <v>-27</v>
      </c>
      <c r="F290" s="19">
        <f t="array" ref="F290">index('Hitter Stats'!L:L,match($A290,'Hitter Stats'!$A:$A,0))-index('2024'!L:L,match($A290,'2024'!$A:$A,0))</f>
        <v>-16</v>
      </c>
      <c r="G290" s="19">
        <f t="array" ref="G290">index('Hitter Stats'!M:M,match($A290,'Hitter Stats'!$A:$A,0))-index('2024'!M:M,match($A290,'2024'!$A:$A,0))</f>
        <v>-25</v>
      </c>
    </row>
    <row r="291">
      <c r="A291" s="11">
        <f>IFERROR(__xludf.DUMMYFUNCTION("""COMPUTED_VALUE"""),455117.0)</f>
        <v>455117</v>
      </c>
      <c r="B291" s="17" t="str">
        <f t="array" ref="B291">index('Hitter Stats'!B:B,match(A291,'Hitter Stats'!A:A,0))</f>
        <v>Martín Maldonado</v>
      </c>
      <c r="C291" s="14">
        <f t="array" ref="C291">index('Hitter Stats'!F:F,match($A291,'Hitter Stats'!$A:$A,0))-index('2024'!F:F,match($A291,'2024'!$A:$A,0))</f>
        <v>-0.036612573</v>
      </c>
      <c r="D291" s="19">
        <f t="array" ref="D291">index('Hitter Stats'!H:H,match($A291,'Hitter Stats'!$A:$A,0))-index('2024'!H:H,match($A291,'2024'!$A:$A,0))</f>
        <v>-16</v>
      </c>
      <c r="E291" s="19">
        <f t="array" ref="E291">index('Hitter Stats'!K:K,match($A291,'Hitter Stats'!$A:$A,0))-index('2024'!K:K,match($A291,'2024'!$A:$A,0))</f>
        <v>-6</v>
      </c>
      <c r="F291" s="19">
        <f t="array" ref="F291">index('Hitter Stats'!L:L,match($A291,'Hitter Stats'!$A:$A,0))-index('2024'!L:L,match($A291,'2024'!$A:$A,0))</f>
        <v>13</v>
      </c>
      <c r="G291" s="19">
        <f t="array" ref="G291">index('Hitter Stats'!M:M,match($A291,'Hitter Stats'!$A:$A,0))-index('2024'!M:M,match($A291,'2024'!$A:$A,0))</f>
        <v>5</v>
      </c>
    </row>
    <row r="292">
      <c r="A292" s="11">
        <f>IFERROR(__xludf.DUMMYFUNCTION("""COMPUTED_VALUE"""),645277.0)</f>
        <v>645277</v>
      </c>
      <c r="B292" s="17" t="str">
        <f t="array" ref="B292">index('Hitter Stats'!B:B,match(A292,'Hitter Stats'!A:A,0))</f>
        <v>Ozzie Albies</v>
      </c>
      <c r="C292" s="14">
        <f t="array" ref="C292">index('Hitter Stats'!F:F,match($A292,'Hitter Stats'!$A:$A,0))-index('2024'!F:F,match($A292,'2024'!$A:$A,0))</f>
        <v>0.000941175</v>
      </c>
      <c r="D292" s="19">
        <f t="array" ref="D292">index('Hitter Stats'!H:H,match($A292,'Hitter Stats'!$A:$A,0))-index('2024'!H:H,match($A292,'2024'!$A:$A,0))</f>
        <v>-9</v>
      </c>
      <c r="E292" s="19">
        <f t="array" ref="E292">index('Hitter Stats'!K:K,match($A292,'Hitter Stats'!$A:$A,0))-index('2024'!K:K,match($A292,'2024'!$A:$A,0))</f>
        <v>-1</v>
      </c>
      <c r="F292" s="19">
        <f t="array" ref="F292">index('Hitter Stats'!L:L,match($A292,'Hitter Stats'!$A:$A,0))-index('2024'!L:L,match($A292,'2024'!$A:$A,0))</f>
        <v>-8</v>
      </c>
      <c r="G292" s="19">
        <f t="array" ref="G292">index('Hitter Stats'!M:M,match($A292,'Hitter Stats'!$A:$A,0))-index('2024'!M:M,match($A292,'2024'!$A:$A,0))</f>
        <v>-15</v>
      </c>
    </row>
    <row r="293">
      <c r="A293" s="11">
        <f>IFERROR(__xludf.DUMMYFUNCTION("""COMPUTED_VALUE"""),643289.0)</f>
        <v>643289</v>
      </c>
      <c r="B293" s="17" t="str">
        <f t="array" ref="B293">index('Hitter Stats'!B:B,match(A293,'Hitter Stats'!A:A,0))</f>
        <v>Mauricio Dubón</v>
      </c>
      <c r="C293" s="14">
        <f t="array" ref="C293">index('Hitter Stats'!F:F,match($A293,'Hitter Stats'!$A:$A,0))-index('2024'!F:F,match($A293,'2024'!$A:$A,0))</f>
        <v>-0.042891205</v>
      </c>
      <c r="D293" s="19">
        <f t="array" ref="D293">index('Hitter Stats'!H:H,match($A293,'Hitter Stats'!$A:$A,0))-index('2024'!H:H,match($A293,'2024'!$A:$A,0))</f>
        <v>7</v>
      </c>
      <c r="E293" s="19">
        <f t="array" ref="E293">index('Hitter Stats'!K:K,match($A293,'Hitter Stats'!$A:$A,0))-index('2024'!K:K,match($A293,'2024'!$A:$A,0))</f>
        <v>16</v>
      </c>
      <c r="F293" s="19">
        <f t="array" ref="F293">index('Hitter Stats'!L:L,match($A293,'Hitter Stats'!$A:$A,0))-index('2024'!L:L,match($A293,'2024'!$A:$A,0))</f>
        <v>-9</v>
      </c>
      <c r="G293" s="19">
        <f t="array" ref="G293">index('Hitter Stats'!M:M,match($A293,'Hitter Stats'!$A:$A,0))-index('2024'!M:M,match($A293,'2024'!$A:$A,0))</f>
        <v>-4</v>
      </c>
    </row>
    <row r="294">
      <c r="A294" s="11">
        <f>IFERROR(__xludf.DUMMYFUNCTION("""COMPUTED_VALUE"""),553869.0)</f>
        <v>553869</v>
      </c>
      <c r="B294" s="17" t="str">
        <f t="array" ref="B294">index('Hitter Stats'!B:B,match(A294,'Hitter Stats'!A:A,0))</f>
        <v>Elias Díaz</v>
      </c>
      <c r="C294" s="14">
        <f t="array" ref="C294">index('Hitter Stats'!F:F,match($A294,'Hitter Stats'!$A:$A,0))-index('2024'!F:F,match($A294,'2024'!$A:$A,0))</f>
        <v>-0.034410473</v>
      </c>
      <c r="D294" s="19">
        <f t="array" ref="D294">index('Hitter Stats'!H:H,match($A294,'Hitter Stats'!$A:$A,0))-index('2024'!H:H,match($A294,'2024'!$A:$A,0))</f>
        <v>9</v>
      </c>
      <c r="E294" s="19">
        <f t="array" ref="E294">index('Hitter Stats'!K:K,match($A294,'Hitter Stats'!$A:$A,0))-index('2024'!K:K,match($A294,'2024'!$A:$A,0))</f>
        <v>-15</v>
      </c>
      <c r="F294" s="19">
        <f t="array" ref="F294">index('Hitter Stats'!L:L,match($A294,'Hitter Stats'!$A:$A,0))-index('2024'!L:L,match($A294,'2024'!$A:$A,0))</f>
        <v>-11</v>
      </c>
      <c r="G294" s="19">
        <f t="array" ref="G294">index('Hitter Stats'!M:M,match($A294,'Hitter Stats'!$A:$A,0))-index('2024'!M:M,match($A294,'2024'!$A:$A,0))</f>
        <v>-14</v>
      </c>
    </row>
    <row r="295">
      <c r="A295" s="11">
        <f>IFERROR(__xludf.DUMMYFUNCTION("""COMPUTED_VALUE"""),668709.0)</f>
        <v>668709</v>
      </c>
      <c r="B295" s="17" t="str">
        <f t="array" ref="B295">index('Hitter Stats'!B:B,match(A295,'Hitter Stats'!A:A,0))</f>
        <v>JJ Bleday</v>
      </c>
      <c r="C295" s="14">
        <f t="array" ref="C295">index('Hitter Stats'!F:F,match($A295,'Hitter Stats'!$A:$A,0))-index('2024'!F:F,match($A295,'2024'!$A:$A,0))</f>
        <v>-0.038460839</v>
      </c>
      <c r="D295" s="19">
        <f t="array" ref="D295">index('Hitter Stats'!H:H,match($A295,'Hitter Stats'!$A:$A,0))-index('2024'!H:H,match($A295,'2024'!$A:$A,0))</f>
        <v>-3</v>
      </c>
      <c r="E295" s="19">
        <f t="array" ref="E295">index('Hitter Stats'!K:K,match($A295,'Hitter Stats'!$A:$A,0))-index('2024'!K:K,match($A295,'2024'!$A:$A,0))</f>
        <v>-12</v>
      </c>
      <c r="F295" s="19">
        <f t="array" ref="F295">index('Hitter Stats'!L:L,match($A295,'Hitter Stats'!$A:$A,0))-index('2024'!L:L,match($A295,'2024'!$A:$A,0))</f>
        <v>-22</v>
      </c>
      <c r="G295" s="19">
        <f t="array" ref="G295">index('Hitter Stats'!M:M,match($A295,'Hitter Stats'!$A:$A,0))-index('2024'!M:M,match($A295,'2024'!$A:$A,0))</f>
        <v>-29</v>
      </c>
    </row>
    <row r="296">
      <c r="A296" s="11">
        <f>IFERROR(__xludf.DUMMYFUNCTION("""COMPUTED_VALUE"""),682657.0)</f>
        <v>682657</v>
      </c>
      <c r="B296" s="17" t="str">
        <f t="array" ref="B296">index('Hitter Stats'!B:B,match(A296,'Hitter Stats'!A:A,0))</f>
        <v>Angel Martínez</v>
      </c>
      <c r="C296" s="14">
        <f t="array" ref="C296">index('Hitter Stats'!F:F,match($A296,'Hitter Stats'!$A:$A,0))-index('2024'!F:F,match($A296,'2024'!$A:$A,0))</f>
        <v>0.060952574</v>
      </c>
      <c r="D296" s="19">
        <f t="array" ref="D296">index('Hitter Stats'!H:H,match($A296,'Hitter Stats'!$A:$A,0))-index('2024'!H:H,match($A296,'2024'!$A:$A,0))</f>
        <v>-11</v>
      </c>
      <c r="E296" s="19">
        <f t="array" ref="E296">index('Hitter Stats'!K:K,match($A296,'Hitter Stats'!$A:$A,0))-index('2024'!K:K,match($A296,'2024'!$A:$A,0))</f>
        <v>-7</v>
      </c>
      <c r="F296" s="19">
        <f t="array" ref="F296">index('Hitter Stats'!L:L,match($A296,'Hitter Stats'!$A:$A,0))-index('2024'!L:L,match($A296,'2024'!$A:$A,0))</f>
        <v>2</v>
      </c>
      <c r="G296" s="19">
        <f t="array" ref="G296">index('Hitter Stats'!M:M,match($A296,'Hitter Stats'!$A:$A,0))-index('2024'!M:M,match($A296,'2024'!$A:$A,0))</f>
        <v>-8</v>
      </c>
    </row>
    <row r="297">
      <c r="A297" s="11">
        <f>IFERROR(__xludf.DUMMYFUNCTION("""COMPUTED_VALUE"""),543877.0)</f>
        <v>543877</v>
      </c>
      <c r="B297" s="17" t="str">
        <f t="array" ref="B297">index('Hitter Stats'!B:B,match(A297,'Hitter Stats'!A:A,0))</f>
        <v>Christian Vázquez</v>
      </c>
      <c r="C297" s="14">
        <f t="array" ref="C297">index('Hitter Stats'!F:F,match($A297,'Hitter Stats'!$A:$A,0))-index('2024'!F:F,match($A297,'2024'!$A:$A,0))</f>
        <v>-0.064797057</v>
      </c>
      <c r="D297" s="19">
        <f t="array" ref="D297">index('Hitter Stats'!H:H,match($A297,'Hitter Stats'!$A:$A,0))-index('2024'!H:H,match($A297,'2024'!$A:$A,0))</f>
        <v>6</v>
      </c>
      <c r="E297" s="19">
        <f t="array" ref="E297">index('Hitter Stats'!K:K,match($A297,'Hitter Stats'!$A:$A,0))-index('2024'!K:K,match($A297,'2024'!$A:$A,0))</f>
        <v>-2</v>
      </c>
      <c r="F297" s="19">
        <f t="array" ref="F297">index('Hitter Stats'!L:L,match($A297,'Hitter Stats'!$A:$A,0))-index('2024'!L:L,match($A297,'2024'!$A:$A,0))</f>
        <v>-16</v>
      </c>
      <c r="G297" s="19">
        <f t="array" ref="G297">index('Hitter Stats'!M:M,match($A297,'Hitter Stats'!$A:$A,0))-index('2024'!M:M,match($A297,'2024'!$A:$A,0))</f>
        <v>-16</v>
      </c>
    </row>
    <row r="298">
      <c r="A298" s="11">
        <f>IFERROR(__xludf.DUMMYFUNCTION("""COMPUTED_VALUE"""),657041.0)</f>
        <v>657041</v>
      </c>
      <c r="B298" s="17" t="str">
        <f t="array" ref="B298">index('Hitter Stats'!B:B,match(A298,'Hitter Stats'!A:A,0))</f>
        <v>Lane Thomas</v>
      </c>
      <c r="C298" s="14">
        <f t="array" ref="C298">index('Hitter Stats'!F:F,match($A298,'Hitter Stats'!$A:$A,0))-index('2024'!F:F,match($A298,'2024'!$A:$A,0))</f>
        <v>0.017438647</v>
      </c>
      <c r="D298" s="19">
        <f t="array" ref="D298">index('Hitter Stats'!H:H,match($A298,'Hitter Stats'!$A:$A,0))-index('2024'!H:H,match($A298,'2024'!$A:$A,0))</f>
        <v>0</v>
      </c>
      <c r="E298" s="19">
        <f t="array" ref="E298">index('Hitter Stats'!K:K,match($A298,'Hitter Stats'!$A:$A,0))-index('2024'!K:K,match($A298,'2024'!$A:$A,0))</f>
        <v>-14</v>
      </c>
      <c r="F298" s="19">
        <f t="array" ref="F298">index('Hitter Stats'!L:L,match($A298,'Hitter Stats'!$A:$A,0))-index('2024'!L:L,match($A298,'2024'!$A:$A,0))</f>
        <v>-29</v>
      </c>
      <c r="G298" s="19">
        <f t="array" ref="G298">index('Hitter Stats'!M:M,match($A298,'Hitter Stats'!$A:$A,0))-index('2024'!M:M,match($A298,'2024'!$A:$A,0))</f>
        <v>-32</v>
      </c>
    </row>
    <row r="299">
      <c r="A299" s="11">
        <f>IFERROR(__xludf.DUMMYFUNCTION("""COMPUTED_VALUE"""),686681.0)</f>
        <v>686681</v>
      </c>
      <c r="B299" s="17" t="str">
        <f t="array" ref="B299">index('Hitter Stats'!B:B,match(A299,'Hitter Stats'!A:A,0))</f>
        <v>Michael Massey</v>
      </c>
      <c r="C299" s="14">
        <f t="array" ref="C299">index('Hitter Stats'!F:F,match($A299,'Hitter Stats'!$A:$A,0))-index('2024'!F:F,match($A299,'2024'!$A:$A,0))</f>
        <v>0.017267752</v>
      </c>
      <c r="D299" s="19">
        <f t="array" ref="D299">index('Hitter Stats'!H:H,match($A299,'Hitter Stats'!$A:$A,0))-index('2024'!H:H,match($A299,'2024'!$A:$A,0))</f>
        <v>11</v>
      </c>
      <c r="E299" s="19">
        <f t="array" ref="E299">index('Hitter Stats'!K:K,match($A299,'Hitter Stats'!$A:$A,0))-index('2024'!K:K,match($A299,'2024'!$A:$A,0))</f>
        <v>-16</v>
      </c>
      <c r="F299" s="19">
        <f t="array" ref="F299">index('Hitter Stats'!L:L,match($A299,'Hitter Stats'!$A:$A,0))-index('2024'!L:L,match($A299,'2024'!$A:$A,0))</f>
        <v>-16</v>
      </c>
      <c r="G299" s="19">
        <f t="array" ref="G299">index('Hitter Stats'!M:M,match($A299,'Hitter Stats'!$A:$A,0))-index('2024'!M:M,match($A299,'2024'!$A:$A,0))</f>
        <v>-25</v>
      </c>
    </row>
    <row r="300">
      <c r="A300" s="11">
        <f>IFERROR(__xludf.DUMMYFUNCTION("""COMPUTED_VALUE"""),664728.0)</f>
        <v>664728</v>
      </c>
      <c r="B300" s="17" t="str">
        <f t="array" ref="B300">index('Hitter Stats'!B:B,match(A300,'Hitter Stats'!A:A,0))</f>
        <v>Kyle Isbel</v>
      </c>
      <c r="C300" s="14">
        <f t="array" ref="C300">index('Hitter Stats'!F:F,match($A300,'Hitter Stats'!$A:$A,0))-index('2024'!F:F,match($A300,'2024'!$A:$A,0))</f>
        <v>0.004951721</v>
      </c>
      <c r="D300" s="19">
        <f t="array" ref="D300">index('Hitter Stats'!H:H,match($A300,'Hitter Stats'!$A:$A,0))-index('2024'!H:H,match($A300,'2024'!$A:$A,0))</f>
        <v>8</v>
      </c>
      <c r="E300" s="19">
        <f t="array" ref="E300">index('Hitter Stats'!K:K,match($A300,'Hitter Stats'!$A:$A,0))-index('2024'!K:K,match($A300,'2024'!$A:$A,0))</f>
        <v>-1</v>
      </c>
      <c r="F300" s="19">
        <f t="array" ref="F300">index('Hitter Stats'!L:L,match($A300,'Hitter Stats'!$A:$A,0))-index('2024'!L:L,match($A300,'2024'!$A:$A,0))</f>
        <v>-9</v>
      </c>
      <c r="G300" s="19">
        <f t="array" ref="G300">index('Hitter Stats'!M:M,match($A300,'Hitter Stats'!$A:$A,0))-index('2024'!M:M,match($A300,'2024'!$A:$A,0))</f>
        <v>-10</v>
      </c>
    </row>
    <row r="301">
      <c r="A301" s="11">
        <f>IFERROR(__xludf.DUMMYFUNCTION("""COMPUTED_VALUE"""),666152.0)</f>
        <v>666152</v>
      </c>
      <c r="C301" s="14"/>
      <c r="D301" s="18"/>
      <c r="E301" s="18"/>
      <c r="F301" s="18"/>
      <c r="G301" s="18"/>
    </row>
    <row r="302">
      <c r="A302" s="11">
        <f>IFERROR(__xludf.DUMMYFUNCTION("""COMPUTED_VALUE"""),686780.0)</f>
        <v>686780</v>
      </c>
      <c r="C302" s="14"/>
      <c r="D302" s="18"/>
      <c r="E302" s="18"/>
      <c r="F302" s="18"/>
      <c r="G302" s="18"/>
    </row>
    <row r="303">
      <c r="A303" s="11">
        <f>IFERROR(__xludf.DUMMYFUNCTION("""COMPUTED_VALUE"""),668942.0)</f>
        <v>668942</v>
      </c>
      <c r="C303" s="14"/>
      <c r="D303" s="18"/>
      <c r="E303" s="18"/>
      <c r="F303" s="18"/>
      <c r="G303" s="18"/>
    </row>
    <row r="304">
      <c r="A304" s="11">
        <f>IFERROR(__xludf.DUMMYFUNCTION("""COMPUTED_VALUE"""),642180.0)</f>
        <v>642180</v>
      </c>
      <c r="C304" s="14"/>
      <c r="D304" s="18"/>
      <c r="E304" s="18"/>
      <c r="F304" s="18"/>
      <c r="G304" s="18"/>
    </row>
    <row r="305">
      <c r="A305" s="11">
        <f>IFERROR(__xludf.DUMMYFUNCTION("""COMPUTED_VALUE"""),665828.0)</f>
        <v>665828</v>
      </c>
      <c r="C305" s="14"/>
      <c r="D305" s="18"/>
      <c r="E305" s="18"/>
      <c r="F305" s="18"/>
      <c r="G305" s="18"/>
    </row>
    <row r="306">
      <c r="A306" s="11">
        <f>IFERROR(__xludf.DUMMYFUNCTION("""COMPUTED_VALUE"""),665750.0)</f>
        <v>665750</v>
      </c>
      <c r="C306" s="14"/>
      <c r="D306" s="18"/>
      <c r="E306" s="18"/>
      <c r="F306" s="18"/>
      <c r="G306" s="18"/>
    </row>
    <row r="307">
      <c r="A307" s="11">
        <f>IFERROR(__xludf.DUMMYFUNCTION("""COMPUTED_VALUE"""),666149.0)</f>
        <v>666149</v>
      </c>
      <c r="C307" s="14"/>
      <c r="D307" s="18"/>
      <c r="E307" s="18"/>
      <c r="F307" s="18"/>
      <c r="G307" s="18"/>
    </row>
    <row r="308">
      <c r="A308" s="11">
        <f>IFERROR(__xludf.DUMMYFUNCTION("""COMPUTED_VALUE"""),605361.0)</f>
        <v>605361</v>
      </c>
      <c r="C308" s="14"/>
      <c r="D308" s="18"/>
      <c r="E308" s="18"/>
      <c r="F308" s="18"/>
      <c r="G308" s="18"/>
    </row>
    <row r="309">
      <c r="A309" s="11">
        <f>IFERROR(__xludf.DUMMYFUNCTION("""COMPUTED_VALUE"""),606115.0)</f>
        <v>606115</v>
      </c>
      <c r="C309" s="14"/>
      <c r="D309" s="18"/>
      <c r="E309" s="18"/>
      <c r="F309" s="18"/>
      <c r="G309" s="18"/>
    </row>
    <row r="310">
      <c r="A310" s="11">
        <f>IFERROR(__xludf.DUMMYFUNCTION("""COMPUTED_VALUE"""),679032.0)</f>
        <v>679032</v>
      </c>
      <c r="C310" s="14"/>
      <c r="D310" s="18"/>
      <c r="E310" s="18"/>
      <c r="F310" s="18"/>
      <c r="G310" s="18"/>
    </row>
    <row r="311">
      <c r="A311" s="11">
        <f>IFERROR(__xludf.DUMMYFUNCTION("""COMPUTED_VALUE"""),607732.0)</f>
        <v>607732</v>
      </c>
      <c r="C311" s="14"/>
      <c r="D311" s="18"/>
      <c r="E311" s="18"/>
      <c r="F311" s="18"/>
      <c r="G311" s="18"/>
    </row>
    <row r="312">
      <c r="A312" s="11">
        <f>IFERROR(__xludf.DUMMYFUNCTION("""COMPUTED_VALUE"""),678877.0)</f>
        <v>678877</v>
      </c>
      <c r="C312" s="14"/>
      <c r="D312" s="18"/>
      <c r="E312" s="18"/>
      <c r="F312" s="18"/>
      <c r="G312" s="18"/>
    </row>
    <row r="313">
      <c r="A313" s="11"/>
      <c r="C313" s="14"/>
      <c r="D313" s="18"/>
      <c r="E313" s="18"/>
      <c r="F313" s="18"/>
      <c r="G313" s="18"/>
    </row>
    <row r="314">
      <c r="A314" s="11"/>
      <c r="C314" s="14"/>
      <c r="D314" s="18"/>
      <c r="E314" s="18"/>
      <c r="F314" s="18"/>
      <c r="G314" s="18"/>
    </row>
    <row r="315">
      <c r="A315" s="11"/>
      <c r="C315" s="14"/>
      <c r="D315" s="18"/>
      <c r="E315" s="18"/>
      <c r="F315" s="18"/>
      <c r="G315" s="18"/>
    </row>
    <row r="316">
      <c r="A316" s="11"/>
      <c r="C316" s="14"/>
      <c r="D316" s="18"/>
      <c r="E316" s="18"/>
      <c r="F316" s="18"/>
      <c r="G316" s="18"/>
    </row>
    <row r="317">
      <c r="A317" s="11"/>
      <c r="C317" s="14"/>
      <c r="D317" s="18"/>
      <c r="E317" s="18"/>
      <c r="F317" s="18"/>
      <c r="G317" s="18"/>
    </row>
    <row r="318">
      <c r="A318" s="11"/>
      <c r="C318" s="14"/>
      <c r="D318" s="18"/>
      <c r="E318" s="18"/>
      <c r="F318" s="18"/>
      <c r="G318" s="18"/>
    </row>
    <row r="319">
      <c r="A319" s="11"/>
      <c r="C319" s="14"/>
      <c r="D319" s="18"/>
      <c r="E319" s="18"/>
      <c r="F319" s="18"/>
      <c r="G319" s="18"/>
    </row>
    <row r="320">
      <c r="A320" s="11"/>
      <c r="C320" s="14"/>
      <c r="D320" s="18"/>
      <c r="E320" s="18"/>
      <c r="F320" s="18"/>
      <c r="G320" s="18"/>
    </row>
    <row r="321">
      <c r="A321" s="11"/>
      <c r="C321" s="14"/>
      <c r="D321" s="18"/>
      <c r="E321" s="18"/>
      <c r="F321" s="18"/>
      <c r="G321" s="18"/>
    </row>
    <row r="322">
      <c r="A322" s="11"/>
      <c r="C322" s="14"/>
      <c r="D322" s="18"/>
      <c r="E322" s="18"/>
      <c r="F322" s="18"/>
      <c r="G322" s="18"/>
    </row>
    <row r="323">
      <c r="A323" s="11"/>
      <c r="C323" s="14"/>
      <c r="D323" s="18"/>
      <c r="E323" s="18"/>
      <c r="F323" s="18"/>
      <c r="G323" s="18"/>
    </row>
    <row r="324">
      <c r="A324" s="11"/>
      <c r="C324" s="14"/>
      <c r="D324" s="18"/>
      <c r="E324" s="18"/>
      <c r="F324" s="18"/>
      <c r="G324" s="18"/>
    </row>
    <row r="325">
      <c r="A325" s="11"/>
      <c r="C325" s="14"/>
      <c r="D325" s="18"/>
      <c r="E325" s="18"/>
      <c r="F325" s="18"/>
      <c r="G325" s="18"/>
    </row>
    <row r="326">
      <c r="A326" s="11"/>
      <c r="C326" s="14"/>
      <c r="D326" s="18"/>
      <c r="E326" s="18"/>
      <c r="F326" s="18"/>
      <c r="G326" s="18"/>
    </row>
    <row r="327">
      <c r="A327" s="11"/>
      <c r="C327" s="14"/>
      <c r="D327" s="18"/>
      <c r="E327" s="18"/>
      <c r="F327" s="18"/>
      <c r="G327" s="18"/>
    </row>
    <row r="328">
      <c r="A328" s="11"/>
      <c r="C328" s="14"/>
      <c r="D328" s="18"/>
      <c r="E328" s="18"/>
      <c r="F328" s="18"/>
      <c r="G328" s="18"/>
    </row>
    <row r="329">
      <c r="A329" s="11"/>
      <c r="C329" s="14"/>
      <c r="D329" s="18"/>
      <c r="E329" s="18"/>
      <c r="F329" s="18"/>
      <c r="G329" s="18"/>
    </row>
    <row r="330">
      <c r="A330" s="11"/>
      <c r="C330" s="14"/>
      <c r="D330" s="18"/>
      <c r="E330" s="18"/>
      <c r="F330" s="18"/>
      <c r="G330" s="18"/>
    </row>
    <row r="331">
      <c r="A331" s="11"/>
      <c r="C331" s="14"/>
      <c r="D331" s="18"/>
      <c r="E331" s="18"/>
      <c r="F331" s="18"/>
      <c r="G331" s="18"/>
    </row>
    <row r="332">
      <c r="A332" s="11"/>
      <c r="C332" s="14"/>
      <c r="D332" s="18"/>
      <c r="E332" s="18"/>
      <c r="F332" s="18"/>
      <c r="G332" s="18"/>
    </row>
    <row r="333">
      <c r="A333" s="11"/>
      <c r="C333" s="14"/>
      <c r="D333" s="18"/>
      <c r="E333" s="18"/>
      <c r="F333" s="18"/>
      <c r="G333" s="18"/>
    </row>
    <row r="334">
      <c r="A334" s="11"/>
      <c r="C334" s="14"/>
      <c r="D334" s="18"/>
      <c r="E334" s="18"/>
      <c r="F334" s="18"/>
      <c r="G334" s="18"/>
    </row>
    <row r="335">
      <c r="A335" s="11"/>
      <c r="C335" s="14"/>
      <c r="D335" s="18"/>
      <c r="E335" s="18"/>
      <c r="F335" s="18"/>
      <c r="G335" s="18"/>
    </row>
    <row r="336">
      <c r="A336" s="11"/>
      <c r="C336" s="14"/>
      <c r="D336" s="18"/>
      <c r="E336" s="18"/>
      <c r="F336" s="18"/>
      <c r="G336" s="18"/>
    </row>
    <row r="337">
      <c r="A337" s="11"/>
      <c r="C337" s="14"/>
      <c r="D337" s="18"/>
      <c r="E337" s="18"/>
      <c r="F337" s="18"/>
      <c r="G337" s="18"/>
    </row>
    <row r="338">
      <c r="A338" s="11"/>
      <c r="C338" s="14"/>
      <c r="D338" s="18"/>
      <c r="E338" s="18"/>
      <c r="F338" s="18"/>
      <c r="G338" s="18"/>
    </row>
    <row r="339">
      <c r="A339" s="11"/>
      <c r="C339" s="14"/>
      <c r="D339" s="18"/>
      <c r="E339" s="18"/>
      <c r="F339" s="18"/>
      <c r="G339" s="18"/>
    </row>
    <row r="340">
      <c r="A340" s="11"/>
      <c r="C340" s="14"/>
      <c r="D340" s="18"/>
      <c r="E340" s="18"/>
      <c r="F340" s="18"/>
      <c r="G340" s="18"/>
    </row>
    <row r="341">
      <c r="A341" s="11"/>
      <c r="C341" s="14"/>
      <c r="D341" s="18"/>
      <c r="E341" s="18"/>
      <c r="F341" s="18"/>
      <c r="G341" s="18"/>
    </row>
    <row r="342">
      <c r="A342" s="11"/>
      <c r="C342" s="14"/>
      <c r="D342" s="18"/>
      <c r="E342" s="18"/>
      <c r="F342" s="18"/>
      <c r="G342" s="18"/>
    </row>
    <row r="343">
      <c r="A343" s="11"/>
      <c r="C343" s="14"/>
      <c r="D343" s="18"/>
      <c r="E343" s="18"/>
      <c r="F343" s="18"/>
      <c r="G343" s="18"/>
    </row>
    <row r="344">
      <c r="A344" s="11"/>
      <c r="C344" s="14"/>
      <c r="D344" s="18"/>
      <c r="E344" s="18"/>
      <c r="F344" s="18"/>
      <c r="G344" s="18"/>
    </row>
    <row r="345">
      <c r="A345" s="11"/>
      <c r="C345" s="14"/>
      <c r="D345" s="18"/>
      <c r="E345" s="18"/>
      <c r="F345" s="18"/>
      <c r="G345" s="18"/>
    </row>
    <row r="346">
      <c r="A346" s="11"/>
      <c r="C346" s="14"/>
      <c r="D346" s="18"/>
      <c r="E346" s="18"/>
      <c r="F346" s="18"/>
      <c r="G346" s="18"/>
    </row>
    <row r="347">
      <c r="A347" s="11"/>
      <c r="C347" s="14"/>
      <c r="D347" s="18"/>
      <c r="E347" s="18"/>
      <c r="F347" s="18"/>
      <c r="G347" s="18"/>
    </row>
    <row r="348">
      <c r="A348" s="11"/>
      <c r="C348" s="14"/>
      <c r="D348" s="18"/>
      <c r="E348" s="18"/>
      <c r="F348" s="18"/>
      <c r="G348" s="18"/>
    </row>
    <row r="349">
      <c r="A349" s="11"/>
      <c r="C349" s="14"/>
      <c r="D349" s="18"/>
      <c r="E349" s="18"/>
      <c r="F349" s="18"/>
      <c r="G349" s="18"/>
    </row>
    <row r="350">
      <c r="A350" s="11"/>
      <c r="C350" s="14"/>
      <c r="D350" s="18"/>
      <c r="E350" s="18"/>
      <c r="F350" s="18"/>
      <c r="G350" s="18"/>
    </row>
    <row r="351">
      <c r="A351" s="11"/>
      <c r="C351" s="14"/>
      <c r="D351" s="18"/>
      <c r="E351" s="18"/>
      <c r="F351" s="18"/>
      <c r="G351" s="18"/>
    </row>
    <row r="352">
      <c r="A352" s="11"/>
      <c r="C352" s="14"/>
      <c r="D352" s="18"/>
      <c r="E352" s="18"/>
      <c r="F352" s="18"/>
      <c r="G352" s="18"/>
    </row>
    <row r="353">
      <c r="A353" s="11"/>
      <c r="C353" s="14"/>
      <c r="D353" s="18"/>
      <c r="E353" s="18"/>
      <c r="F353" s="18"/>
      <c r="G353" s="18"/>
    </row>
    <row r="354">
      <c r="A354" s="11"/>
      <c r="C354" s="14"/>
      <c r="D354" s="18"/>
      <c r="E354" s="18"/>
      <c r="F354" s="18"/>
      <c r="G354" s="18"/>
    </row>
    <row r="355">
      <c r="A355" s="11"/>
      <c r="C355" s="14"/>
      <c r="D355" s="18"/>
      <c r="E355" s="18"/>
      <c r="F355" s="18"/>
      <c r="G355" s="18"/>
    </row>
    <row r="356">
      <c r="A356" s="11"/>
      <c r="C356" s="14"/>
      <c r="D356" s="18"/>
      <c r="E356" s="18"/>
      <c r="F356" s="18"/>
      <c r="G356" s="18"/>
    </row>
    <row r="357">
      <c r="A357" s="11"/>
      <c r="C357" s="14"/>
      <c r="D357" s="18"/>
      <c r="E357" s="18"/>
      <c r="F357" s="18"/>
      <c r="G357" s="18"/>
    </row>
    <row r="358">
      <c r="A358" s="11"/>
      <c r="C358" s="14"/>
      <c r="D358" s="18"/>
      <c r="E358" s="18"/>
      <c r="F358" s="18"/>
      <c r="G358" s="18"/>
    </row>
    <row r="359">
      <c r="A359" s="11"/>
      <c r="C359" s="14"/>
      <c r="D359" s="18"/>
      <c r="E359" s="18"/>
      <c r="F359" s="18"/>
      <c r="G359" s="18"/>
    </row>
    <row r="360">
      <c r="A360" s="11"/>
      <c r="C360" s="14"/>
      <c r="D360" s="18"/>
      <c r="E360" s="18"/>
      <c r="F360" s="18"/>
      <c r="G360" s="18"/>
    </row>
    <row r="361">
      <c r="A361" s="11"/>
      <c r="C361" s="14"/>
      <c r="D361" s="18"/>
      <c r="E361" s="18"/>
      <c r="F361" s="18"/>
      <c r="G361" s="18"/>
    </row>
    <row r="362">
      <c r="A362" s="11"/>
      <c r="C362" s="14"/>
      <c r="D362" s="18"/>
      <c r="E362" s="18"/>
      <c r="F362" s="18"/>
      <c r="G362" s="18"/>
    </row>
    <row r="363">
      <c r="A363" s="11"/>
      <c r="C363" s="14"/>
      <c r="D363" s="18"/>
      <c r="E363" s="18"/>
      <c r="F363" s="18"/>
      <c r="G363" s="18"/>
    </row>
    <row r="364">
      <c r="A364" s="11"/>
      <c r="C364" s="14"/>
      <c r="D364" s="18"/>
      <c r="E364" s="18"/>
      <c r="F364" s="18"/>
      <c r="G364" s="18"/>
    </row>
    <row r="365">
      <c r="A365" s="11"/>
      <c r="C365" s="14"/>
      <c r="D365" s="18"/>
      <c r="E365" s="18"/>
      <c r="F365" s="18"/>
      <c r="G365" s="18"/>
    </row>
    <row r="366">
      <c r="A366" s="11"/>
      <c r="C366" s="14"/>
      <c r="D366" s="18"/>
      <c r="E366" s="18"/>
      <c r="F366" s="18"/>
      <c r="G366" s="18"/>
    </row>
    <row r="367">
      <c r="A367" s="11"/>
      <c r="C367" s="14"/>
      <c r="D367" s="18"/>
      <c r="E367" s="18"/>
      <c r="F367" s="18"/>
      <c r="G367" s="18"/>
    </row>
    <row r="368">
      <c r="A368" s="11"/>
      <c r="C368" s="14"/>
      <c r="D368" s="18"/>
      <c r="E368" s="18"/>
      <c r="F368" s="18"/>
      <c r="G368" s="18"/>
    </row>
    <row r="369">
      <c r="A369" s="11"/>
      <c r="C369" s="14"/>
      <c r="D369" s="18"/>
      <c r="E369" s="18"/>
      <c r="F369" s="18"/>
      <c r="G369" s="18"/>
    </row>
    <row r="370">
      <c r="A370" s="11"/>
      <c r="C370" s="14"/>
      <c r="D370" s="18"/>
      <c r="E370" s="18"/>
      <c r="F370" s="18"/>
      <c r="G370" s="18"/>
    </row>
    <row r="371">
      <c r="A371" s="11"/>
      <c r="C371" s="14"/>
      <c r="D371" s="18"/>
      <c r="E371" s="18"/>
      <c r="F371" s="18"/>
      <c r="G371" s="18"/>
    </row>
    <row r="372">
      <c r="A372" s="11"/>
      <c r="C372" s="14"/>
      <c r="D372" s="18"/>
      <c r="E372" s="18"/>
      <c r="F372" s="18"/>
      <c r="G372" s="18"/>
    </row>
    <row r="373">
      <c r="A373" s="11"/>
      <c r="C373" s="14"/>
      <c r="D373" s="18"/>
      <c r="E373" s="18"/>
      <c r="F373" s="18"/>
      <c r="G373" s="18"/>
    </row>
    <row r="374">
      <c r="A374" s="11"/>
      <c r="C374" s="14"/>
      <c r="D374" s="18"/>
      <c r="E374" s="18"/>
      <c r="F374" s="18"/>
      <c r="G374" s="18"/>
    </row>
    <row r="375">
      <c r="A375" s="11"/>
      <c r="C375" s="14"/>
      <c r="D375" s="18"/>
      <c r="E375" s="18"/>
      <c r="F375" s="18"/>
      <c r="G375" s="18"/>
    </row>
    <row r="376">
      <c r="A376" s="11"/>
      <c r="C376" s="14"/>
      <c r="D376" s="18"/>
      <c r="E376" s="18"/>
      <c r="F376" s="18"/>
      <c r="G376" s="18"/>
    </row>
    <row r="377">
      <c r="A377" s="11"/>
      <c r="C377" s="14"/>
      <c r="D377" s="18"/>
      <c r="E377" s="18"/>
      <c r="F377" s="18"/>
      <c r="G377" s="18"/>
    </row>
    <row r="378">
      <c r="A378" s="11"/>
      <c r="C378" s="14"/>
      <c r="D378" s="18"/>
      <c r="E378" s="18"/>
      <c r="F378" s="18"/>
      <c r="G378" s="18"/>
    </row>
    <row r="379">
      <c r="A379" s="11"/>
      <c r="C379" s="14"/>
      <c r="D379" s="18"/>
      <c r="E379" s="18"/>
      <c r="F379" s="18"/>
      <c r="G379" s="18"/>
    </row>
    <row r="380">
      <c r="A380" s="11"/>
      <c r="C380" s="14"/>
      <c r="D380" s="18"/>
      <c r="E380" s="18"/>
      <c r="F380" s="18"/>
      <c r="G380" s="18"/>
    </row>
    <row r="381">
      <c r="A381" s="11"/>
      <c r="C381" s="14"/>
      <c r="D381" s="18"/>
      <c r="E381" s="18"/>
      <c r="F381" s="18"/>
      <c r="G381" s="18"/>
    </row>
    <row r="382">
      <c r="A382" s="11"/>
      <c r="C382" s="14"/>
      <c r="D382" s="18"/>
      <c r="E382" s="18"/>
      <c r="F382" s="18"/>
      <c r="G382" s="18"/>
    </row>
    <row r="383">
      <c r="C383" s="20"/>
      <c r="D383" s="20"/>
      <c r="E383" s="20"/>
      <c r="F383" s="20"/>
      <c r="G383" s="20"/>
    </row>
    <row r="384">
      <c r="C384" s="20"/>
      <c r="D384" s="20"/>
      <c r="E384" s="20"/>
      <c r="F384" s="20"/>
      <c r="G384" s="20"/>
    </row>
    <row r="385">
      <c r="C385" s="20"/>
      <c r="D385" s="20"/>
      <c r="E385" s="20"/>
      <c r="F385" s="20"/>
      <c r="G385" s="20"/>
    </row>
    <row r="386">
      <c r="C386" s="20"/>
      <c r="D386" s="20"/>
      <c r="E386" s="20"/>
      <c r="F386" s="20"/>
      <c r="G386" s="20"/>
    </row>
    <row r="387">
      <c r="C387" s="20"/>
      <c r="D387" s="20"/>
      <c r="E387" s="20"/>
      <c r="F387" s="20"/>
      <c r="G387" s="20"/>
    </row>
    <row r="388">
      <c r="C388" s="20"/>
      <c r="D388" s="20"/>
      <c r="E388" s="20"/>
      <c r="F388" s="20"/>
      <c r="G388" s="20"/>
    </row>
    <row r="389">
      <c r="C389" s="20"/>
      <c r="D389" s="20"/>
      <c r="E389" s="20"/>
      <c r="F389" s="20"/>
      <c r="G389" s="20"/>
    </row>
    <row r="390">
      <c r="C390" s="20"/>
      <c r="D390" s="20"/>
      <c r="E390" s="20"/>
      <c r="F390" s="20"/>
      <c r="G390" s="20"/>
    </row>
    <row r="391">
      <c r="C391" s="20"/>
      <c r="D391" s="20"/>
      <c r="E391" s="20"/>
      <c r="F391" s="20"/>
      <c r="G391" s="20"/>
    </row>
    <row r="392">
      <c r="C392" s="20"/>
      <c r="D392" s="20"/>
      <c r="E392" s="20"/>
      <c r="F392" s="20"/>
      <c r="G392" s="20"/>
    </row>
    <row r="393">
      <c r="C393" s="20"/>
      <c r="D393" s="20"/>
      <c r="E393" s="20"/>
      <c r="F393" s="20"/>
      <c r="G393" s="20"/>
    </row>
    <row r="394">
      <c r="C394" s="20"/>
      <c r="D394" s="20"/>
      <c r="E394" s="20"/>
      <c r="F394" s="20"/>
      <c r="G394" s="20"/>
    </row>
    <row r="395">
      <c r="C395" s="20"/>
      <c r="D395" s="20"/>
      <c r="E395" s="20"/>
      <c r="F395" s="20"/>
      <c r="G395" s="20"/>
    </row>
    <row r="396">
      <c r="C396" s="20"/>
      <c r="D396" s="20"/>
      <c r="E396" s="20"/>
      <c r="F396" s="20"/>
      <c r="G396" s="20"/>
    </row>
    <row r="397">
      <c r="C397" s="20"/>
      <c r="D397" s="20"/>
      <c r="E397" s="20"/>
      <c r="F397" s="20"/>
      <c r="G397" s="20"/>
    </row>
    <row r="398">
      <c r="C398" s="20"/>
      <c r="D398" s="20"/>
      <c r="E398" s="20"/>
      <c r="F398" s="20"/>
      <c r="G398" s="20"/>
    </row>
    <row r="399">
      <c r="C399" s="20"/>
      <c r="D399" s="20"/>
      <c r="E399" s="20"/>
      <c r="F399" s="20"/>
      <c r="G399" s="20"/>
    </row>
    <row r="400">
      <c r="C400" s="20"/>
      <c r="D400" s="20"/>
      <c r="E400" s="20"/>
      <c r="F400" s="20"/>
      <c r="G400" s="20"/>
    </row>
    <row r="401">
      <c r="C401" s="20"/>
      <c r="D401" s="20"/>
      <c r="E401" s="20"/>
      <c r="F401" s="20"/>
      <c r="G401" s="20"/>
    </row>
    <row r="402">
      <c r="C402" s="20"/>
      <c r="D402" s="20"/>
      <c r="E402" s="20"/>
      <c r="F402" s="20"/>
      <c r="G402" s="20"/>
    </row>
    <row r="403">
      <c r="C403" s="20"/>
      <c r="D403" s="20"/>
      <c r="E403" s="20"/>
      <c r="F403" s="20"/>
      <c r="G403" s="20"/>
    </row>
    <row r="404">
      <c r="C404" s="20"/>
      <c r="D404" s="20"/>
      <c r="E404" s="20"/>
      <c r="F404" s="20"/>
      <c r="G404" s="20"/>
    </row>
    <row r="405">
      <c r="C405" s="20"/>
      <c r="D405" s="20"/>
      <c r="E405" s="20"/>
      <c r="F405" s="20"/>
      <c r="G405" s="20"/>
    </row>
    <row r="406">
      <c r="C406" s="20"/>
      <c r="D406" s="20"/>
      <c r="E406" s="20"/>
      <c r="F406" s="20"/>
      <c r="G406" s="20"/>
    </row>
    <row r="407">
      <c r="C407" s="20"/>
      <c r="D407" s="20"/>
      <c r="E407" s="20"/>
      <c r="F407" s="20"/>
      <c r="G407" s="20"/>
    </row>
    <row r="408">
      <c r="C408" s="20"/>
      <c r="D408" s="20"/>
      <c r="E408" s="20"/>
      <c r="F408" s="20"/>
      <c r="G408" s="20"/>
    </row>
    <row r="409">
      <c r="C409" s="20"/>
      <c r="D409" s="20"/>
      <c r="E409" s="20"/>
      <c r="F409" s="20"/>
      <c r="G409" s="20"/>
    </row>
    <row r="410">
      <c r="C410" s="20"/>
      <c r="D410" s="20"/>
      <c r="E410" s="20"/>
      <c r="F410" s="20"/>
      <c r="G410" s="20"/>
    </row>
    <row r="411">
      <c r="C411" s="20"/>
      <c r="D411" s="20"/>
      <c r="E411" s="20"/>
      <c r="F411" s="20"/>
      <c r="G411" s="20"/>
    </row>
    <row r="412">
      <c r="C412" s="20"/>
      <c r="D412" s="20"/>
      <c r="E412" s="20"/>
      <c r="F412" s="20"/>
      <c r="G412" s="20"/>
    </row>
    <row r="413">
      <c r="C413" s="20"/>
      <c r="D413" s="20"/>
      <c r="E413" s="20"/>
      <c r="F413" s="20"/>
      <c r="G413" s="20"/>
    </row>
    <row r="414">
      <c r="C414" s="20"/>
      <c r="D414" s="20"/>
      <c r="E414" s="20"/>
      <c r="F414" s="20"/>
      <c r="G414" s="20"/>
    </row>
    <row r="415">
      <c r="C415" s="20"/>
      <c r="D415" s="20"/>
      <c r="E415" s="20"/>
      <c r="F415" s="20"/>
      <c r="G415" s="20"/>
    </row>
    <row r="416">
      <c r="C416" s="20"/>
      <c r="D416" s="20"/>
      <c r="E416" s="20"/>
      <c r="F416" s="20"/>
      <c r="G416" s="20"/>
    </row>
    <row r="417">
      <c r="C417" s="20"/>
      <c r="D417" s="20"/>
      <c r="E417" s="20"/>
      <c r="F417" s="20"/>
      <c r="G417" s="20"/>
    </row>
    <row r="418">
      <c r="C418" s="20"/>
      <c r="D418" s="20"/>
      <c r="E418" s="20"/>
      <c r="F418" s="20"/>
      <c r="G418" s="20"/>
    </row>
    <row r="419">
      <c r="C419" s="20"/>
      <c r="D419" s="20"/>
      <c r="E419" s="20"/>
      <c r="F419" s="20"/>
      <c r="G419" s="20"/>
    </row>
    <row r="420">
      <c r="C420" s="20"/>
      <c r="D420" s="20"/>
      <c r="E420" s="20"/>
      <c r="F420" s="20"/>
      <c r="G420" s="20"/>
    </row>
    <row r="421">
      <c r="C421" s="20"/>
      <c r="D421" s="20"/>
      <c r="E421" s="20"/>
      <c r="F421" s="20"/>
      <c r="G421" s="20"/>
    </row>
    <row r="422">
      <c r="C422" s="20"/>
      <c r="D422" s="20"/>
      <c r="E422" s="20"/>
      <c r="F422" s="20"/>
      <c r="G422" s="20"/>
    </row>
    <row r="423">
      <c r="C423" s="20"/>
      <c r="D423" s="20"/>
      <c r="E423" s="20"/>
      <c r="F423" s="20"/>
      <c r="G423" s="20"/>
    </row>
    <row r="424">
      <c r="C424" s="20"/>
      <c r="D424" s="20"/>
      <c r="E424" s="20"/>
      <c r="F424" s="20"/>
      <c r="G424" s="20"/>
    </row>
    <row r="425">
      <c r="C425" s="20"/>
      <c r="D425" s="20"/>
      <c r="E425" s="20"/>
      <c r="F425" s="20"/>
      <c r="G425" s="20"/>
    </row>
    <row r="426">
      <c r="C426" s="20"/>
      <c r="D426" s="20"/>
      <c r="E426" s="20"/>
      <c r="F426" s="20"/>
      <c r="G426" s="20"/>
    </row>
    <row r="427">
      <c r="C427" s="20"/>
      <c r="D427" s="20"/>
      <c r="E427" s="20"/>
      <c r="F427" s="20"/>
      <c r="G427" s="20"/>
    </row>
    <row r="428">
      <c r="C428" s="20"/>
      <c r="D428" s="20"/>
      <c r="E428" s="20"/>
      <c r="F428" s="20"/>
      <c r="G428" s="20"/>
    </row>
    <row r="429">
      <c r="C429" s="20"/>
      <c r="D429" s="20"/>
      <c r="E429" s="20"/>
      <c r="F429" s="20"/>
      <c r="G429" s="20"/>
    </row>
    <row r="430">
      <c r="C430" s="20"/>
      <c r="D430" s="20"/>
      <c r="E430" s="20"/>
      <c r="F430" s="20"/>
      <c r="G430" s="20"/>
    </row>
    <row r="431">
      <c r="C431" s="20"/>
      <c r="D431" s="20"/>
      <c r="E431" s="20"/>
      <c r="F431" s="20"/>
      <c r="G431" s="20"/>
    </row>
    <row r="432">
      <c r="C432" s="20"/>
      <c r="D432" s="20"/>
      <c r="E432" s="20"/>
      <c r="F432" s="20"/>
      <c r="G432" s="20"/>
    </row>
    <row r="433">
      <c r="C433" s="20"/>
      <c r="D433" s="20"/>
      <c r="E433" s="20"/>
      <c r="F433" s="20"/>
      <c r="G433" s="20"/>
    </row>
    <row r="434">
      <c r="C434" s="20"/>
      <c r="D434" s="20"/>
      <c r="E434" s="20"/>
      <c r="F434" s="20"/>
      <c r="G434" s="20"/>
    </row>
    <row r="435">
      <c r="C435" s="20"/>
      <c r="D435" s="20"/>
      <c r="E435" s="20"/>
      <c r="F435" s="20"/>
      <c r="G435" s="20"/>
    </row>
    <row r="436">
      <c r="C436" s="20"/>
      <c r="D436" s="20"/>
      <c r="E436" s="20"/>
      <c r="F436" s="20"/>
      <c r="G436" s="20"/>
    </row>
    <row r="437">
      <c r="C437" s="20"/>
      <c r="D437" s="20"/>
      <c r="E437" s="20"/>
      <c r="F437" s="20"/>
      <c r="G437" s="20"/>
    </row>
    <row r="438">
      <c r="C438" s="20"/>
      <c r="D438" s="20"/>
      <c r="E438" s="20"/>
      <c r="F438" s="20"/>
      <c r="G438" s="20"/>
    </row>
    <row r="439">
      <c r="C439" s="20"/>
      <c r="D439" s="20"/>
      <c r="E439" s="20"/>
      <c r="F439" s="20"/>
      <c r="G439" s="20"/>
    </row>
    <row r="440">
      <c r="C440" s="20"/>
      <c r="D440" s="20"/>
      <c r="E440" s="20"/>
      <c r="F440" s="20"/>
      <c r="G440" s="20"/>
    </row>
    <row r="441">
      <c r="C441" s="20"/>
      <c r="D441" s="20"/>
      <c r="E441" s="20"/>
      <c r="F441" s="20"/>
      <c r="G441" s="20"/>
    </row>
    <row r="442">
      <c r="C442" s="20"/>
      <c r="D442" s="20"/>
      <c r="E442" s="20"/>
      <c r="F442" s="20"/>
      <c r="G442" s="20"/>
    </row>
    <row r="443">
      <c r="C443" s="20"/>
      <c r="D443" s="20"/>
      <c r="E443" s="20"/>
      <c r="F443" s="20"/>
      <c r="G443" s="20"/>
    </row>
    <row r="444">
      <c r="C444" s="20"/>
      <c r="D444" s="20"/>
      <c r="E444" s="20"/>
      <c r="F444" s="20"/>
      <c r="G444" s="20"/>
    </row>
    <row r="445">
      <c r="C445" s="20"/>
      <c r="D445" s="20"/>
      <c r="E445" s="20"/>
      <c r="F445" s="20"/>
      <c r="G445" s="20"/>
    </row>
    <row r="446">
      <c r="C446" s="20"/>
      <c r="D446" s="20"/>
      <c r="E446" s="20"/>
      <c r="F446" s="20"/>
      <c r="G446" s="20"/>
    </row>
    <row r="447">
      <c r="C447" s="20"/>
      <c r="D447" s="20"/>
      <c r="E447" s="20"/>
      <c r="F447" s="20"/>
      <c r="G447" s="20"/>
    </row>
    <row r="448">
      <c r="C448" s="20"/>
      <c r="D448" s="20"/>
      <c r="E448" s="20"/>
      <c r="F448" s="20"/>
      <c r="G448" s="20"/>
    </row>
    <row r="449">
      <c r="C449" s="20"/>
      <c r="D449" s="20"/>
      <c r="E449" s="20"/>
      <c r="F449" s="20"/>
      <c r="G449" s="20"/>
    </row>
    <row r="450">
      <c r="C450" s="20"/>
      <c r="D450" s="20"/>
      <c r="E450" s="20"/>
      <c r="F450" s="20"/>
      <c r="G450" s="20"/>
    </row>
    <row r="451">
      <c r="C451" s="20"/>
      <c r="D451" s="20"/>
      <c r="E451" s="20"/>
      <c r="F451" s="20"/>
      <c r="G451" s="20"/>
    </row>
    <row r="452">
      <c r="C452" s="20"/>
      <c r="D452" s="20"/>
      <c r="E452" s="20"/>
      <c r="F452" s="20"/>
      <c r="G452" s="20"/>
    </row>
    <row r="453">
      <c r="C453" s="20"/>
      <c r="D453" s="20"/>
      <c r="E453" s="20"/>
      <c r="F453" s="20"/>
      <c r="G453" s="20"/>
    </row>
    <row r="454">
      <c r="C454" s="20"/>
      <c r="D454" s="20"/>
      <c r="E454" s="20"/>
      <c r="F454" s="20"/>
      <c r="G454" s="20"/>
    </row>
    <row r="455">
      <c r="C455" s="20"/>
      <c r="D455" s="20"/>
      <c r="E455" s="20"/>
      <c r="F455" s="20"/>
      <c r="G455" s="20"/>
    </row>
    <row r="456">
      <c r="C456" s="20"/>
      <c r="D456" s="20"/>
      <c r="E456" s="20"/>
      <c r="F456" s="20"/>
      <c r="G456" s="20"/>
    </row>
    <row r="457">
      <c r="C457" s="20"/>
      <c r="D457" s="20"/>
      <c r="E457" s="20"/>
      <c r="F457" s="20"/>
      <c r="G457" s="20"/>
    </row>
    <row r="458">
      <c r="C458" s="20"/>
      <c r="D458" s="20"/>
      <c r="E458" s="20"/>
      <c r="F458" s="20"/>
      <c r="G458" s="20"/>
    </row>
    <row r="459">
      <c r="C459" s="20"/>
      <c r="D459" s="20"/>
      <c r="E459" s="20"/>
      <c r="F459" s="20"/>
      <c r="G459" s="20"/>
    </row>
    <row r="460">
      <c r="C460" s="20"/>
      <c r="D460" s="20"/>
      <c r="E460" s="20"/>
      <c r="F460" s="20"/>
      <c r="G460" s="20"/>
    </row>
    <row r="461">
      <c r="C461" s="20"/>
      <c r="D461" s="20"/>
      <c r="E461" s="20"/>
      <c r="F461" s="20"/>
      <c r="G461" s="20"/>
    </row>
    <row r="462">
      <c r="C462" s="20"/>
      <c r="D462" s="20"/>
      <c r="E462" s="20"/>
      <c r="F462" s="20"/>
      <c r="G462" s="20"/>
    </row>
    <row r="463">
      <c r="C463" s="20"/>
      <c r="D463" s="20"/>
      <c r="E463" s="20"/>
      <c r="F463" s="20"/>
      <c r="G463" s="20"/>
    </row>
    <row r="464">
      <c r="C464" s="20"/>
      <c r="D464" s="20"/>
      <c r="E464" s="20"/>
      <c r="F464" s="20"/>
      <c r="G464" s="20"/>
    </row>
    <row r="465">
      <c r="C465" s="20"/>
      <c r="D465" s="20"/>
      <c r="E465" s="20"/>
      <c r="F465" s="20"/>
      <c r="G465" s="20"/>
    </row>
    <row r="466">
      <c r="C466" s="20"/>
      <c r="D466" s="20"/>
      <c r="E466" s="20"/>
      <c r="F466" s="20"/>
      <c r="G466" s="20"/>
    </row>
    <row r="467">
      <c r="C467" s="20"/>
      <c r="D467" s="20"/>
      <c r="E467" s="20"/>
      <c r="F467" s="20"/>
      <c r="G467" s="20"/>
    </row>
    <row r="468">
      <c r="C468" s="20"/>
      <c r="D468" s="20"/>
      <c r="E468" s="20"/>
      <c r="F468" s="20"/>
      <c r="G468" s="20"/>
    </row>
    <row r="469">
      <c r="C469" s="20"/>
      <c r="D469" s="20"/>
      <c r="E469" s="20"/>
      <c r="F469" s="20"/>
      <c r="G469" s="20"/>
    </row>
    <row r="470">
      <c r="C470" s="20"/>
      <c r="D470" s="20"/>
      <c r="E470" s="20"/>
      <c r="F470" s="20"/>
      <c r="G470" s="20"/>
    </row>
    <row r="471">
      <c r="C471" s="20"/>
      <c r="D471" s="20"/>
      <c r="E471" s="20"/>
      <c r="F471" s="20"/>
      <c r="G471" s="20"/>
    </row>
    <row r="472">
      <c r="C472" s="20"/>
      <c r="D472" s="20"/>
      <c r="E472" s="20"/>
      <c r="F472" s="20"/>
      <c r="G472" s="20"/>
    </row>
    <row r="473">
      <c r="C473" s="20"/>
      <c r="D473" s="20"/>
      <c r="E473" s="20"/>
      <c r="F473" s="20"/>
      <c r="G473" s="20"/>
    </row>
    <row r="474">
      <c r="C474" s="20"/>
      <c r="D474" s="20"/>
      <c r="E474" s="20"/>
      <c r="F474" s="20"/>
      <c r="G474" s="20"/>
    </row>
    <row r="475">
      <c r="C475" s="20"/>
      <c r="D475" s="20"/>
      <c r="E475" s="20"/>
      <c r="F475" s="20"/>
      <c r="G475" s="20"/>
    </row>
    <row r="476">
      <c r="C476" s="20"/>
      <c r="D476" s="20"/>
      <c r="E476" s="20"/>
      <c r="F476" s="20"/>
      <c r="G476" s="20"/>
    </row>
    <row r="477">
      <c r="C477" s="20"/>
      <c r="D477" s="20"/>
      <c r="E477" s="20"/>
      <c r="F477" s="20"/>
      <c r="G477" s="20"/>
    </row>
    <row r="478">
      <c r="C478" s="20"/>
      <c r="D478" s="20"/>
      <c r="E478" s="20"/>
      <c r="F478" s="20"/>
      <c r="G478" s="20"/>
    </row>
    <row r="479">
      <c r="C479" s="20"/>
      <c r="D479" s="20"/>
      <c r="E479" s="20"/>
      <c r="F479" s="20"/>
      <c r="G479" s="20"/>
    </row>
    <row r="480">
      <c r="C480" s="20"/>
      <c r="D480" s="20"/>
      <c r="E480" s="20"/>
      <c r="F480" s="20"/>
      <c r="G480" s="20"/>
    </row>
    <row r="481">
      <c r="C481" s="20"/>
      <c r="D481" s="20"/>
      <c r="E481" s="20"/>
      <c r="F481" s="20"/>
      <c r="G481" s="20"/>
    </row>
    <row r="482">
      <c r="C482" s="20"/>
      <c r="D482" s="20"/>
      <c r="E482" s="20"/>
      <c r="F482" s="20"/>
      <c r="G482" s="20"/>
    </row>
    <row r="483">
      <c r="C483" s="20"/>
      <c r="D483" s="20"/>
      <c r="E483" s="20"/>
      <c r="F483" s="20"/>
      <c r="G483" s="20"/>
    </row>
    <row r="484">
      <c r="C484" s="20"/>
      <c r="D484" s="20"/>
      <c r="E484" s="20"/>
      <c r="F484" s="20"/>
      <c r="G484" s="20"/>
    </row>
    <row r="485">
      <c r="C485" s="20"/>
      <c r="D485" s="20"/>
      <c r="E485" s="20"/>
      <c r="F485" s="20"/>
      <c r="G485" s="20"/>
    </row>
    <row r="486">
      <c r="C486" s="20"/>
      <c r="D486" s="20"/>
      <c r="E486" s="20"/>
      <c r="F486" s="20"/>
      <c r="G486" s="20"/>
    </row>
    <row r="487">
      <c r="C487" s="20"/>
      <c r="D487" s="20"/>
      <c r="E487" s="20"/>
      <c r="F487" s="20"/>
      <c r="G487" s="20"/>
    </row>
    <row r="488">
      <c r="C488" s="20"/>
      <c r="D488" s="20"/>
      <c r="E488" s="20"/>
      <c r="F488" s="20"/>
      <c r="G488" s="20"/>
    </row>
    <row r="489">
      <c r="C489" s="20"/>
      <c r="D489" s="20"/>
      <c r="E489" s="20"/>
      <c r="F489" s="20"/>
      <c r="G489" s="20"/>
    </row>
    <row r="490">
      <c r="C490" s="20"/>
      <c r="D490" s="20"/>
      <c r="E490" s="20"/>
      <c r="F490" s="20"/>
      <c r="G490" s="20"/>
    </row>
    <row r="491">
      <c r="C491" s="20"/>
      <c r="D491" s="20"/>
      <c r="E491" s="20"/>
      <c r="F491" s="20"/>
      <c r="G491" s="20"/>
    </row>
    <row r="492">
      <c r="C492" s="20"/>
      <c r="D492" s="20"/>
      <c r="E492" s="20"/>
      <c r="F492" s="20"/>
      <c r="G492" s="20"/>
    </row>
    <row r="493">
      <c r="C493" s="20"/>
      <c r="D493" s="20"/>
      <c r="E493" s="20"/>
      <c r="F493" s="20"/>
      <c r="G493" s="20"/>
    </row>
    <row r="494">
      <c r="C494" s="20"/>
      <c r="D494" s="20"/>
      <c r="E494" s="20"/>
      <c r="F494" s="20"/>
      <c r="G494" s="20"/>
    </row>
    <row r="495">
      <c r="C495" s="20"/>
      <c r="D495" s="20"/>
      <c r="E495" s="20"/>
      <c r="F495" s="20"/>
      <c r="G495" s="20"/>
    </row>
    <row r="496">
      <c r="C496" s="20"/>
      <c r="D496" s="20"/>
      <c r="E496" s="20"/>
      <c r="F496" s="20"/>
      <c r="G496" s="20"/>
    </row>
    <row r="497">
      <c r="C497" s="20"/>
      <c r="D497" s="20"/>
      <c r="E497" s="20"/>
      <c r="F497" s="20"/>
      <c r="G497" s="20"/>
    </row>
    <row r="498">
      <c r="C498" s="20"/>
      <c r="D498" s="20"/>
      <c r="E498" s="20"/>
      <c r="F498" s="20"/>
      <c r="G498" s="20"/>
    </row>
    <row r="499">
      <c r="C499" s="20"/>
      <c r="D499" s="20"/>
      <c r="E499" s="20"/>
      <c r="F499" s="20"/>
      <c r="G499" s="20"/>
    </row>
    <row r="500">
      <c r="C500" s="20"/>
      <c r="D500" s="20"/>
      <c r="E500" s="20"/>
      <c r="F500" s="20"/>
      <c r="G500" s="20"/>
    </row>
    <row r="501">
      <c r="C501" s="20"/>
      <c r="D501" s="20"/>
      <c r="E501" s="20"/>
      <c r="F501" s="20"/>
      <c r="G501" s="20"/>
    </row>
    <row r="502">
      <c r="C502" s="20"/>
      <c r="D502" s="20"/>
      <c r="E502" s="20"/>
      <c r="F502" s="20"/>
      <c r="G502" s="20"/>
    </row>
    <row r="503">
      <c r="C503" s="20"/>
      <c r="D503" s="20"/>
      <c r="E503" s="20"/>
      <c r="F503" s="20"/>
      <c r="G503" s="20"/>
    </row>
    <row r="504">
      <c r="C504" s="20"/>
      <c r="D504" s="20"/>
      <c r="E504" s="20"/>
      <c r="F504" s="20"/>
      <c r="G504" s="20"/>
    </row>
    <row r="505">
      <c r="C505" s="20"/>
      <c r="D505" s="20"/>
      <c r="E505" s="20"/>
      <c r="F505" s="20"/>
      <c r="G505" s="20"/>
    </row>
    <row r="506">
      <c r="C506" s="20"/>
      <c r="D506" s="20"/>
      <c r="E506" s="20"/>
      <c r="F506" s="20"/>
      <c r="G506" s="20"/>
    </row>
    <row r="507">
      <c r="C507" s="20"/>
      <c r="D507" s="20"/>
      <c r="E507" s="20"/>
      <c r="F507" s="20"/>
      <c r="G507" s="20"/>
    </row>
    <row r="508">
      <c r="C508" s="20"/>
      <c r="D508" s="20"/>
      <c r="E508" s="20"/>
      <c r="F508" s="20"/>
      <c r="G508" s="20"/>
    </row>
    <row r="509">
      <c r="C509" s="20"/>
      <c r="D509" s="20"/>
      <c r="E509" s="20"/>
      <c r="F509" s="20"/>
      <c r="G509" s="20"/>
    </row>
    <row r="510">
      <c r="C510" s="20"/>
      <c r="D510" s="20"/>
      <c r="E510" s="20"/>
      <c r="F510" s="20"/>
      <c r="G510" s="20"/>
    </row>
    <row r="511">
      <c r="C511" s="20"/>
      <c r="D511" s="20"/>
      <c r="E511" s="20"/>
      <c r="F511" s="20"/>
      <c r="G511" s="20"/>
    </row>
    <row r="512">
      <c r="C512" s="20"/>
      <c r="D512" s="20"/>
      <c r="E512" s="20"/>
      <c r="F512" s="20"/>
      <c r="G512" s="20"/>
    </row>
    <row r="513">
      <c r="C513" s="20"/>
      <c r="D513" s="20"/>
      <c r="E513" s="20"/>
      <c r="F513" s="20"/>
      <c r="G513" s="20"/>
    </row>
    <row r="514">
      <c r="C514" s="20"/>
      <c r="D514" s="20"/>
      <c r="E514" s="20"/>
      <c r="F514" s="20"/>
      <c r="G514" s="20"/>
    </row>
    <row r="515">
      <c r="C515" s="20"/>
      <c r="D515" s="20"/>
      <c r="E515" s="20"/>
      <c r="F515" s="20"/>
      <c r="G515" s="20"/>
    </row>
    <row r="516">
      <c r="C516" s="20"/>
      <c r="D516" s="20"/>
      <c r="E516" s="20"/>
      <c r="F516" s="20"/>
      <c r="G516" s="20"/>
    </row>
    <row r="517">
      <c r="C517" s="20"/>
      <c r="D517" s="20"/>
      <c r="E517" s="20"/>
      <c r="F517" s="20"/>
      <c r="G517" s="20"/>
    </row>
    <row r="518">
      <c r="C518" s="20"/>
      <c r="D518" s="20"/>
      <c r="E518" s="20"/>
      <c r="F518" s="20"/>
      <c r="G518" s="20"/>
    </row>
    <row r="519">
      <c r="C519" s="20"/>
      <c r="D519" s="20"/>
      <c r="E519" s="20"/>
      <c r="F519" s="20"/>
      <c r="G519" s="20"/>
    </row>
    <row r="520">
      <c r="C520" s="20"/>
      <c r="D520" s="20"/>
      <c r="E520" s="20"/>
      <c r="F520" s="20"/>
      <c r="G520" s="20"/>
    </row>
    <row r="521">
      <c r="C521" s="20"/>
      <c r="D521" s="20"/>
      <c r="E521" s="20"/>
      <c r="F521" s="20"/>
      <c r="G521" s="20"/>
    </row>
    <row r="522">
      <c r="C522" s="20"/>
      <c r="D522" s="20"/>
      <c r="E522" s="20"/>
      <c r="F522" s="20"/>
      <c r="G522" s="20"/>
    </row>
    <row r="523">
      <c r="C523" s="20"/>
      <c r="D523" s="20"/>
      <c r="E523" s="20"/>
      <c r="F523" s="20"/>
      <c r="G523" s="20"/>
    </row>
    <row r="524">
      <c r="C524" s="20"/>
      <c r="D524" s="20"/>
      <c r="E524" s="20"/>
      <c r="F524" s="20"/>
      <c r="G524" s="20"/>
    </row>
    <row r="525">
      <c r="C525" s="20"/>
      <c r="D525" s="20"/>
      <c r="E525" s="20"/>
      <c r="F525" s="20"/>
      <c r="G525" s="20"/>
    </row>
    <row r="526">
      <c r="C526" s="20"/>
      <c r="D526" s="20"/>
      <c r="E526" s="20"/>
      <c r="F526" s="20"/>
      <c r="G526" s="20"/>
    </row>
    <row r="527">
      <c r="C527" s="20"/>
      <c r="D527" s="20"/>
      <c r="E527" s="20"/>
      <c r="F527" s="20"/>
      <c r="G527" s="20"/>
    </row>
    <row r="528">
      <c r="C528" s="20"/>
      <c r="D528" s="20"/>
      <c r="E528" s="20"/>
      <c r="F528" s="20"/>
      <c r="G528" s="20"/>
    </row>
    <row r="529">
      <c r="C529" s="20"/>
      <c r="D529" s="20"/>
      <c r="E529" s="20"/>
      <c r="F529" s="20"/>
      <c r="G529" s="20"/>
    </row>
    <row r="530">
      <c r="C530" s="20"/>
      <c r="D530" s="20"/>
      <c r="E530" s="20"/>
      <c r="F530" s="20"/>
      <c r="G530" s="20"/>
    </row>
    <row r="531">
      <c r="C531" s="20"/>
      <c r="D531" s="20"/>
      <c r="E531" s="20"/>
      <c r="F531" s="20"/>
      <c r="G531" s="20"/>
    </row>
    <row r="532">
      <c r="C532" s="20"/>
      <c r="D532" s="20"/>
      <c r="E532" s="20"/>
      <c r="F532" s="20"/>
      <c r="G532" s="20"/>
    </row>
    <row r="533">
      <c r="C533" s="20"/>
      <c r="D533" s="20"/>
      <c r="E533" s="20"/>
      <c r="F533" s="20"/>
      <c r="G533" s="20"/>
    </row>
    <row r="534">
      <c r="C534" s="20"/>
      <c r="D534" s="20"/>
      <c r="E534" s="20"/>
      <c r="F534" s="20"/>
      <c r="G534" s="20"/>
    </row>
    <row r="535">
      <c r="C535" s="20"/>
      <c r="D535" s="20"/>
      <c r="E535" s="20"/>
      <c r="F535" s="20"/>
      <c r="G535" s="20"/>
    </row>
    <row r="536">
      <c r="C536" s="20"/>
      <c r="D536" s="20"/>
      <c r="E536" s="20"/>
      <c r="F536" s="20"/>
      <c r="G536" s="20"/>
    </row>
    <row r="537">
      <c r="C537" s="20"/>
      <c r="D537" s="20"/>
      <c r="E537" s="20"/>
      <c r="F537" s="20"/>
      <c r="G537" s="20"/>
    </row>
    <row r="538">
      <c r="C538" s="20"/>
      <c r="D538" s="20"/>
      <c r="E538" s="20"/>
      <c r="F538" s="20"/>
      <c r="G538" s="20"/>
    </row>
    <row r="539">
      <c r="C539" s="20"/>
      <c r="D539" s="20"/>
      <c r="E539" s="20"/>
      <c r="F539" s="20"/>
      <c r="G539" s="20"/>
    </row>
    <row r="540">
      <c r="C540" s="20"/>
      <c r="D540" s="20"/>
      <c r="E540" s="20"/>
      <c r="F540" s="20"/>
      <c r="G540" s="20"/>
    </row>
    <row r="541">
      <c r="C541" s="20"/>
      <c r="D541" s="20"/>
      <c r="E541" s="20"/>
      <c r="F541" s="20"/>
      <c r="G541" s="20"/>
    </row>
    <row r="542">
      <c r="C542" s="20"/>
      <c r="D542" s="20"/>
      <c r="E542" s="20"/>
      <c r="F542" s="20"/>
      <c r="G542" s="20"/>
    </row>
    <row r="543">
      <c r="C543" s="20"/>
      <c r="D543" s="20"/>
      <c r="E543" s="20"/>
      <c r="F543" s="20"/>
      <c r="G543" s="20"/>
    </row>
    <row r="544">
      <c r="C544" s="20"/>
      <c r="D544" s="20"/>
      <c r="E544" s="20"/>
      <c r="F544" s="20"/>
      <c r="G544" s="20"/>
    </row>
    <row r="545">
      <c r="C545" s="20"/>
      <c r="D545" s="20"/>
      <c r="E545" s="20"/>
      <c r="F545" s="20"/>
      <c r="G545" s="20"/>
    </row>
    <row r="546">
      <c r="C546" s="20"/>
      <c r="D546" s="20"/>
      <c r="E546" s="20"/>
      <c r="F546" s="20"/>
      <c r="G546" s="20"/>
    </row>
    <row r="547">
      <c r="C547" s="20"/>
      <c r="D547" s="20"/>
      <c r="E547" s="20"/>
      <c r="F547" s="20"/>
      <c r="G547" s="20"/>
    </row>
    <row r="548">
      <c r="C548" s="20"/>
      <c r="D548" s="20"/>
      <c r="E548" s="20"/>
      <c r="F548" s="20"/>
      <c r="G548" s="20"/>
    </row>
    <row r="549">
      <c r="C549" s="20"/>
      <c r="D549" s="20"/>
      <c r="E549" s="20"/>
      <c r="F549" s="20"/>
      <c r="G549" s="20"/>
    </row>
    <row r="550">
      <c r="C550" s="20"/>
      <c r="D550" s="20"/>
      <c r="E550" s="20"/>
      <c r="F550" s="20"/>
      <c r="G550" s="20"/>
    </row>
    <row r="551">
      <c r="C551" s="20"/>
      <c r="D551" s="20"/>
      <c r="E551" s="20"/>
      <c r="F551" s="20"/>
      <c r="G551" s="20"/>
    </row>
    <row r="552">
      <c r="C552" s="20"/>
      <c r="D552" s="20"/>
      <c r="E552" s="20"/>
      <c r="F552" s="20"/>
      <c r="G552" s="20"/>
    </row>
    <row r="553">
      <c r="C553" s="20"/>
      <c r="D553" s="20"/>
      <c r="E553" s="20"/>
      <c r="F553" s="20"/>
      <c r="G553" s="20"/>
    </row>
    <row r="554">
      <c r="C554" s="20"/>
      <c r="D554" s="20"/>
      <c r="E554" s="20"/>
      <c r="F554" s="20"/>
      <c r="G554" s="20"/>
    </row>
    <row r="555">
      <c r="C555" s="20"/>
      <c r="D555" s="20"/>
      <c r="E555" s="20"/>
      <c r="F555" s="20"/>
      <c r="G555" s="20"/>
    </row>
    <row r="556">
      <c r="C556" s="20"/>
      <c r="D556" s="20"/>
      <c r="E556" s="20"/>
      <c r="F556" s="20"/>
      <c r="G556" s="20"/>
    </row>
    <row r="557">
      <c r="C557" s="20"/>
      <c r="D557" s="20"/>
      <c r="E557" s="20"/>
      <c r="F557" s="20"/>
      <c r="G557" s="20"/>
    </row>
    <row r="558">
      <c r="C558" s="20"/>
      <c r="D558" s="20"/>
      <c r="E558" s="20"/>
      <c r="F558" s="20"/>
      <c r="G558" s="20"/>
    </row>
    <row r="559">
      <c r="C559" s="20"/>
      <c r="D559" s="20"/>
      <c r="E559" s="20"/>
      <c r="F559" s="20"/>
      <c r="G559" s="20"/>
    </row>
    <row r="560">
      <c r="C560" s="20"/>
      <c r="D560" s="20"/>
      <c r="E560" s="20"/>
      <c r="F560" s="20"/>
      <c r="G560" s="20"/>
    </row>
    <row r="561">
      <c r="C561" s="20"/>
      <c r="D561" s="20"/>
      <c r="E561" s="20"/>
      <c r="F561" s="20"/>
      <c r="G561" s="20"/>
    </row>
    <row r="562">
      <c r="C562" s="20"/>
      <c r="D562" s="20"/>
      <c r="E562" s="20"/>
      <c r="F562" s="20"/>
      <c r="G562" s="20"/>
    </row>
    <row r="563">
      <c r="C563" s="20"/>
      <c r="D563" s="20"/>
      <c r="E563" s="20"/>
      <c r="F563" s="20"/>
      <c r="G563" s="20"/>
    </row>
    <row r="564">
      <c r="C564" s="20"/>
      <c r="D564" s="20"/>
      <c r="E564" s="20"/>
      <c r="F564" s="20"/>
      <c r="G564" s="20"/>
    </row>
    <row r="565">
      <c r="C565" s="20"/>
      <c r="D565" s="20"/>
      <c r="E565" s="20"/>
      <c r="F565" s="20"/>
      <c r="G565" s="20"/>
    </row>
    <row r="566">
      <c r="C566" s="20"/>
      <c r="D566" s="20"/>
      <c r="E566" s="20"/>
      <c r="F566" s="20"/>
      <c r="G566" s="20"/>
    </row>
    <row r="567">
      <c r="C567" s="20"/>
      <c r="D567" s="20"/>
      <c r="E567" s="20"/>
      <c r="F567" s="20"/>
      <c r="G567" s="20"/>
    </row>
    <row r="568">
      <c r="C568" s="20"/>
      <c r="D568" s="20"/>
      <c r="E568" s="20"/>
      <c r="F568" s="20"/>
      <c r="G568" s="20"/>
    </row>
    <row r="569">
      <c r="C569" s="20"/>
      <c r="D569" s="20"/>
      <c r="E569" s="20"/>
      <c r="F569" s="20"/>
      <c r="G569" s="20"/>
    </row>
    <row r="570">
      <c r="C570" s="20"/>
      <c r="D570" s="20"/>
      <c r="E570" s="20"/>
      <c r="F570" s="20"/>
      <c r="G570" s="20"/>
    </row>
    <row r="571">
      <c r="C571" s="20"/>
      <c r="D571" s="20"/>
      <c r="E571" s="20"/>
      <c r="F571" s="20"/>
      <c r="G571" s="20"/>
    </row>
    <row r="572">
      <c r="C572" s="20"/>
      <c r="D572" s="20"/>
      <c r="E572" s="20"/>
      <c r="F572" s="20"/>
      <c r="G572" s="20"/>
    </row>
    <row r="573">
      <c r="C573" s="20"/>
      <c r="D573" s="20"/>
      <c r="E573" s="20"/>
      <c r="F573" s="20"/>
      <c r="G573" s="20"/>
    </row>
    <row r="574">
      <c r="C574" s="20"/>
      <c r="D574" s="20"/>
      <c r="E574" s="20"/>
      <c r="F574" s="20"/>
      <c r="G574" s="20"/>
    </row>
    <row r="575">
      <c r="C575" s="20"/>
      <c r="D575" s="20"/>
      <c r="E575" s="20"/>
      <c r="F575" s="20"/>
      <c r="G575" s="20"/>
    </row>
    <row r="576">
      <c r="C576" s="20"/>
      <c r="D576" s="20"/>
      <c r="E576" s="20"/>
      <c r="F576" s="20"/>
      <c r="G576" s="20"/>
    </row>
    <row r="577">
      <c r="C577" s="20"/>
      <c r="D577" s="20"/>
      <c r="E577" s="20"/>
      <c r="F577" s="20"/>
      <c r="G577" s="20"/>
    </row>
    <row r="578">
      <c r="C578" s="20"/>
      <c r="D578" s="20"/>
      <c r="E578" s="20"/>
      <c r="F578" s="20"/>
      <c r="G578" s="20"/>
    </row>
    <row r="579">
      <c r="C579" s="20"/>
      <c r="D579" s="20"/>
      <c r="E579" s="20"/>
      <c r="F579" s="20"/>
      <c r="G579" s="20"/>
    </row>
    <row r="580">
      <c r="C580" s="20"/>
      <c r="D580" s="20"/>
      <c r="E580" s="20"/>
      <c r="F580" s="20"/>
      <c r="G580" s="20"/>
    </row>
    <row r="581">
      <c r="C581" s="20"/>
      <c r="D581" s="20"/>
      <c r="E581" s="20"/>
      <c r="F581" s="20"/>
      <c r="G581" s="20"/>
    </row>
    <row r="582">
      <c r="C582" s="20"/>
      <c r="D582" s="20"/>
      <c r="E582" s="20"/>
      <c r="F582" s="20"/>
      <c r="G582" s="20"/>
    </row>
    <row r="583">
      <c r="C583" s="20"/>
      <c r="D583" s="20"/>
      <c r="E583" s="20"/>
      <c r="F583" s="20"/>
      <c r="G583" s="20"/>
    </row>
    <row r="584">
      <c r="C584" s="20"/>
      <c r="D584" s="20"/>
      <c r="E584" s="20"/>
      <c r="F584" s="20"/>
      <c r="G584" s="20"/>
    </row>
    <row r="585">
      <c r="C585" s="20"/>
      <c r="D585" s="20"/>
      <c r="E585" s="20"/>
      <c r="F585" s="20"/>
      <c r="G585" s="20"/>
    </row>
    <row r="586">
      <c r="C586" s="20"/>
      <c r="D586" s="20"/>
      <c r="E586" s="20"/>
      <c r="F586" s="20"/>
      <c r="G586" s="20"/>
    </row>
    <row r="587">
      <c r="C587" s="20"/>
      <c r="D587" s="20"/>
      <c r="E587" s="20"/>
      <c r="F587" s="20"/>
      <c r="G587" s="20"/>
    </row>
    <row r="588">
      <c r="C588" s="20"/>
      <c r="D588" s="20"/>
      <c r="E588" s="20"/>
      <c r="F588" s="20"/>
      <c r="G588" s="20"/>
    </row>
    <row r="589">
      <c r="C589" s="20"/>
      <c r="D589" s="20"/>
      <c r="E589" s="20"/>
      <c r="F589" s="20"/>
      <c r="G589" s="20"/>
    </row>
    <row r="590">
      <c r="C590" s="20"/>
      <c r="D590" s="20"/>
      <c r="E590" s="20"/>
      <c r="F590" s="20"/>
      <c r="G590" s="20"/>
    </row>
    <row r="591">
      <c r="C591" s="20"/>
      <c r="D591" s="20"/>
      <c r="E591" s="20"/>
      <c r="F591" s="20"/>
      <c r="G591" s="20"/>
    </row>
    <row r="592">
      <c r="C592" s="20"/>
      <c r="D592" s="20"/>
      <c r="E592" s="20"/>
      <c r="F592" s="20"/>
      <c r="G592" s="20"/>
    </row>
    <row r="593">
      <c r="C593" s="20"/>
      <c r="D593" s="20"/>
      <c r="E593" s="20"/>
      <c r="F593" s="20"/>
      <c r="G593" s="20"/>
    </row>
    <row r="594">
      <c r="C594" s="20"/>
      <c r="D594" s="20"/>
      <c r="E594" s="20"/>
      <c r="F594" s="20"/>
      <c r="G594" s="20"/>
    </row>
    <row r="595">
      <c r="C595" s="20"/>
      <c r="D595" s="20"/>
      <c r="E595" s="20"/>
      <c r="F595" s="20"/>
      <c r="G595" s="20"/>
    </row>
    <row r="596">
      <c r="C596" s="20"/>
      <c r="D596" s="20"/>
      <c r="E596" s="20"/>
      <c r="F596" s="20"/>
      <c r="G596" s="20"/>
    </row>
    <row r="597">
      <c r="C597" s="20"/>
      <c r="D597" s="20"/>
      <c r="E597" s="20"/>
      <c r="F597" s="20"/>
      <c r="G597" s="20"/>
    </row>
    <row r="598">
      <c r="C598" s="20"/>
      <c r="D598" s="20"/>
      <c r="E598" s="20"/>
      <c r="F598" s="20"/>
      <c r="G598" s="20"/>
    </row>
    <row r="599">
      <c r="C599" s="20"/>
      <c r="D599" s="20"/>
      <c r="E599" s="20"/>
      <c r="F599" s="20"/>
      <c r="G599" s="20"/>
    </row>
    <row r="600">
      <c r="C600" s="20"/>
      <c r="D600" s="20"/>
      <c r="E600" s="20"/>
      <c r="F600" s="20"/>
      <c r="G600" s="20"/>
    </row>
    <row r="601">
      <c r="C601" s="20"/>
      <c r="D601" s="20"/>
      <c r="E601" s="20"/>
      <c r="F601" s="20"/>
      <c r="G601" s="20"/>
    </row>
    <row r="602">
      <c r="C602" s="20"/>
      <c r="D602" s="20"/>
      <c r="E602" s="20"/>
      <c r="F602" s="20"/>
      <c r="G602" s="20"/>
    </row>
    <row r="603">
      <c r="C603" s="20"/>
      <c r="D603" s="20"/>
      <c r="E603" s="20"/>
      <c r="F603" s="20"/>
      <c r="G603" s="20"/>
    </row>
    <row r="604">
      <c r="C604" s="20"/>
      <c r="D604" s="20"/>
      <c r="E604" s="20"/>
      <c r="F604" s="20"/>
      <c r="G604" s="20"/>
    </row>
    <row r="605">
      <c r="C605" s="20"/>
      <c r="D605" s="20"/>
      <c r="E605" s="20"/>
      <c r="F605" s="20"/>
      <c r="G605" s="20"/>
    </row>
    <row r="606">
      <c r="C606" s="20"/>
      <c r="D606" s="20"/>
      <c r="E606" s="20"/>
      <c r="F606" s="20"/>
      <c r="G606" s="20"/>
    </row>
    <row r="607">
      <c r="C607" s="20"/>
      <c r="D607" s="20"/>
      <c r="E607" s="20"/>
      <c r="F607" s="20"/>
      <c r="G607" s="20"/>
    </row>
    <row r="608">
      <c r="C608" s="20"/>
      <c r="D608" s="20"/>
      <c r="E608" s="20"/>
      <c r="F608" s="20"/>
      <c r="G608" s="20"/>
    </row>
    <row r="609">
      <c r="C609" s="20"/>
      <c r="D609" s="20"/>
      <c r="E609" s="20"/>
      <c r="F609" s="20"/>
      <c r="G609" s="20"/>
    </row>
    <row r="610">
      <c r="C610" s="20"/>
      <c r="D610" s="20"/>
      <c r="E610" s="20"/>
      <c r="F610" s="20"/>
      <c r="G610" s="20"/>
    </row>
    <row r="611">
      <c r="C611" s="20"/>
      <c r="D611" s="20"/>
      <c r="E611" s="20"/>
      <c r="F611" s="20"/>
      <c r="G611" s="20"/>
    </row>
    <row r="612">
      <c r="C612" s="20"/>
      <c r="D612" s="20"/>
      <c r="E612" s="20"/>
      <c r="F612" s="20"/>
      <c r="G612" s="20"/>
    </row>
    <row r="613">
      <c r="C613" s="20"/>
      <c r="D613" s="20"/>
      <c r="E613" s="20"/>
      <c r="F613" s="20"/>
      <c r="G613" s="20"/>
    </row>
    <row r="614">
      <c r="C614" s="20"/>
      <c r="D614" s="20"/>
      <c r="E614" s="20"/>
      <c r="F614" s="20"/>
      <c r="G614" s="20"/>
    </row>
    <row r="615">
      <c r="C615" s="20"/>
      <c r="D615" s="20"/>
      <c r="E615" s="20"/>
      <c r="F615" s="20"/>
      <c r="G615" s="20"/>
    </row>
    <row r="616">
      <c r="C616" s="20"/>
      <c r="D616" s="20"/>
      <c r="E616" s="20"/>
      <c r="F616" s="20"/>
      <c r="G616" s="20"/>
    </row>
    <row r="617">
      <c r="C617" s="20"/>
      <c r="D617" s="20"/>
      <c r="E617" s="20"/>
      <c r="F617" s="20"/>
      <c r="G617" s="20"/>
    </row>
    <row r="618">
      <c r="C618" s="20"/>
      <c r="D618" s="20"/>
      <c r="E618" s="20"/>
      <c r="F618" s="20"/>
      <c r="G618" s="20"/>
    </row>
    <row r="619">
      <c r="C619" s="20"/>
      <c r="D619" s="20"/>
      <c r="E619" s="20"/>
      <c r="F619" s="20"/>
      <c r="G619" s="20"/>
    </row>
    <row r="620">
      <c r="C620" s="20"/>
      <c r="D620" s="20"/>
      <c r="E620" s="20"/>
      <c r="F620" s="20"/>
      <c r="G620" s="20"/>
    </row>
    <row r="621">
      <c r="C621" s="20"/>
      <c r="D621" s="20"/>
      <c r="E621" s="20"/>
      <c r="F621" s="20"/>
      <c r="G621" s="20"/>
    </row>
    <row r="622">
      <c r="C622" s="20"/>
      <c r="D622" s="20"/>
      <c r="E622" s="20"/>
      <c r="F622" s="20"/>
      <c r="G622" s="20"/>
    </row>
    <row r="623">
      <c r="C623" s="20"/>
      <c r="D623" s="20"/>
      <c r="E623" s="20"/>
      <c r="F623" s="20"/>
      <c r="G623" s="20"/>
    </row>
    <row r="624">
      <c r="C624" s="20"/>
      <c r="D624" s="20"/>
      <c r="E624" s="20"/>
      <c r="F624" s="20"/>
      <c r="G624" s="20"/>
    </row>
    <row r="625">
      <c r="C625" s="20"/>
      <c r="D625" s="20"/>
      <c r="E625" s="20"/>
      <c r="F625" s="20"/>
      <c r="G625" s="20"/>
    </row>
    <row r="626">
      <c r="C626" s="20"/>
      <c r="D626" s="20"/>
      <c r="E626" s="20"/>
      <c r="F626" s="20"/>
      <c r="G626" s="20"/>
    </row>
    <row r="627">
      <c r="C627" s="20"/>
      <c r="D627" s="20"/>
      <c r="E627" s="20"/>
      <c r="F627" s="20"/>
      <c r="G627" s="20"/>
    </row>
    <row r="628">
      <c r="C628" s="20"/>
      <c r="D628" s="20"/>
      <c r="E628" s="20"/>
      <c r="F628" s="20"/>
      <c r="G628" s="20"/>
    </row>
    <row r="629">
      <c r="C629" s="20"/>
      <c r="D629" s="20"/>
      <c r="E629" s="20"/>
      <c r="F629" s="20"/>
      <c r="G629" s="20"/>
    </row>
    <row r="630">
      <c r="C630" s="20"/>
      <c r="D630" s="20"/>
      <c r="E630" s="20"/>
      <c r="F630" s="20"/>
      <c r="G630" s="20"/>
    </row>
    <row r="631">
      <c r="C631" s="20"/>
      <c r="D631" s="20"/>
      <c r="E631" s="20"/>
      <c r="F631" s="20"/>
      <c r="G631" s="20"/>
    </row>
    <row r="632">
      <c r="C632" s="20"/>
      <c r="D632" s="20"/>
      <c r="E632" s="20"/>
      <c r="F632" s="20"/>
      <c r="G632" s="20"/>
    </row>
    <row r="633">
      <c r="C633" s="20"/>
      <c r="D633" s="20"/>
      <c r="E633" s="20"/>
      <c r="F633" s="20"/>
      <c r="G633" s="20"/>
    </row>
    <row r="634">
      <c r="C634" s="20"/>
      <c r="D634" s="20"/>
      <c r="E634" s="20"/>
      <c r="F634" s="20"/>
      <c r="G634" s="20"/>
    </row>
    <row r="635">
      <c r="C635" s="20"/>
      <c r="D635" s="20"/>
      <c r="E635" s="20"/>
      <c r="F635" s="20"/>
      <c r="G635" s="20"/>
    </row>
    <row r="636">
      <c r="C636" s="20"/>
      <c r="D636" s="20"/>
      <c r="E636" s="20"/>
      <c r="F636" s="20"/>
      <c r="G636" s="20"/>
    </row>
    <row r="637">
      <c r="C637" s="20"/>
      <c r="D637" s="20"/>
      <c r="E637" s="20"/>
      <c r="F637" s="20"/>
      <c r="G637" s="20"/>
    </row>
    <row r="638">
      <c r="C638" s="20"/>
      <c r="D638" s="20"/>
      <c r="E638" s="20"/>
      <c r="F638" s="20"/>
      <c r="G638" s="20"/>
    </row>
    <row r="639">
      <c r="C639" s="20"/>
      <c r="D639" s="20"/>
      <c r="E639" s="20"/>
      <c r="F639" s="20"/>
      <c r="G639" s="20"/>
    </row>
    <row r="640">
      <c r="C640" s="20"/>
      <c r="D640" s="20"/>
      <c r="E640" s="20"/>
      <c r="F640" s="20"/>
      <c r="G640" s="20"/>
    </row>
    <row r="641">
      <c r="C641" s="20"/>
      <c r="D641" s="20"/>
      <c r="E641" s="20"/>
      <c r="F641" s="20"/>
      <c r="G641" s="20"/>
    </row>
    <row r="642">
      <c r="C642" s="20"/>
      <c r="D642" s="20"/>
      <c r="E642" s="20"/>
      <c r="F642" s="20"/>
      <c r="G642" s="20"/>
    </row>
    <row r="643">
      <c r="C643" s="20"/>
      <c r="D643" s="20"/>
      <c r="E643" s="20"/>
      <c r="F643" s="20"/>
      <c r="G643" s="20"/>
    </row>
    <row r="644">
      <c r="C644" s="20"/>
      <c r="D644" s="20"/>
      <c r="E644" s="20"/>
      <c r="F644" s="20"/>
      <c r="G644" s="20"/>
    </row>
    <row r="645">
      <c r="C645" s="20"/>
      <c r="D645" s="20"/>
      <c r="E645" s="20"/>
      <c r="F645" s="20"/>
      <c r="G645" s="20"/>
    </row>
    <row r="646">
      <c r="C646" s="20"/>
      <c r="D646" s="20"/>
      <c r="E646" s="20"/>
      <c r="F646" s="20"/>
      <c r="G646" s="20"/>
    </row>
    <row r="647">
      <c r="C647" s="20"/>
      <c r="D647" s="20"/>
      <c r="E647" s="20"/>
      <c r="F647" s="20"/>
      <c r="G647" s="20"/>
    </row>
    <row r="648">
      <c r="C648" s="20"/>
      <c r="D648" s="20"/>
      <c r="E648" s="20"/>
      <c r="F648" s="20"/>
      <c r="G648" s="20"/>
    </row>
    <row r="649">
      <c r="C649" s="20"/>
      <c r="D649" s="20"/>
      <c r="E649" s="20"/>
      <c r="F649" s="20"/>
      <c r="G649" s="20"/>
    </row>
    <row r="650">
      <c r="C650" s="20"/>
      <c r="D650" s="20"/>
      <c r="E650" s="20"/>
      <c r="F650" s="20"/>
      <c r="G650" s="20"/>
    </row>
    <row r="651">
      <c r="C651" s="20"/>
      <c r="D651" s="20"/>
      <c r="E651" s="20"/>
      <c r="F651" s="20"/>
      <c r="G651" s="20"/>
    </row>
    <row r="652">
      <c r="C652" s="20"/>
      <c r="D652" s="20"/>
      <c r="E652" s="20"/>
      <c r="F652" s="20"/>
      <c r="G652" s="20"/>
    </row>
    <row r="653">
      <c r="C653" s="20"/>
      <c r="D653" s="20"/>
      <c r="E653" s="20"/>
      <c r="F653" s="20"/>
      <c r="G653" s="20"/>
    </row>
    <row r="654">
      <c r="C654" s="20"/>
      <c r="D654" s="20"/>
      <c r="E654" s="20"/>
      <c r="F654" s="20"/>
      <c r="G654" s="20"/>
    </row>
    <row r="655">
      <c r="C655" s="20"/>
      <c r="D655" s="20"/>
      <c r="E655" s="20"/>
      <c r="F655" s="20"/>
      <c r="G655" s="20"/>
    </row>
    <row r="656">
      <c r="C656" s="20"/>
      <c r="D656" s="20"/>
      <c r="E656" s="20"/>
      <c r="F656" s="20"/>
      <c r="G656" s="20"/>
    </row>
    <row r="657">
      <c r="C657" s="20"/>
      <c r="D657" s="20"/>
      <c r="E657" s="20"/>
      <c r="F657" s="20"/>
      <c r="G657" s="20"/>
    </row>
    <row r="658">
      <c r="C658" s="20"/>
      <c r="D658" s="20"/>
      <c r="E658" s="20"/>
      <c r="F658" s="20"/>
      <c r="G658" s="20"/>
    </row>
    <row r="659">
      <c r="C659" s="20"/>
      <c r="D659" s="20"/>
      <c r="E659" s="20"/>
      <c r="F659" s="20"/>
      <c r="G659" s="20"/>
    </row>
    <row r="660">
      <c r="C660" s="20"/>
      <c r="D660" s="20"/>
      <c r="E660" s="20"/>
      <c r="F660" s="20"/>
      <c r="G660" s="20"/>
    </row>
    <row r="661">
      <c r="C661" s="20"/>
      <c r="D661" s="20"/>
      <c r="E661" s="20"/>
      <c r="F661" s="20"/>
      <c r="G661" s="20"/>
    </row>
    <row r="662">
      <c r="C662" s="20"/>
      <c r="D662" s="20"/>
      <c r="E662" s="20"/>
      <c r="F662" s="20"/>
      <c r="G662" s="20"/>
    </row>
    <row r="663">
      <c r="C663" s="20"/>
      <c r="D663" s="20"/>
      <c r="E663" s="20"/>
      <c r="F663" s="20"/>
      <c r="G663" s="20"/>
    </row>
    <row r="664">
      <c r="C664" s="20"/>
      <c r="D664" s="20"/>
      <c r="E664" s="20"/>
      <c r="F664" s="20"/>
      <c r="G664" s="20"/>
    </row>
    <row r="665">
      <c r="C665" s="20"/>
      <c r="D665" s="20"/>
      <c r="E665" s="20"/>
      <c r="F665" s="20"/>
      <c r="G665" s="20"/>
    </row>
    <row r="666">
      <c r="C666" s="20"/>
      <c r="D666" s="20"/>
      <c r="E666" s="20"/>
      <c r="F666" s="20"/>
      <c r="G666" s="20"/>
    </row>
    <row r="667">
      <c r="C667" s="20"/>
      <c r="D667" s="20"/>
      <c r="E667" s="20"/>
      <c r="F667" s="20"/>
      <c r="G667" s="20"/>
    </row>
    <row r="668">
      <c r="C668" s="20"/>
      <c r="D668" s="20"/>
      <c r="E668" s="20"/>
      <c r="F668" s="20"/>
      <c r="G668" s="20"/>
    </row>
    <row r="669">
      <c r="C669" s="20"/>
      <c r="D669" s="20"/>
      <c r="E669" s="20"/>
      <c r="F669" s="20"/>
      <c r="G669" s="20"/>
    </row>
    <row r="670">
      <c r="C670" s="20"/>
      <c r="D670" s="20"/>
      <c r="E670" s="20"/>
      <c r="F670" s="20"/>
      <c r="G670" s="20"/>
    </row>
    <row r="671">
      <c r="C671" s="20"/>
      <c r="D671" s="20"/>
      <c r="E671" s="20"/>
      <c r="F671" s="20"/>
      <c r="G671" s="20"/>
    </row>
    <row r="672">
      <c r="C672" s="20"/>
      <c r="D672" s="20"/>
      <c r="E672" s="20"/>
      <c r="F672" s="20"/>
      <c r="G672" s="20"/>
    </row>
    <row r="673">
      <c r="C673" s="20"/>
      <c r="D673" s="20"/>
      <c r="E673" s="20"/>
      <c r="F673" s="20"/>
      <c r="G673" s="20"/>
    </row>
    <row r="674">
      <c r="C674" s="20"/>
      <c r="D674" s="20"/>
      <c r="E674" s="20"/>
      <c r="F674" s="20"/>
      <c r="G674" s="20"/>
    </row>
    <row r="675">
      <c r="C675" s="20"/>
      <c r="D675" s="20"/>
      <c r="E675" s="20"/>
      <c r="F675" s="20"/>
      <c r="G675" s="20"/>
    </row>
    <row r="676">
      <c r="C676" s="20"/>
      <c r="D676" s="20"/>
      <c r="E676" s="20"/>
      <c r="F676" s="20"/>
      <c r="G676" s="20"/>
    </row>
    <row r="677">
      <c r="C677" s="20"/>
      <c r="D677" s="20"/>
      <c r="E677" s="20"/>
      <c r="F677" s="20"/>
      <c r="G677" s="20"/>
    </row>
    <row r="678">
      <c r="C678" s="20"/>
      <c r="D678" s="20"/>
      <c r="E678" s="20"/>
      <c r="F678" s="20"/>
      <c r="G678" s="20"/>
    </row>
    <row r="679">
      <c r="C679" s="20"/>
      <c r="D679" s="20"/>
      <c r="E679" s="20"/>
      <c r="F679" s="20"/>
      <c r="G679" s="20"/>
    </row>
    <row r="680">
      <c r="C680" s="20"/>
      <c r="D680" s="20"/>
      <c r="E680" s="20"/>
      <c r="F680" s="20"/>
      <c r="G680" s="20"/>
    </row>
    <row r="681">
      <c r="C681" s="20"/>
      <c r="D681" s="20"/>
      <c r="E681" s="20"/>
      <c r="F681" s="20"/>
      <c r="G681" s="20"/>
    </row>
    <row r="682">
      <c r="C682" s="20"/>
      <c r="D682" s="20"/>
      <c r="E682" s="20"/>
      <c r="F682" s="20"/>
      <c r="G682" s="20"/>
    </row>
    <row r="683">
      <c r="C683" s="20"/>
      <c r="D683" s="20"/>
      <c r="E683" s="20"/>
      <c r="F683" s="20"/>
      <c r="G683" s="20"/>
    </row>
    <row r="684">
      <c r="C684" s="20"/>
      <c r="D684" s="20"/>
      <c r="E684" s="20"/>
      <c r="F684" s="20"/>
      <c r="G684" s="20"/>
    </row>
    <row r="685">
      <c r="C685" s="20"/>
      <c r="D685" s="20"/>
      <c r="E685" s="20"/>
      <c r="F685" s="20"/>
      <c r="G685" s="20"/>
    </row>
    <row r="686">
      <c r="C686" s="20"/>
      <c r="D686" s="20"/>
      <c r="E686" s="20"/>
      <c r="F686" s="20"/>
      <c r="G686" s="20"/>
    </row>
    <row r="687">
      <c r="C687" s="20"/>
      <c r="D687" s="20"/>
      <c r="E687" s="20"/>
      <c r="F687" s="20"/>
      <c r="G687" s="20"/>
    </row>
    <row r="688">
      <c r="C688" s="20"/>
      <c r="D688" s="20"/>
      <c r="E688" s="20"/>
      <c r="F688" s="20"/>
      <c r="G688" s="20"/>
    </row>
    <row r="689">
      <c r="C689" s="20"/>
      <c r="D689" s="20"/>
      <c r="E689" s="20"/>
      <c r="F689" s="20"/>
      <c r="G689" s="20"/>
    </row>
    <row r="690">
      <c r="C690" s="20"/>
      <c r="D690" s="20"/>
      <c r="E690" s="20"/>
      <c r="F690" s="20"/>
      <c r="G690" s="20"/>
    </row>
    <row r="691">
      <c r="C691" s="20"/>
      <c r="D691" s="20"/>
      <c r="E691" s="20"/>
      <c r="F691" s="20"/>
      <c r="G691" s="20"/>
    </row>
    <row r="692">
      <c r="C692" s="20"/>
      <c r="D692" s="20"/>
      <c r="E692" s="20"/>
      <c r="F692" s="20"/>
      <c r="G692" s="20"/>
    </row>
    <row r="693">
      <c r="C693" s="20"/>
      <c r="D693" s="20"/>
      <c r="E693" s="20"/>
      <c r="F693" s="20"/>
      <c r="G693" s="20"/>
    </row>
    <row r="694">
      <c r="C694" s="20"/>
      <c r="D694" s="20"/>
      <c r="E694" s="20"/>
      <c r="F694" s="20"/>
      <c r="G694" s="20"/>
    </row>
    <row r="695">
      <c r="C695" s="20"/>
      <c r="D695" s="20"/>
      <c r="E695" s="20"/>
      <c r="F695" s="20"/>
      <c r="G695" s="20"/>
    </row>
    <row r="696">
      <c r="C696" s="20"/>
      <c r="D696" s="20"/>
      <c r="E696" s="20"/>
      <c r="F696" s="20"/>
      <c r="G696" s="20"/>
    </row>
    <row r="697">
      <c r="C697" s="20"/>
      <c r="D697" s="20"/>
      <c r="E697" s="20"/>
      <c r="F697" s="20"/>
      <c r="G697" s="20"/>
    </row>
    <row r="698">
      <c r="C698" s="20"/>
      <c r="D698" s="20"/>
      <c r="E698" s="20"/>
      <c r="F698" s="20"/>
      <c r="G698" s="20"/>
    </row>
    <row r="699">
      <c r="C699" s="20"/>
      <c r="D699" s="20"/>
      <c r="E699" s="20"/>
      <c r="F699" s="20"/>
      <c r="G699" s="20"/>
    </row>
    <row r="700">
      <c r="C700" s="20"/>
      <c r="D700" s="20"/>
      <c r="E700" s="20"/>
      <c r="F700" s="20"/>
      <c r="G700" s="20"/>
    </row>
    <row r="701">
      <c r="C701" s="20"/>
      <c r="D701" s="20"/>
      <c r="E701" s="20"/>
      <c r="F701" s="20"/>
      <c r="G701" s="20"/>
    </row>
    <row r="702">
      <c r="C702" s="20"/>
      <c r="D702" s="20"/>
      <c r="E702" s="20"/>
      <c r="F702" s="20"/>
      <c r="G702" s="20"/>
    </row>
    <row r="703">
      <c r="C703" s="20"/>
      <c r="D703" s="20"/>
      <c r="E703" s="20"/>
      <c r="F703" s="20"/>
      <c r="G703" s="20"/>
    </row>
    <row r="704">
      <c r="C704" s="20"/>
      <c r="D704" s="20"/>
      <c r="E704" s="20"/>
      <c r="F704" s="20"/>
      <c r="G704" s="20"/>
    </row>
    <row r="705">
      <c r="C705" s="20"/>
      <c r="D705" s="20"/>
      <c r="E705" s="20"/>
      <c r="F705" s="20"/>
      <c r="G705" s="20"/>
    </row>
    <row r="706">
      <c r="C706" s="20"/>
      <c r="D706" s="20"/>
      <c r="E706" s="20"/>
      <c r="F706" s="20"/>
      <c r="G706" s="20"/>
    </row>
    <row r="707">
      <c r="C707" s="20"/>
      <c r="D707" s="20"/>
      <c r="E707" s="20"/>
      <c r="F707" s="20"/>
      <c r="G707" s="20"/>
    </row>
    <row r="708">
      <c r="C708" s="20"/>
      <c r="D708" s="20"/>
      <c r="E708" s="20"/>
      <c r="F708" s="20"/>
      <c r="G708" s="20"/>
    </row>
    <row r="709">
      <c r="C709" s="20"/>
      <c r="D709" s="20"/>
      <c r="E709" s="20"/>
      <c r="F709" s="20"/>
      <c r="G709" s="20"/>
    </row>
    <row r="710">
      <c r="C710" s="20"/>
      <c r="D710" s="20"/>
      <c r="E710" s="20"/>
      <c r="F710" s="20"/>
      <c r="G710" s="20"/>
    </row>
    <row r="711">
      <c r="C711" s="20"/>
      <c r="D711" s="20"/>
      <c r="E711" s="20"/>
      <c r="F711" s="20"/>
      <c r="G711" s="20"/>
    </row>
    <row r="712">
      <c r="C712" s="20"/>
      <c r="D712" s="20"/>
      <c r="E712" s="20"/>
      <c r="F712" s="20"/>
      <c r="G712" s="20"/>
    </row>
    <row r="713">
      <c r="C713" s="20"/>
      <c r="D713" s="20"/>
      <c r="E713" s="20"/>
      <c r="F713" s="20"/>
      <c r="G713" s="20"/>
    </row>
    <row r="714">
      <c r="C714" s="20"/>
      <c r="D714" s="20"/>
      <c r="E714" s="20"/>
      <c r="F714" s="20"/>
      <c r="G714" s="20"/>
    </row>
    <row r="715">
      <c r="C715" s="20"/>
      <c r="D715" s="20"/>
      <c r="E715" s="20"/>
      <c r="F715" s="20"/>
      <c r="G715" s="20"/>
    </row>
    <row r="716">
      <c r="C716" s="20"/>
      <c r="D716" s="20"/>
      <c r="E716" s="20"/>
      <c r="F716" s="20"/>
      <c r="G716" s="20"/>
    </row>
    <row r="717">
      <c r="C717" s="20"/>
      <c r="D717" s="20"/>
      <c r="E717" s="20"/>
      <c r="F717" s="20"/>
      <c r="G717" s="20"/>
    </row>
    <row r="718">
      <c r="C718" s="20"/>
      <c r="D718" s="20"/>
      <c r="E718" s="20"/>
      <c r="F718" s="20"/>
      <c r="G718" s="20"/>
    </row>
    <row r="719">
      <c r="C719" s="20"/>
      <c r="D719" s="20"/>
      <c r="E719" s="20"/>
      <c r="F719" s="20"/>
      <c r="G719" s="20"/>
    </row>
    <row r="720">
      <c r="C720" s="20"/>
      <c r="D720" s="20"/>
      <c r="E720" s="20"/>
      <c r="F720" s="20"/>
      <c r="G720" s="20"/>
    </row>
    <row r="721">
      <c r="C721" s="20"/>
      <c r="D721" s="20"/>
      <c r="E721" s="20"/>
      <c r="F721" s="20"/>
      <c r="G721" s="20"/>
    </row>
    <row r="722">
      <c r="C722" s="20"/>
      <c r="D722" s="20"/>
      <c r="E722" s="20"/>
      <c r="F722" s="20"/>
      <c r="G722" s="20"/>
    </row>
    <row r="723">
      <c r="C723" s="20"/>
      <c r="D723" s="20"/>
      <c r="E723" s="20"/>
      <c r="F723" s="20"/>
      <c r="G723" s="20"/>
    </row>
    <row r="724">
      <c r="C724" s="20"/>
      <c r="D724" s="20"/>
      <c r="E724" s="20"/>
      <c r="F724" s="20"/>
      <c r="G724" s="20"/>
    </row>
    <row r="725">
      <c r="C725" s="20"/>
      <c r="D725" s="20"/>
      <c r="E725" s="20"/>
      <c r="F725" s="20"/>
      <c r="G725" s="20"/>
    </row>
    <row r="726">
      <c r="C726" s="20"/>
      <c r="D726" s="20"/>
      <c r="E726" s="20"/>
      <c r="F726" s="20"/>
      <c r="G726" s="20"/>
    </row>
    <row r="727">
      <c r="C727" s="20"/>
      <c r="D727" s="20"/>
      <c r="E727" s="20"/>
      <c r="F727" s="20"/>
      <c r="G727" s="20"/>
    </row>
    <row r="728">
      <c r="C728" s="20"/>
      <c r="D728" s="20"/>
      <c r="E728" s="20"/>
      <c r="F728" s="20"/>
      <c r="G728" s="20"/>
    </row>
    <row r="729">
      <c r="C729" s="20"/>
      <c r="D729" s="20"/>
      <c r="E729" s="20"/>
      <c r="F729" s="20"/>
      <c r="G729" s="20"/>
    </row>
    <row r="730">
      <c r="C730" s="20"/>
      <c r="D730" s="20"/>
      <c r="E730" s="20"/>
      <c r="F730" s="20"/>
      <c r="G730" s="20"/>
    </row>
    <row r="731">
      <c r="C731" s="20"/>
      <c r="D731" s="20"/>
      <c r="E731" s="20"/>
      <c r="F731" s="20"/>
      <c r="G731" s="20"/>
    </row>
    <row r="732">
      <c r="C732" s="20"/>
      <c r="D732" s="20"/>
      <c r="E732" s="20"/>
      <c r="F732" s="20"/>
      <c r="G732" s="20"/>
    </row>
    <row r="733">
      <c r="C733" s="20"/>
      <c r="D733" s="20"/>
      <c r="E733" s="20"/>
      <c r="F733" s="20"/>
      <c r="G733" s="20"/>
    </row>
    <row r="734">
      <c r="C734" s="20"/>
      <c r="D734" s="20"/>
      <c r="E734" s="20"/>
      <c r="F734" s="20"/>
      <c r="G734" s="20"/>
    </row>
    <row r="735">
      <c r="C735" s="20"/>
      <c r="D735" s="20"/>
      <c r="E735" s="20"/>
      <c r="F735" s="20"/>
      <c r="G735" s="20"/>
    </row>
    <row r="736">
      <c r="C736" s="20"/>
      <c r="D736" s="20"/>
      <c r="E736" s="20"/>
      <c r="F736" s="20"/>
      <c r="G736" s="20"/>
    </row>
    <row r="737">
      <c r="C737" s="20"/>
      <c r="D737" s="20"/>
      <c r="E737" s="20"/>
      <c r="F737" s="20"/>
      <c r="G737" s="20"/>
    </row>
    <row r="738">
      <c r="C738" s="20"/>
      <c r="D738" s="20"/>
      <c r="E738" s="20"/>
      <c r="F738" s="20"/>
      <c r="G738" s="20"/>
    </row>
    <row r="739">
      <c r="C739" s="20"/>
      <c r="D739" s="20"/>
      <c r="E739" s="20"/>
      <c r="F739" s="20"/>
      <c r="G739" s="20"/>
    </row>
    <row r="740">
      <c r="C740" s="20"/>
      <c r="D740" s="20"/>
      <c r="E740" s="20"/>
      <c r="F740" s="20"/>
      <c r="G740" s="20"/>
    </row>
    <row r="741">
      <c r="C741" s="20"/>
      <c r="D741" s="20"/>
      <c r="E741" s="20"/>
      <c r="F741" s="20"/>
      <c r="G741" s="20"/>
    </row>
    <row r="742">
      <c r="C742" s="20"/>
      <c r="D742" s="20"/>
      <c r="E742" s="20"/>
      <c r="F742" s="20"/>
      <c r="G742" s="20"/>
    </row>
    <row r="743">
      <c r="C743" s="20"/>
      <c r="D743" s="20"/>
      <c r="E743" s="20"/>
      <c r="F743" s="20"/>
      <c r="G743" s="20"/>
    </row>
    <row r="744">
      <c r="C744" s="20"/>
      <c r="D744" s="20"/>
      <c r="E744" s="20"/>
      <c r="F744" s="20"/>
      <c r="G744" s="20"/>
    </row>
    <row r="745">
      <c r="C745" s="20"/>
      <c r="D745" s="20"/>
      <c r="E745" s="20"/>
      <c r="F745" s="20"/>
      <c r="G745" s="20"/>
    </row>
    <row r="746">
      <c r="C746" s="20"/>
      <c r="D746" s="20"/>
      <c r="E746" s="20"/>
      <c r="F746" s="20"/>
      <c r="G746" s="20"/>
    </row>
    <row r="747">
      <c r="C747" s="20"/>
      <c r="D747" s="20"/>
      <c r="E747" s="20"/>
      <c r="F747" s="20"/>
      <c r="G747" s="20"/>
    </row>
    <row r="748">
      <c r="C748" s="20"/>
      <c r="D748" s="20"/>
      <c r="E748" s="20"/>
      <c r="F748" s="20"/>
      <c r="G748" s="20"/>
    </row>
    <row r="749">
      <c r="C749" s="20"/>
      <c r="D749" s="20"/>
      <c r="E749" s="20"/>
      <c r="F749" s="20"/>
      <c r="G749" s="20"/>
    </row>
    <row r="750">
      <c r="C750" s="20"/>
      <c r="D750" s="20"/>
      <c r="E750" s="20"/>
      <c r="F750" s="20"/>
      <c r="G750" s="20"/>
    </row>
    <row r="751">
      <c r="C751" s="20"/>
      <c r="D751" s="20"/>
      <c r="E751" s="20"/>
      <c r="F751" s="20"/>
      <c r="G751" s="20"/>
    </row>
    <row r="752">
      <c r="C752" s="20"/>
      <c r="D752" s="20"/>
      <c r="E752" s="20"/>
      <c r="F752" s="20"/>
      <c r="G752" s="20"/>
    </row>
    <row r="753">
      <c r="C753" s="20"/>
      <c r="D753" s="20"/>
      <c r="E753" s="20"/>
      <c r="F753" s="20"/>
      <c r="G753" s="20"/>
    </row>
    <row r="754">
      <c r="C754" s="20"/>
      <c r="D754" s="20"/>
      <c r="E754" s="20"/>
      <c r="F754" s="20"/>
      <c r="G754" s="20"/>
    </row>
    <row r="755">
      <c r="C755" s="20"/>
      <c r="D755" s="20"/>
      <c r="E755" s="20"/>
      <c r="F755" s="20"/>
      <c r="G755" s="20"/>
    </row>
    <row r="756">
      <c r="C756" s="20"/>
      <c r="D756" s="20"/>
      <c r="E756" s="20"/>
      <c r="F756" s="20"/>
      <c r="G756" s="20"/>
    </row>
    <row r="757">
      <c r="C757" s="20"/>
      <c r="D757" s="20"/>
      <c r="E757" s="20"/>
      <c r="F757" s="20"/>
      <c r="G757" s="20"/>
    </row>
    <row r="758">
      <c r="C758" s="20"/>
      <c r="D758" s="20"/>
      <c r="E758" s="20"/>
      <c r="F758" s="20"/>
      <c r="G758" s="20"/>
    </row>
    <row r="759">
      <c r="C759" s="20"/>
      <c r="D759" s="20"/>
      <c r="E759" s="20"/>
      <c r="F759" s="20"/>
      <c r="G759" s="20"/>
    </row>
    <row r="760">
      <c r="C760" s="20"/>
      <c r="D760" s="20"/>
      <c r="E760" s="20"/>
      <c r="F760" s="20"/>
      <c r="G760" s="20"/>
    </row>
    <row r="761">
      <c r="C761" s="20"/>
      <c r="D761" s="20"/>
      <c r="E761" s="20"/>
      <c r="F761" s="20"/>
      <c r="G761" s="20"/>
    </row>
    <row r="762">
      <c r="C762" s="20"/>
      <c r="D762" s="20"/>
      <c r="E762" s="20"/>
      <c r="F762" s="20"/>
      <c r="G762" s="20"/>
    </row>
    <row r="763">
      <c r="C763" s="20"/>
      <c r="D763" s="20"/>
      <c r="E763" s="20"/>
      <c r="F763" s="20"/>
      <c r="G763" s="20"/>
    </row>
    <row r="764">
      <c r="C764" s="20"/>
      <c r="D764" s="20"/>
      <c r="E764" s="20"/>
      <c r="F764" s="20"/>
      <c r="G764" s="20"/>
    </row>
    <row r="765">
      <c r="C765" s="20"/>
      <c r="D765" s="20"/>
      <c r="E765" s="20"/>
      <c r="F765" s="20"/>
      <c r="G765" s="20"/>
    </row>
    <row r="766">
      <c r="C766" s="20"/>
      <c r="D766" s="20"/>
      <c r="E766" s="20"/>
      <c r="F766" s="20"/>
      <c r="G766" s="20"/>
    </row>
    <row r="767">
      <c r="C767" s="20"/>
      <c r="D767" s="20"/>
      <c r="E767" s="20"/>
      <c r="F767" s="20"/>
      <c r="G767" s="20"/>
    </row>
    <row r="768">
      <c r="C768" s="20"/>
      <c r="D768" s="20"/>
      <c r="E768" s="20"/>
      <c r="F768" s="20"/>
      <c r="G768" s="20"/>
    </row>
    <row r="769">
      <c r="C769" s="20"/>
      <c r="D769" s="20"/>
      <c r="E769" s="20"/>
      <c r="F769" s="20"/>
      <c r="G769" s="20"/>
    </row>
    <row r="770">
      <c r="C770" s="20"/>
      <c r="D770" s="20"/>
      <c r="E770" s="20"/>
      <c r="F770" s="20"/>
      <c r="G770" s="20"/>
    </row>
    <row r="771">
      <c r="C771" s="20"/>
      <c r="D771" s="20"/>
      <c r="E771" s="20"/>
      <c r="F771" s="20"/>
      <c r="G771" s="20"/>
    </row>
    <row r="772">
      <c r="C772" s="20"/>
      <c r="D772" s="20"/>
      <c r="E772" s="20"/>
      <c r="F772" s="20"/>
      <c r="G772" s="20"/>
    </row>
    <row r="773">
      <c r="C773" s="20"/>
      <c r="D773" s="20"/>
      <c r="E773" s="20"/>
      <c r="F773" s="20"/>
      <c r="G773" s="20"/>
    </row>
    <row r="774">
      <c r="C774" s="20"/>
      <c r="D774" s="20"/>
      <c r="E774" s="20"/>
      <c r="F774" s="20"/>
      <c r="G774" s="20"/>
    </row>
    <row r="775">
      <c r="C775" s="20"/>
      <c r="D775" s="20"/>
      <c r="E775" s="20"/>
      <c r="F775" s="20"/>
      <c r="G775" s="20"/>
    </row>
    <row r="776">
      <c r="C776" s="20"/>
      <c r="D776" s="20"/>
      <c r="E776" s="20"/>
      <c r="F776" s="20"/>
      <c r="G776" s="20"/>
    </row>
    <row r="777">
      <c r="C777" s="20"/>
      <c r="D777" s="20"/>
      <c r="E777" s="20"/>
      <c r="F777" s="20"/>
      <c r="G777" s="20"/>
    </row>
    <row r="778">
      <c r="C778" s="20"/>
      <c r="D778" s="20"/>
      <c r="E778" s="20"/>
      <c r="F778" s="20"/>
      <c r="G778" s="20"/>
    </row>
    <row r="779">
      <c r="C779" s="20"/>
      <c r="D779" s="20"/>
      <c r="E779" s="20"/>
      <c r="F779" s="20"/>
      <c r="G779" s="20"/>
    </row>
    <row r="780">
      <c r="C780" s="20"/>
      <c r="D780" s="20"/>
      <c r="E780" s="20"/>
      <c r="F780" s="20"/>
      <c r="G780" s="20"/>
    </row>
    <row r="781">
      <c r="C781" s="20"/>
      <c r="D781" s="20"/>
      <c r="E781" s="20"/>
      <c r="F781" s="20"/>
      <c r="G781" s="20"/>
    </row>
    <row r="782">
      <c r="C782" s="20"/>
      <c r="D782" s="20"/>
      <c r="E782" s="20"/>
      <c r="F782" s="20"/>
      <c r="G782" s="20"/>
    </row>
    <row r="783">
      <c r="C783" s="20"/>
      <c r="D783" s="20"/>
      <c r="E783" s="20"/>
      <c r="F783" s="20"/>
      <c r="G783" s="20"/>
    </row>
    <row r="784">
      <c r="C784" s="20"/>
      <c r="D784" s="20"/>
      <c r="E784" s="20"/>
      <c r="F784" s="20"/>
      <c r="G784" s="20"/>
    </row>
    <row r="785">
      <c r="C785" s="20"/>
      <c r="D785" s="20"/>
      <c r="E785" s="20"/>
      <c r="F785" s="20"/>
      <c r="G785" s="20"/>
    </row>
    <row r="786">
      <c r="C786" s="20"/>
      <c r="D786" s="20"/>
      <c r="E786" s="20"/>
      <c r="F786" s="20"/>
      <c r="G786" s="20"/>
    </row>
    <row r="787">
      <c r="C787" s="20"/>
      <c r="D787" s="20"/>
      <c r="E787" s="20"/>
      <c r="F787" s="20"/>
      <c r="G787" s="20"/>
    </row>
    <row r="788">
      <c r="C788" s="20"/>
      <c r="D788" s="20"/>
      <c r="E788" s="20"/>
      <c r="F788" s="20"/>
      <c r="G788" s="20"/>
    </row>
    <row r="789">
      <c r="C789" s="20"/>
      <c r="D789" s="20"/>
      <c r="E789" s="20"/>
      <c r="F789" s="20"/>
      <c r="G789" s="20"/>
    </row>
    <row r="790">
      <c r="C790" s="20"/>
      <c r="D790" s="20"/>
      <c r="E790" s="20"/>
      <c r="F790" s="20"/>
      <c r="G790" s="20"/>
    </row>
    <row r="791">
      <c r="C791" s="20"/>
      <c r="D791" s="20"/>
      <c r="E791" s="20"/>
      <c r="F791" s="20"/>
      <c r="G791" s="20"/>
    </row>
    <row r="792">
      <c r="C792" s="20"/>
      <c r="D792" s="20"/>
      <c r="E792" s="20"/>
      <c r="F792" s="20"/>
      <c r="G792" s="20"/>
    </row>
    <row r="793">
      <c r="C793" s="20"/>
      <c r="D793" s="20"/>
      <c r="E793" s="20"/>
      <c r="F793" s="20"/>
      <c r="G793" s="20"/>
    </row>
    <row r="794">
      <c r="C794" s="20"/>
      <c r="D794" s="20"/>
      <c r="E794" s="20"/>
      <c r="F794" s="20"/>
      <c r="G794" s="20"/>
    </row>
    <row r="795">
      <c r="C795" s="20"/>
      <c r="D795" s="20"/>
      <c r="E795" s="20"/>
      <c r="F795" s="20"/>
      <c r="G795" s="20"/>
    </row>
    <row r="796">
      <c r="C796" s="20"/>
      <c r="D796" s="20"/>
      <c r="E796" s="20"/>
      <c r="F796" s="20"/>
      <c r="G796" s="20"/>
    </row>
    <row r="797">
      <c r="C797" s="20"/>
      <c r="D797" s="20"/>
      <c r="E797" s="20"/>
      <c r="F797" s="20"/>
      <c r="G797" s="20"/>
    </row>
    <row r="798">
      <c r="C798" s="20"/>
      <c r="D798" s="20"/>
      <c r="E798" s="20"/>
      <c r="F798" s="20"/>
      <c r="G798" s="20"/>
    </row>
    <row r="799">
      <c r="C799" s="20"/>
      <c r="D799" s="20"/>
      <c r="E799" s="20"/>
      <c r="F799" s="20"/>
      <c r="G799" s="20"/>
    </row>
    <row r="800">
      <c r="C800" s="20"/>
      <c r="D800" s="20"/>
      <c r="E800" s="20"/>
      <c r="F800" s="20"/>
      <c r="G800" s="20"/>
    </row>
    <row r="801">
      <c r="C801" s="20"/>
      <c r="D801" s="20"/>
      <c r="E801" s="20"/>
      <c r="F801" s="20"/>
      <c r="G801" s="20"/>
    </row>
    <row r="802">
      <c r="C802" s="20"/>
      <c r="D802" s="20"/>
      <c r="E802" s="20"/>
      <c r="F802" s="20"/>
      <c r="G802" s="20"/>
    </row>
    <row r="803">
      <c r="C803" s="20"/>
      <c r="D803" s="20"/>
      <c r="E803" s="20"/>
      <c r="F803" s="20"/>
      <c r="G803" s="20"/>
    </row>
    <row r="804">
      <c r="C804" s="20"/>
      <c r="D804" s="20"/>
      <c r="E804" s="20"/>
      <c r="F804" s="20"/>
      <c r="G804" s="20"/>
    </row>
    <row r="805">
      <c r="C805" s="20"/>
      <c r="D805" s="20"/>
      <c r="E805" s="20"/>
      <c r="F805" s="20"/>
      <c r="G805" s="20"/>
    </row>
    <row r="806">
      <c r="C806" s="20"/>
      <c r="D806" s="20"/>
      <c r="E806" s="20"/>
      <c r="F806" s="20"/>
      <c r="G806" s="20"/>
    </row>
    <row r="807">
      <c r="C807" s="20"/>
      <c r="D807" s="20"/>
      <c r="E807" s="20"/>
      <c r="F807" s="20"/>
      <c r="G807" s="20"/>
    </row>
    <row r="808">
      <c r="C808" s="20"/>
      <c r="D808" s="20"/>
      <c r="E808" s="20"/>
      <c r="F808" s="20"/>
      <c r="G808" s="20"/>
    </row>
    <row r="809">
      <c r="C809" s="20"/>
      <c r="D809" s="20"/>
      <c r="E809" s="20"/>
      <c r="F809" s="20"/>
      <c r="G809" s="20"/>
    </row>
    <row r="810">
      <c r="C810" s="20"/>
      <c r="D810" s="20"/>
      <c r="E810" s="20"/>
      <c r="F810" s="20"/>
      <c r="G810" s="20"/>
    </row>
    <row r="811">
      <c r="C811" s="20"/>
      <c r="D811" s="20"/>
      <c r="E811" s="20"/>
      <c r="F811" s="20"/>
      <c r="G811" s="20"/>
    </row>
    <row r="812">
      <c r="C812" s="20"/>
      <c r="D812" s="20"/>
      <c r="E812" s="20"/>
      <c r="F812" s="20"/>
      <c r="G812" s="20"/>
    </row>
    <row r="813">
      <c r="C813" s="20"/>
      <c r="D813" s="20"/>
      <c r="E813" s="20"/>
      <c r="F813" s="20"/>
      <c r="G813" s="20"/>
    </row>
    <row r="814">
      <c r="C814" s="20"/>
      <c r="D814" s="20"/>
      <c r="E814" s="20"/>
      <c r="F814" s="20"/>
      <c r="G814" s="20"/>
    </row>
    <row r="815">
      <c r="C815" s="20"/>
      <c r="D815" s="20"/>
      <c r="E815" s="20"/>
      <c r="F815" s="20"/>
      <c r="G815" s="20"/>
    </row>
    <row r="816">
      <c r="C816" s="20"/>
      <c r="D816" s="20"/>
      <c r="E816" s="20"/>
      <c r="F816" s="20"/>
      <c r="G816" s="20"/>
    </row>
    <row r="817">
      <c r="C817" s="20"/>
      <c r="D817" s="20"/>
      <c r="E817" s="20"/>
      <c r="F817" s="20"/>
      <c r="G817" s="20"/>
    </row>
    <row r="818">
      <c r="C818" s="20"/>
      <c r="D818" s="20"/>
      <c r="E818" s="20"/>
      <c r="F818" s="20"/>
      <c r="G818" s="20"/>
    </row>
    <row r="819">
      <c r="C819" s="20"/>
      <c r="D819" s="20"/>
      <c r="E819" s="20"/>
      <c r="F819" s="20"/>
      <c r="G819" s="20"/>
    </row>
    <row r="820">
      <c r="C820" s="20"/>
      <c r="D820" s="20"/>
      <c r="E820" s="20"/>
      <c r="F820" s="20"/>
      <c r="G820" s="20"/>
    </row>
    <row r="821">
      <c r="C821" s="20"/>
      <c r="D821" s="20"/>
      <c r="E821" s="20"/>
      <c r="F821" s="20"/>
      <c r="G821" s="20"/>
    </row>
    <row r="822">
      <c r="C822" s="20"/>
      <c r="D822" s="20"/>
      <c r="E822" s="20"/>
      <c r="F822" s="20"/>
      <c r="G822" s="20"/>
    </row>
    <row r="823">
      <c r="C823" s="20"/>
      <c r="D823" s="20"/>
      <c r="E823" s="20"/>
      <c r="F823" s="20"/>
      <c r="G823" s="20"/>
    </row>
    <row r="824">
      <c r="C824" s="20"/>
      <c r="D824" s="20"/>
      <c r="E824" s="20"/>
      <c r="F824" s="20"/>
      <c r="G824" s="20"/>
    </row>
    <row r="825">
      <c r="C825" s="20"/>
      <c r="D825" s="20"/>
      <c r="E825" s="20"/>
      <c r="F825" s="20"/>
      <c r="G825" s="20"/>
    </row>
    <row r="826">
      <c r="C826" s="20"/>
      <c r="D826" s="20"/>
      <c r="E826" s="20"/>
      <c r="F826" s="20"/>
      <c r="G826" s="20"/>
    </row>
    <row r="827">
      <c r="C827" s="20"/>
      <c r="D827" s="20"/>
      <c r="E827" s="20"/>
      <c r="F827" s="20"/>
      <c r="G827" s="20"/>
    </row>
    <row r="828">
      <c r="C828" s="20"/>
      <c r="D828" s="20"/>
      <c r="E828" s="20"/>
      <c r="F828" s="20"/>
      <c r="G828" s="20"/>
    </row>
    <row r="829">
      <c r="C829" s="20"/>
      <c r="D829" s="20"/>
      <c r="E829" s="20"/>
      <c r="F829" s="20"/>
      <c r="G829" s="20"/>
    </row>
    <row r="830">
      <c r="C830" s="20"/>
      <c r="D830" s="20"/>
      <c r="E830" s="20"/>
      <c r="F830" s="20"/>
      <c r="G830" s="20"/>
    </row>
    <row r="831">
      <c r="C831" s="20"/>
      <c r="D831" s="20"/>
      <c r="E831" s="20"/>
      <c r="F831" s="20"/>
      <c r="G831" s="20"/>
    </row>
    <row r="832">
      <c r="C832" s="20"/>
      <c r="D832" s="20"/>
      <c r="E832" s="20"/>
      <c r="F832" s="20"/>
      <c r="G832" s="20"/>
    </row>
    <row r="833">
      <c r="C833" s="20"/>
      <c r="D833" s="20"/>
      <c r="E833" s="20"/>
      <c r="F833" s="20"/>
      <c r="G833" s="20"/>
    </row>
    <row r="834">
      <c r="C834" s="20"/>
      <c r="D834" s="20"/>
      <c r="E834" s="20"/>
      <c r="F834" s="20"/>
      <c r="G834" s="20"/>
    </row>
    <row r="835">
      <c r="C835" s="20"/>
      <c r="D835" s="20"/>
      <c r="E835" s="20"/>
      <c r="F835" s="20"/>
      <c r="G835" s="20"/>
    </row>
    <row r="836">
      <c r="C836" s="20"/>
      <c r="D836" s="20"/>
      <c r="E836" s="20"/>
      <c r="F836" s="20"/>
      <c r="G836" s="20"/>
    </row>
    <row r="837">
      <c r="C837" s="20"/>
      <c r="D837" s="20"/>
      <c r="E837" s="20"/>
      <c r="F837" s="20"/>
      <c r="G837" s="20"/>
    </row>
    <row r="838">
      <c r="C838" s="20"/>
      <c r="D838" s="20"/>
      <c r="E838" s="20"/>
      <c r="F838" s="20"/>
      <c r="G838" s="20"/>
    </row>
    <row r="839">
      <c r="C839" s="20"/>
      <c r="D839" s="20"/>
      <c r="E839" s="20"/>
      <c r="F839" s="20"/>
      <c r="G839" s="20"/>
    </row>
    <row r="840">
      <c r="C840" s="20"/>
      <c r="D840" s="20"/>
      <c r="E840" s="20"/>
      <c r="F840" s="20"/>
      <c r="G840" s="20"/>
    </row>
    <row r="841">
      <c r="C841" s="20"/>
      <c r="D841" s="20"/>
      <c r="E841" s="20"/>
      <c r="F841" s="20"/>
      <c r="G841" s="20"/>
    </row>
    <row r="842">
      <c r="C842" s="20"/>
      <c r="D842" s="20"/>
      <c r="E842" s="20"/>
      <c r="F842" s="20"/>
      <c r="G842" s="20"/>
    </row>
    <row r="843">
      <c r="C843" s="20"/>
      <c r="D843" s="20"/>
      <c r="E843" s="20"/>
      <c r="F843" s="20"/>
      <c r="G843" s="20"/>
    </row>
    <row r="844">
      <c r="C844" s="20"/>
      <c r="D844" s="20"/>
      <c r="E844" s="20"/>
      <c r="F844" s="20"/>
      <c r="G844" s="20"/>
    </row>
    <row r="845">
      <c r="C845" s="20"/>
      <c r="D845" s="20"/>
      <c r="E845" s="20"/>
      <c r="F845" s="20"/>
      <c r="G845" s="20"/>
    </row>
    <row r="846">
      <c r="C846" s="20"/>
      <c r="D846" s="20"/>
      <c r="E846" s="20"/>
      <c r="F846" s="20"/>
      <c r="G846" s="20"/>
    </row>
    <row r="847">
      <c r="C847" s="20"/>
      <c r="D847" s="20"/>
      <c r="E847" s="20"/>
      <c r="F847" s="20"/>
      <c r="G847" s="20"/>
    </row>
    <row r="848">
      <c r="C848" s="20"/>
      <c r="D848" s="20"/>
      <c r="E848" s="20"/>
      <c r="F848" s="20"/>
      <c r="G848" s="20"/>
    </row>
    <row r="849">
      <c r="C849" s="20"/>
      <c r="D849" s="20"/>
      <c r="E849" s="20"/>
      <c r="F849" s="20"/>
      <c r="G849" s="20"/>
    </row>
    <row r="850">
      <c r="C850" s="20"/>
      <c r="D850" s="20"/>
      <c r="E850" s="20"/>
      <c r="F850" s="20"/>
      <c r="G850" s="20"/>
    </row>
    <row r="851">
      <c r="C851" s="20"/>
      <c r="D851" s="20"/>
      <c r="E851" s="20"/>
      <c r="F851" s="20"/>
      <c r="G851" s="20"/>
    </row>
    <row r="852">
      <c r="C852" s="20"/>
      <c r="D852" s="20"/>
      <c r="E852" s="20"/>
      <c r="F852" s="20"/>
      <c r="G852" s="20"/>
    </row>
    <row r="853">
      <c r="C853" s="20"/>
      <c r="D853" s="20"/>
      <c r="E853" s="20"/>
      <c r="F853" s="20"/>
      <c r="G853" s="20"/>
    </row>
    <row r="854">
      <c r="C854" s="20"/>
      <c r="D854" s="20"/>
      <c r="E854" s="20"/>
      <c r="F854" s="20"/>
      <c r="G854" s="20"/>
    </row>
    <row r="855">
      <c r="C855" s="20"/>
      <c r="D855" s="20"/>
      <c r="E855" s="20"/>
      <c r="F855" s="20"/>
      <c r="G855" s="20"/>
    </row>
    <row r="856">
      <c r="C856" s="20"/>
      <c r="D856" s="20"/>
      <c r="E856" s="20"/>
      <c r="F856" s="20"/>
      <c r="G856" s="20"/>
    </row>
    <row r="857">
      <c r="C857" s="20"/>
      <c r="D857" s="20"/>
      <c r="E857" s="20"/>
      <c r="F857" s="20"/>
      <c r="G857" s="20"/>
    </row>
    <row r="858">
      <c r="C858" s="20"/>
      <c r="D858" s="20"/>
      <c r="E858" s="20"/>
      <c r="F858" s="20"/>
      <c r="G858" s="20"/>
    </row>
    <row r="859">
      <c r="C859" s="20"/>
      <c r="D859" s="20"/>
      <c r="E859" s="20"/>
      <c r="F859" s="20"/>
      <c r="G859" s="20"/>
    </row>
    <row r="860">
      <c r="C860" s="20"/>
      <c r="D860" s="20"/>
      <c r="E860" s="20"/>
      <c r="F860" s="20"/>
      <c r="G860" s="20"/>
    </row>
    <row r="861">
      <c r="C861" s="20"/>
      <c r="D861" s="20"/>
      <c r="E861" s="20"/>
      <c r="F861" s="20"/>
      <c r="G861" s="20"/>
    </row>
    <row r="862">
      <c r="C862" s="20"/>
      <c r="D862" s="20"/>
      <c r="E862" s="20"/>
      <c r="F862" s="20"/>
      <c r="G862" s="20"/>
    </row>
    <row r="863">
      <c r="C863" s="20"/>
      <c r="D863" s="20"/>
      <c r="E863" s="20"/>
      <c r="F863" s="20"/>
      <c r="G863" s="20"/>
    </row>
    <row r="864">
      <c r="C864" s="20"/>
      <c r="D864" s="20"/>
      <c r="E864" s="20"/>
      <c r="F864" s="20"/>
      <c r="G864" s="20"/>
    </row>
    <row r="865">
      <c r="C865" s="20"/>
      <c r="D865" s="20"/>
      <c r="E865" s="20"/>
      <c r="F865" s="20"/>
      <c r="G865" s="20"/>
    </row>
    <row r="866">
      <c r="C866" s="20"/>
      <c r="D866" s="20"/>
      <c r="E866" s="20"/>
      <c r="F866" s="20"/>
      <c r="G866" s="20"/>
    </row>
    <row r="867">
      <c r="C867" s="20"/>
      <c r="D867" s="20"/>
      <c r="E867" s="20"/>
      <c r="F867" s="20"/>
      <c r="G867" s="20"/>
    </row>
    <row r="868">
      <c r="C868" s="20"/>
      <c r="D868" s="20"/>
      <c r="E868" s="20"/>
      <c r="F868" s="20"/>
      <c r="G868" s="20"/>
    </row>
    <row r="869">
      <c r="C869" s="20"/>
      <c r="D869" s="20"/>
      <c r="E869" s="20"/>
      <c r="F869" s="20"/>
      <c r="G869" s="20"/>
    </row>
    <row r="870">
      <c r="C870" s="20"/>
      <c r="D870" s="20"/>
      <c r="E870" s="20"/>
      <c r="F870" s="20"/>
      <c r="G870" s="20"/>
    </row>
    <row r="871">
      <c r="C871" s="20"/>
      <c r="D871" s="20"/>
      <c r="E871" s="20"/>
      <c r="F871" s="20"/>
      <c r="G871" s="20"/>
    </row>
    <row r="872">
      <c r="C872" s="20"/>
      <c r="D872" s="20"/>
      <c r="E872" s="20"/>
      <c r="F872" s="20"/>
      <c r="G872" s="20"/>
    </row>
    <row r="873">
      <c r="C873" s="20"/>
      <c r="D873" s="20"/>
      <c r="E873" s="20"/>
      <c r="F873" s="20"/>
      <c r="G873" s="20"/>
    </row>
    <row r="874">
      <c r="C874" s="20"/>
      <c r="D874" s="20"/>
      <c r="E874" s="20"/>
      <c r="F874" s="20"/>
      <c r="G874" s="20"/>
    </row>
    <row r="875">
      <c r="C875" s="20"/>
      <c r="D875" s="20"/>
      <c r="E875" s="20"/>
      <c r="F875" s="20"/>
      <c r="G875" s="20"/>
    </row>
    <row r="876">
      <c r="C876" s="20"/>
      <c r="D876" s="20"/>
      <c r="E876" s="20"/>
      <c r="F876" s="20"/>
      <c r="G876" s="20"/>
    </row>
    <row r="877">
      <c r="C877" s="20"/>
      <c r="D877" s="20"/>
      <c r="E877" s="20"/>
      <c r="F877" s="20"/>
      <c r="G877" s="20"/>
    </row>
    <row r="878">
      <c r="C878" s="20"/>
      <c r="D878" s="20"/>
      <c r="E878" s="20"/>
      <c r="F878" s="20"/>
      <c r="G878" s="20"/>
    </row>
    <row r="879">
      <c r="C879" s="20"/>
      <c r="D879" s="20"/>
      <c r="E879" s="20"/>
      <c r="F879" s="20"/>
      <c r="G879" s="20"/>
    </row>
    <row r="880">
      <c r="C880" s="20"/>
      <c r="D880" s="20"/>
      <c r="E880" s="20"/>
      <c r="F880" s="20"/>
      <c r="G880" s="20"/>
    </row>
    <row r="881">
      <c r="C881" s="20"/>
      <c r="D881" s="20"/>
      <c r="E881" s="20"/>
      <c r="F881" s="20"/>
      <c r="G881" s="20"/>
    </row>
    <row r="882">
      <c r="C882" s="20"/>
      <c r="D882" s="20"/>
      <c r="E882" s="20"/>
      <c r="F882" s="20"/>
      <c r="G882" s="20"/>
    </row>
    <row r="883">
      <c r="C883" s="20"/>
      <c r="D883" s="20"/>
      <c r="E883" s="20"/>
      <c r="F883" s="20"/>
      <c r="G883" s="20"/>
    </row>
    <row r="884">
      <c r="C884" s="20"/>
      <c r="D884" s="20"/>
      <c r="E884" s="20"/>
      <c r="F884" s="20"/>
      <c r="G884" s="20"/>
    </row>
    <row r="885">
      <c r="C885" s="20"/>
      <c r="D885" s="20"/>
      <c r="E885" s="20"/>
      <c r="F885" s="20"/>
      <c r="G885" s="20"/>
    </row>
    <row r="886">
      <c r="C886" s="20"/>
      <c r="D886" s="20"/>
      <c r="E886" s="20"/>
      <c r="F886" s="20"/>
      <c r="G886" s="20"/>
    </row>
    <row r="887">
      <c r="C887" s="20"/>
      <c r="D887" s="20"/>
      <c r="E887" s="20"/>
      <c r="F887" s="20"/>
      <c r="G887" s="20"/>
    </row>
    <row r="888">
      <c r="C888" s="20"/>
      <c r="D888" s="20"/>
      <c r="E888" s="20"/>
      <c r="F888" s="20"/>
      <c r="G888" s="20"/>
    </row>
    <row r="889">
      <c r="C889" s="20"/>
      <c r="D889" s="20"/>
      <c r="E889" s="20"/>
      <c r="F889" s="20"/>
      <c r="G889" s="20"/>
    </row>
    <row r="890">
      <c r="C890" s="20"/>
      <c r="D890" s="20"/>
      <c r="E890" s="20"/>
      <c r="F890" s="20"/>
      <c r="G890" s="20"/>
    </row>
    <row r="891">
      <c r="C891" s="20"/>
      <c r="D891" s="20"/>
      <c r="E891" s="20"/>
      <c r="F891" s="20"/>
      <c r="G891" s="20"/>
    </row>
    <row r="892">
      <c r="C892" s="20"/>
      <c r="D892" s="20"/>
      <c r="E892" s="20"/>
      <c r="F892" s="20"/>
      <c r="G892" s="20"/>
    </row>
    <row r="893">
      <c r="C893" s="20"/>
      <c r="D893" s="20"/>
      <c r="E893" s="20"/>
      <c r="F893" s="20"/>
      <c r="G893" s="20"/>
    </row>
    <row r="894">
      <c r="C894" s="20"/>
      <c r="D894" s="20"/>
      <c r="E894" s="20"/>
      <c r="F894" s="20"/>
      <c r="G894" s="20"/>
    </row>
    <row r="895">
      <c r="C895" s="20"/>
      <c r="D895" s="20"/>
      <c r="E895" s="20"/>
      <c r="F895" s="20"/>
      <c r="G895" s="20"/>
    </row>
    <row r="896">
      <c r="C896" s="20"/>
      <c r="D896" s="20"/>
      <c r="E896" s="20"/>
      <c r="F896" s="20"/>
      <c r="G896" s="20"/>
    </row>
    <row r="897">
      <c r="C897" s="20"/>
      <c r="D897" s="20"/>
      <c r="E897" s="20"/>
      <c r="F897" s="20"/>
      <c r="G897" s="20"/>
    </row>
    <row r="898">
      <c r="C898" s="20"/>
      <c r="D898" s="20"/>
      <c r="E898" s="20"/>
      <c r="F898" s="20"/>
      <c r="G898" s="20"/>
    </row>
    <row r="899">
      <c r="C899" s="20"/>
      <c r="D899" s="20"/>
      <c r="E899" s="20"/>
      <c r="F899" s="20"/>
      <c r="G899" s="20"/>
    </row>
    <row r="900">
      <c r="C900" s="20"/>
      <c r="D900" s="20"/>
      <c r="E900" s="20"/>
      <c r="F900" s="20"/>
      <c r="G900" s="20"/>
    </row>
    <row r="901">
      <c r="C901" s="20"/>
      <c r="D901" s="20"/>
      <c r="E901" s="20"/>
      <c r="F901" s="20"/>
      <c r="G901" s="20"/>
    </row>
    <row r="902">
      <c r="C902" s="20"/>
      <c r="D902" s="20"/>
      <c r="E902" s="20"/>
      <c r="F902" s="20"/>
      <c r="G902" s="20"/>
    </row>
    <row r="903">
      <c r="C903" s="20"/>
      <c r="D903" s="20"/>
      <c r="E903" s="20"/>
      <c r="F903" s="20"/>
      <c r="G903" s="20"/>
    </row>
    <row r="904">
      <c r="C904" s="20"/>
      <c r="D904" s="20"/>
      <c r="E904" s="20"/>
      <c r="F904" s="20"/>
      <c r="G904" s="20"/>
    </row>
    <row r="905">
      <c r="C905" s="20"/>
      <c r="D905" s="20"/>
      <c r="E905" s="20"/>
      <c r="F905" s="20"/>
      <c r="G905" s="20"/>
    </row>
    <row r="906">
      <c r="C906" s="20"/>
      <c r="D906" s="20"/>
      <c r="E906" s="20"/>
      <c r="F906" s="20"/>
      <c r="G906" s="20"/>
    </row>
    <row r="907">
      <c r="C907" s="20"/>
      <c r="D907" s="20"/>
      <c r="E907" s="20"/>
      <c r="F907" s="20"/>
      <c r="G907" s="20"/>
    </row>
    <row r="908">
      <c r="C908" s="20"/>
      <c r="D908" s="20"/>
      <c r="E908" s="20"/>
      <c r="F908" s="20"/>
      <c r="G908" s="20"/>
    </row>
    <row r="909">
      <c r="C909" s="20"/>
      <c r="D909" s="20"/>
      <c r="E909" s="20"/>
      <c r="F909" s="20"/>
      <c r="G909" s="20"/>
    </row>
    <row r="910">
      <c r="C910" s="20"/>
      <c r="D910" s="20"/>
      <c r="E910" s="20"/>
      <c r="F910" s="20"/>
      <c r="G910" s="20"/>
    </row>
    <row r="911">
      <c r="C911" s="20"/>
      <c r="D911" s="20"/>
      <c r="E911" s="20"/>
      <c r="F911" s="20"/>
      <c r="G911" s="20"/>
    </row>
    <row r="912">
      <c r="C912" s="20"/>
      <c r="D912" s="20"/>
      <c r="E912" s="20"/>
      <c r="F912" s="20"/>
      <c r="G912" s="20"/>
    </row>
    <row r="913">
      <c r="C913" s="20"/>
      <c r="D913" s="20"/>
      <c r="E913" s="20"/>
      <c r="F913" s="20"/>
      <c r="G913" s="20"/>
    </row>
    <row r="914">
      <c r="C914" s="20"/>
      <c r="D914" s="20"/>
      <c r="E914" s="20"/>
      <c r="F914" s="20"/>
      <c r="G914" s="20"/>
    </row>
    <row r="915">
      <c r="C915" s="20"/>
      <c r="D915" s="20"/>
      <c r="E915" s="20"/>
      <c r="F915" s="20"/>
      <c r="G915" s="20"/>
    </row>
    <row r="916">
      <c r="C916" s="20"/>
      <c r="D916" s="20"/>
      <c r="E916" s="20"/>
      <c r="F916" s="20"/>
      <c r="G916" s="20"/>
    </row>
    <row r="917">
      <c r="C917" s="20"/>
      <c r="D917" s="20"/>
      <c r="E917" s="20"/>
      <c r="F917" s="20"/>
      <c r="G917" s="20"/>
    </row>
    <row r="918">
      <c r="C918" s="20"/>
      <c r="D918" s="20"/>
      <c r="E918" s="20"/>
      <c r="F918" s="20"/>
      <c r="G918" s="20"/>
    </row>
    <row r="919">
      <c r="C919" s="20"/>
      <c r="D919" s="20"/>
      <c r="E919" s="20"/>
      <c r="F919" s="20"/>
      <c r="G919" s="20"/>
    </row>
    <row r="920">
      <c r="C920" s="20"/>
      <c r="D920" s="20"/>
      <c r="E920" s="20"/>
      <c r="F920" s="20"/>
      <c r="G920" s="20"/>
    </row>
    <row r="921">
      <c r="C921" s="20"/>
      <c r="D921" s="20"/>
      <c r="E921" s="20"/>
      <c r="F921" s="20"/>
      <c r="G921" s="20"/>
    </row>
    <row r="922">
      <c r="C922" s="20"/>
      <c r="D922" s="20"/>
      <c r="E922" s="20"/>
      <c r="F922" s="20"/>
      <c r="G922" s="20"/>
    </row>
    <row r="923">
      <c r="C923" s="20"/>
      <c r="D923" s="20"/>
      <c r="E923" s="20"/>
      <c r="F923" s="20"/>
      <c r="G923" s="20"/>
    </row>
    <row r="924">
      <c r="C924" s="20"/>
      <c r="D924" s="20"/>
      <c r="E924" s="20"/>
      <c r="F924" s="20"/>
      <c r="G924" s="20"/>
    </row>
    <row r="925">
      <c r="C925" s="20"/>
      <c r="D925" s="20"/>
      <c r="E925" s="20"/>
      <c r="F925" s="20"/>
      <c r="G925" s="20"/>
    </row>
    <row r="926">
      <c r="C926" s="20"/>
      <c r="D926" s="20"/>
      <c r="E926" s="20"/>
      <c r="F926" s="20"/>
      <c r="G926" s="20"/>
    </row>
    <row r="927">
      <c r="C927" s="20"/>
      <c r="D927" s="20"/>
      <c r="E927" s="20"/>
      <c r="F927" s="20"/>
      <c r="G927" s="20"/>
    </row>
    <row r="928">
      <c r="C928" s="20"/>
      <c r="D928" s="20"/>
      <c r="E928" s="20"/>
      <c r="F928" s="20"/>
      <c r="G928" s="20"/>
    </row>
    <row r="929">
      <c r="C929" s="20"/>
      <c r="D929" s="20"/>
      <c r="E929" s="20"/>
      <c r="F929" s="20"/>
      <c r="G929" s="20"/>
    </row>
    <row r="930">
      <c r="C930" s="20"/>
      <c r="D930" s="20"/>
      <c r="E930" s="20"/>
      <c r="F930" s="20"/>
      <c r="G930" s="20"/>
    </row>
    <row r="931">
      <c r="C931" s="20"/>
      <c r="D931" s="20"/>
      <c r="E931" s="20"/>
      <c r="F931" s="20"/>
      <c r="G931" s="20"/>
    </row>
    <row r="932">
      <c r="C932" s="20"/>
      <c r="D932" s="20"/>
      <c r="E932" s="20"/>
      <c r="F932" s="20"/>
      <c r="G932" s="20"/>
    </row>
    <row r="933">
      <c r="C933" s="20"/>
      <c r="D933" s="20"/>
      <c r="E933" s="20"/>
      <c r="F933" s="20"/>
      <c r="G933" s="20"/>
    </row>
    <row r="934">
      <c r="C934" s="20"/>
      <c r="D934" s="20"/>
      <c r="E934" s="20"/>
      <c r="F934" s="20"/>
      <c r="G934" s="20"/>
    </row>
    <row r="935">
      <c r="C935" s="20"/>
      <c r="D935" s="20"/>
      <c r="E935" s="20"/>
      <c r="F935" s="20"/>
      <c r="G935" s="20"/>
    </row>
    <row r="936">
      <c r="C936" s="20"/>
      <c r="D936" s="20"/>
      <c r="E936" s="20"/>
      <c r="F936" s="20"/>
      <c r="G936" s="20"/>
    </row>
    <row r="937">
      <c r="C937" s="20"/>
      <c r="D937" s="20"/>
      <c r="E937" s="20"/>
      <c r="F937" s="20"/>
      <c r="G937" s="20"/>
    </row>
    <row r="938">
      <c r="C938" s="20"/>
      <c r="D938" s="20"/>
      <c r="E938" s="20"/>
      <c r="F938" s="20"/>
      <c r="G938" s="20"/>
    </row>
    <row r="939">
      <c r="C939" s="20"/>
      <c r="D939" s="20"/>
      <c r="E939" s="20"/>
      <c r="F939" s="20"/>
      <c r="G939" s="20"/>
    </row>
    <row r="940">
      <c r="C940" s="20"/>
      <c r="D940" s="20"/>
      <c r="E940" s="20"/>
      <c r="F940" s="20"/>
      <c r="G940" s="20"/>
    </row>
    <row r="941">
      <c r="C941" s="20"/>
      <c r="D941" s="20"/>
      <c r="E941" s="20"/>
      <c r="F941" s="20"/>
      <c r="G941" s="20"/>
    </row>
    <row r="942">
      <c r="C942" s="20"/>
      <c r="D942" s="20"/>
      <c r="E942" s="20"/>
      <c r="F942" s="20"/>
      <c r="G942" s="20"/>
    </row>
    <row r="943">
      <c r="C943" s="20"/>
      <c r="D943" s="20"/>
      <c r="E943" s="20"/>
      <c r="F943" s="20"/>
      <c r="G943" s="20"/>
    </row>
    <row r="944">
      <c r="C944" s="20"/>
      <c r="D944" s="20"/>
      <c r="E944" s="20"/>
      <c r="F944" s="20"/>
      <c r="G944" s="20"/>
    </row>
    <row r="945">
      <c r="C945" s="20"/>
      <c r="D945" s="20"/>
      <c r="E945" s="20"/>
      <c r="F945" s="20"/>
      <c r="G945" s="20"/>
    </row>
    <row r="946">
      <c r="C946" s="20"/>
      <c r="D946" s="20"/>
      <c r="E946" s="20"/>
      <c r="F946" s="20"/>
      <c r="G946" s="20"/>
    </row>
    <row r="947">
      <c r="C947" s="20"/>
      <c r="D947" s="20"/>
      <c r="E947" s="20"/>
      <c r="F947" s="20"/>
      <c r="G947" s="20"/>
    </row>
    <row r="948">
      <c r="C948" s="20"/>
      <c r="D948" s="20"/>
      <c r="E948" s="20"/>
      <c r="F948" s="20"/>
      <c r="G948" s="20"/>
    </row>
    <row r="949">
      <c r="C949" s="20"/>
      <c r="D949" s="20"/>
      <c r="E949" s="20"/>
      <c r="F949" s="20"/>
      <c r="G949" s="20"/>
    </row>
    <row r="950">
      <c r="C950" s="20"/>
      <c r="D950" s="20"/>
      <c r="E950" s="20"/>
      <c r="F950" s="20"/>
      <c r="G950" s="20"/>
    </row>
    <row r="951">
      <c r="C951" s="20"/>
      <c r="D951" s="20"/>
      <c r="E951" s="20"/>
      <c r="F951" s="20"/>
      <c r="G951" s="20"/>
    </row>
    <row r="952">
      <c r="C952" s="20"/>
      <c r="D952" s="20"/>
      <c r="E952" s="20"/>
      <c r="F952" s="20"/>
      <c r="G952" s="20"/>
    </row>
    <row r="953">
      <c r="C953" s="20"/>
      <c r="D953" s="20"/>
      <c r="E953" s="20"/>
      <c r="F953" s="20"/>
      <c r="G953" s="20"/>
    </row>
    <row r="954">
      <c r="C954" s="20"/>
      <c r="D954" s="20"/>
      <c r="E954" s="20"/>
      <c r="F954" s="20"/>
      <c r="G954" s="20"/>
    </row>
    <row r="955">
      <c r="C955" s="20"/>
      <c r="D955" s="20"/>
      <c r="E955" s="20"/>
      <c r="F955" s="20"/>
      <c r="G955" s="20"/>
    </row>
    <row r="956">
      <c r="C956" s="20"/>
      <c r="D956" s="20"/>
      <c r="E956" s="20"/>
      <c r="F956" s="20"/>
      <c r="G956" s="20"/>
    </row>
    <row r="957">
      <c r="C957" s="20"/>
      <c r="D957" s="20"/>
      <c r="E957" s="20"/>
      <c r="F957" s="20"/>
      <c r="G957" s="20"/>
    </row>
    <row r="958">
      <c r="C958" s="20"/>
      <c r="D958" s="20"/>
      <c r="E958" s="20"/>
      <c r="F958" s="20"/>
      <c r="G958" s="20"/>
    </row>
    <row r="959">
      <c r="C959" s="20"/>
      <c r="D959" s="20"/>
      <c r="E959" s="20"/>
      <c r="F959" s="20"/>
      <c r="G959" s="20"/>
    </row>
    <row r="960">
      <c r="C960" s="20"/>
      <c r="D960" s="20"/>
      <c r="E960" s="20"/>
      <c r="F960" s="20"/>
      <c r="G960" s="20"/>
    </row>
    <row r="961">
      <c r="C961" s="20"/>
      <c r="D961" s="20"/>
      <c r="E961" s="20"/>
      <c r="F961" s="20"/>
      <c r="G961" s="20"/>
    </row>
    <row r="962">
      <c r="C962" s="20"/>
      <c r="D962" s="20"/>
      <c r="E962" s="20"/>
      <c r="F962" s="20"/>
      <c r="G962" s="20"/>
    </row>
    <row r="963">
      <c r="C963" s="20"/>
      <c r="D963" s="20"/>
      <c r="E963" s="20"/>
      <c r="F963" s="20"/>
      <c r="G963" s="20"/>
    </row>
    <row r="964">
      <c r="C964" s="20"/>
      <c r="D964" s="20"/>
      <c r="E964" s="20"/>
      <c r="F964" s="20"/>
      <c r="G964" s="20"/>
    </row>
    <row r="965">
      <c r="C965" s="20"/>
      <c r="D965" s="20"/>
      <c r="E965" s="20"/>
      <c r="F965" s="20"/>
      <c r="G965" s="20"/>
    </row>
    <row r="966">
      <c r="C966" s="20"/>
      <c r="D966" s="20"/>
      <c r="E966" s="20"/>
      <c r="F966" s="20"/>
      <c r="G966" s="20"/>
    </row>
    <row r="967">
      <c r="C967" s="20"/>
      <c r="D967" s="20"/>
      <c r="E967" s="20"/>
      <c r="F967" s="20"/>
      <c r="G967" s="20"/>
    </row>
    <row r="968">
      <c r="C968" s="20"/>
      <c r="D968" s="20"/>
      <c r="E968" s="20"/>
      <c r="F968" s="20"/>
      <c r="G968" s="20"/>
    </row>
    <row r="969">
      <c r="C969" s="20"/>
      <c r="D969" s="20"/>
      <c r="E969" s="20"/>
      <c r="F969" s="20"/>
      <c r="G969" s="20"/>
    </row>
    <row r="970">
      <c r="C970" s="20"/>
      <c r="D970" s="20"/>
      <c r="E970" s="20"/>
      <c r="F970" s="20"/>
      <c r="G970" s="20"/>
    </row>
    <row r="971">
      <c r="C971" s="20"/>
      <c r="D971" s="20"/>
      <c r="E971" s="20"/>
      <c r="F971" s="20"/>
      <c r="G971" s="20"/>
    </row>
    <row r="972">
      <c r="C972" s="20"/>
      <c r="D972" s="20"/>
      <c r="E972" s="20"/>
      <c r="F972" s="20"/>
      <c r="G972" s="20"/>
    </row>
    <row r="973">
      <c r="C973" s="20"/>
      <c r="D973" s="20"/>
      <c r="E973" s="20"/>
      <c r="F973" s="20"/>
      <c r="G973" s="20"/>
    </row>
    <row r="974">
      <c r="C974" s="20"/>
      <c r="D974" s="20"/>
      <c r="E974" s="20"/>
      <c r="F974" s="20"/>
      <c r="G974" s="20"/>
    </row>
    <row r="975">
      <c r="C975" s="20"/>
      <c r="D975" s="20"/>
      <c r="E975" s="20"/>
      <c r="F975" s="20"/>
      <c r="G975" s="20"/>
    </row>
    <row r="976">
      <c r="C976" s="20"/>
      <c r="D976" s="20"/>
      <c r="E976" s="20"/>
      <c r="F976" s="20"/>
      <c r="G976" s="20"/>
    </row>
    <row r="977">
      <c r="C977" s="20"/>
      <c r="D977" s="20"/>
      <c r="E977" s="20"/>
      <c r="F977" s="20"/>
      <c r="G977" s="20"/>
    </row>
    <row r="978">
      <c r="C978" s="20"/>
      <c r="D978" s="20"/>
      <c r="E978" s="20"/>
      <c r="F978" s="20"/>
      <c r="G978" s="20"/>
    </row>
    <row r="979">
      <c r="C979" s="20"/>
      <c r="D979" s="20"/>
      <c r="E979" s="20"/>
      <c r="F979" s="20"/>
      <c r="G979" s="20"/>
    </row>
    <row r="980">
      <c r="C980" s="20"/>
      <c r="D980" s="20"/>
      <c r="E980" s="20"/>
      <c r="F980" s="20"/>
      <c r="G980" s="20"/>
    </row>
    <row r="981">
      <c r="C981" s="20"/>
      <c r="D981" s="20"/>
      <c r="E981" s="20"/>
      <c r="F981" s="20"/>
      <c r="G981" s="20"/>
    </row>
    <row r="982">
      <c r="C982" s="20"/>
      <c r="D982" s="20"/>
      <c r="E982" s="20"/>
      <c r="F982" s="20"/>
      <c r="G982" s="20"/>
    </row>
    <row r="983">
      <c r="C983" s="20"/>
      <c r="D983" s="20"/>
      <c r="E983" s="20"/>
      <c r="F983" s="20"/>
      <c r="G983" s="20"/>
    </row>
    <row r="984">
      <c r="C984" s="20"/>
      <c r="D984" s="20"/>
      <c r="E984" s="20"/>
      <c r="F984" s="20"/>
      <c r="G984" s="20"/>
    </row>
    <row r="985">
      <c r="C985" s="20"/>
      <c r="D985" s="20"/>
      <c r="E985" s="20"/>
      <c r="F985" s="20"/>
      <c r="G985" s="20"/>
    </row>
    <row r="986">
      <c r="C986" s="20"/>
      <c r="D986" s="20"/>
      <c r="E986" s="20"/>
      <c r="F986" s="20"/>
      <c r="G986" s="20"/>
    </row>
    <row r="987">
      <c r="C987" s="20"/>
      <c r="D987" s="20"/>
      <c r="E987" s="20"/>
      <c r="F987" s="20"/>
      <c r="G987" s="20"/>
    </row>
    <row r="988">
      <c r="C988" s="20"/>
      <c r="D988" s="20"/>
      <c r="E988" s="20"/>
      <c r="F988" s="20"/>
      <c r="G988" s="20"/>
    </row>
    <row r="989">
      <c r="C989" s="20"/>
      <c r="D989" s="20"/>
      <c r="E989" s="20"/>
      <c r="F989" s="20"/>
      <c r="G989" s="20"/>
    </row>
    <row r="990">
      <c r="C990" s="20"/>
      <c r="D990" s="20"/>
      <c r="E990" s="20"/>
      <c r="F990" s="20"/>
      <c r="G990" s="20"/>
    </row>
    <row r="991">
      <c r="C991" s="20"/>
      <c r="D991" s="20"/>
      <c r="E991" s="20"/>
      <c r="F991" s="20"/>
      <c r="G991" s="20"/>
    </row>
    <row r="992">
      <c r="C992" s="20"/>
      <c r="D992" s="20"/>
      <c r="E992" s="20"/>
      <c r="F992" s="20"/>
      <c r="G992" s="20"/>
    </row>
    <row r="993">
      <c r="C993" s="20"/>
      <c r="D993" s="20"/>
      <c r="E993" s="20"/>
      <c r="F993" s="20"/>
      <c r="G993" s="20"/>
    </row>
    <row r="994">
      <c r="C994" s="20"/>
      <c r="D994" s="20"/>
      <c r="E994" s="20"/>
      <c r="F994" s="20"/>
      <c r="G994" s="20"/>
    </row>
    <row r="995">
      <c r="C995" s="20"/>
      <c r="D995" s="20"/>
      <c r="E995" s="20"/>
      <c r="F995" s="20"/>
      <c r="G995" s="20"/>
    </row>
    <row r="996">
      <c r="C996" s="20"/>
      <c r="D996" s="20"/>
      <c r="E996" s="20"/>
      <c r="F996" s="20"/>
      <c r="G996" s="20"/>
    </row>
    <row r="997">
      <c r="C997" s="20"/>
      <c r="D997" s="20"/>
      <c r="E997" s="20"/>
      <c r="F997" s="20"/>
      <c r="G997" s="20"/>
    </row>
    <row r="998">
      <c r="C998" s="20"/>
      <c r="D998" s="20"/>
      <c r="E998" s="20"/>
      <c r="F998" s="20"/>
      <c r="G998" s="20"/>
    </row>
    <row r="999">
      <c r="C999" s="20"/>
      <c r="D999" s="20"/>
      <c r="E999" s="20"/>
      <c r="F999" s="20"/>
      <c r="G999" s="20"/>
    </row>
    <row r="1000">
      <c r="C1000" s="20"/>
      <c r="D1000" s="20"/>
      <c r="E1000" s="20"/>
      <c r="F1000" s="20"/>
      <c r="G1000" s="20"/>
    </row>
  </sheetData>
  <conditionalFormatting sqref="D1:G1000">
    <cfRule type="colorScale" priority="1">
      <colorScale>
        <cfvo type="formula" val="min(D:D)"/>
        <cfvo type="formula" val="0"/>
        <cfvo type="formula" val="max(D:D)"/>
        <color rgb="FFE67C73"/>
        <color rgb="FFFFFFFF"/>
        <color rgb="FF57BB8A"/>
      </colorScale>
    </cfRule>
  </conditionalFormatting>
  <conditionalFormatting sqref="C1:C1000">
    <cfRule type="colorScale" priority="2">
      <colorScale>
        <cfvo type="min"/>
        <cfvo type="percentile" val="50"/>
        <cfvo type="max"/>
        <color rgb="FF7458EA"/>
        <color rgb="FFFFFFFF"/>
        <color rgb="FFFF5B00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7.0"/>
    <col customWidth="1" min="3" max="3" width="9.38"/>
    <col customWidth="1" min="4" max="7" width="9.5"/>
    <col customWidth="1" min="8" max="9" width="11.5"/>
  </cols>
  <sheetData>
    <row r="1">
      <c r="A1" s="21" t="s">
        <v>0</v>
      </c>
      <c r="B1" s="22" t="s">
        <v>1</v>
      </c>
      <c r="C1" s="23" t="s">
        <v>385</v>
      </c>
      <c r="D1" s="24" t="s">
        <v>386</v>
      </c>
      <c r="E1" s="24" t="s">
        <v>387</v>
      </c>
      <c r="F1" s="24" t="s">
        <v>388</v>
      </c>
      <c r="G1" s="25" t="s">
        <v>389</v>
      </c>
      <c r="H1" s="18"/>
      <c r="I1" s="18"/>
    </row>
    <row r="2">
      <c r="A2" s="10">
        <v>665862.0</v>
      </c>
      <c r="B2" s="11" t="s">
        <v>87</v>
      </c>
      <c r="C2" s="14">
        <v>0.039011951</v>
      </c>
      <c r="D2" s="18">
        <v>0.691677618</v>
      </c>
      <c r="E2" s="18">
        <v>0.663657416</v>
      </c>
      <c r="F2" s="18">
        <v>6.12321984</v>
      </c>
      <c r="G2" s="26">
        <v>2.523723275</v>
      </c>
      <c r="H2" s="18"/>
      <c r="I2" s="18"/>
    </row>
    <row r="3">
      <c r="A3" s="10">
        <v>621439.0</v>
      </c>
      <c r="B3" s="11" t="s">
        <v>56</v>
      </c>
      <c r="C3" s="14">
        <v>-0.016161588</v>
      </c>
      <c r="D3" s="18">
        <v>0.710302884</v>
      </c>
      <c r="E3" s="18">
        <v>0.943145065</v>
      </c>
      <c r="F3" s="18">
        <v>3.931470502</v>
      </c>
      <c r="G3" s="26">
        <v>2.248322185</v>
      </c>
      <c r="H3" s="18"/>
      <c r="I3" s="18"/>
    </row>
    <row r="4">
      <c r="A4" s="10">
        <v>642715.0</v>
      </c>
      <c r="B4" s="11" t="s">
        <v>181</v>
      </c>
      <c r="C4" s="14">
        <v>-0.038219045</v>
      </c>
      <c r="D4" s="18">
        <v>1.222992955</v>
      </c>
      <c r="E4" s="18">
        <v>-0.714366173</v>
      </c>
      <c r="F4" s="18">
        <v>5.823940548</v>
      </c>
      <c r="G4" s="26">
        <v>1.916781359</v>
      </c>
      <c r="H4" s="18"/>
      <c r="I4" s="18"/>
    </row>
    <row r="5">
      <c r="A5" s="10">
        <v>676475.0</v>
      </c>
      <c r="B5" s="11" t="s">
        <v>110</v>
      </c>
      <c r="C5" s="14">
        <v>-0.001414363</v>
      </c>
      <c r="D5" s="18">
        <v>0.051700981</v>
      </c>
      <c r="E5" s="18">
        <v>0.160271447</v>
      </c>
      <c r="F5" s="18">
        <v>3.866482815</v>
      </c>
      <c r="G5" s="26">
        <v>1.775993616</v>
      </c>
      <c r="H5" s="18"/>
      <c r="I5" s="18"/>
    </row>
    <row r="6">
      <c r="A6" s="10">
        <v>669065.0</v>
      </c>
      <c r="B6" s="11" t="s">
        <v>55</v>
      </c>
      <c r="C6" s="14">
        <v>-0.009933872</v>
      </c>
      <c r="D6" s="18">
        <v>0.561925249</v>
      </c>
      <c r="E6" s="18">
        <v>1.326547926</v>
      </c>
      <c r="F6" s="18">
        <v>4.046312018</v>
      </c>
      <c r="G6" s="26">
        <v>1.739179449</v>
      </c>
      <c r="H6" s="18"/>
      <c r="I6" s="18"/>
    </row>
    <row r="7">
      <c r="A7" s="10">
        <v>608369.0</v>
      </c>
      <c r="B7" s="11" t="s">
        <v>27</v>
      </c>
      <c r="C7" s="14">
        <v>0.015870617</v>
      </c>
      <c r="D7" s="18">
        <v>0.885893252</v>
      </c>
      <c r="E7" s="18">
        <v>-1.393119297</v>
      </c>
      <c r="F7" s="18">
        <v>5.252391341</v>
      </c>
      <c r="G7" s="26">
        <v>1.616464192</v>
      </c>
      <c r="H7" s="18"/>
      <c r="I7" s="18"/>
    </row>
    <row r="8">
      <c r="A8" s="10">
        <v>521692.0</v>
      </c>
      <c r="B8" s="11" t="s">
        <v>82</v>
      </c>
      <c r="C8" s="14">
        <v>-0.034180662</v>
      </c>
      <c r="D8" s="18">
        <v>1.912654276</v>
      </c>
      <c r="E8" s="18">
        <v>1.043673308</v>
      </c>
      <c r="F8" s="18">
        <v>1.274104183</v>
      </c>
      <c r="G8" s="26">
        <v>1.605755141</v>
      </c>
      <c r="H8" s="18"/>
      <c r="I8" s="18"/>
    </row>
    <row r="9">
      <c r="A9" s="10">
        <v>669016.0</v>
      </c>
      <c r="B9" s="11" t="s">
        <v>162</v>
      </c>
      <c r="C9" s="14">
        <v>0.038510319</v>
      </c>
      <c r="D9" s="18">
        <v>-0.617638782</v>
      </c>
      <c r="E9" s="18">
        <v>1.372890672</v>
      </c>
      <c r="F9" s="18">
        <v>3.679241146</v>
      </c>
      <c r="G9" s="26">
        <v>1.506028436</v>
      </c>
      <c r="H9" s="18"/>
      <c r="I9" s="18"/>
    </row>
    <row r="10">
      <c r="A10" s="10">
        <v>592885.0</v>
      </c>
      <c r="B10" s="11" t="s">
        <v>139</v>
      </c>
      <c r="C10" s="14">
        <v>6.66629E-4</v>
      </c>
      <c r="D10" s="18">
        <v>1.156904997</v>
      </c>
      <c r="E10" s="18">
        <v>-0.316029179</v>
      </c>
      <c r="F10" s="18">
        <v>3.467341732</v>
      </c>
      <c r="G10" s="26">
        <v>1.502932946</v>
      </c>
      <c r="H10" s="18"/>
      <c r="I10" s="18"/>
    </row>
    <row r="11">
      <c r="A11" s="10">
        <v>683737.0</v>
      </c>
      <c r="B11" s="11" t="s">
        <v>26</v>
      </c>
      <c r="C11" s="14">
        <v>0.02921451</v>
      </c>
      <c r="D11" s="18">
        <v>-0.011768446</v>
      </c>
      <c r="E11" s="18">
        <v>1.558996416</v>
      </c>
      <c r="F11" s="18">
        <v>2.143982693</v>
      </c>
      <c r="G11" s="26">
        <v>1.502446308</v>
      </c>
      <c r="H11" s="18"/>
      <c r="I11" s="18"/>
    </row>
    <row r="12">
      <c r="A12" s="10">
        <v>666176.0</v>
      </c>
      <c r="B12" s="11" t="s">
        <v>29</v>
      </c>
      <c r="C12" s="14">
        <v>-0.01667348</v>
      </c>
      <c r="D12" s="18">
        <v>1.085793711</v>
      </c>
      <c r="E12" s="18">
        <v>0.220657186</v>
      </c>
      <c r="F12" s="18">
        <v>3.329345633</v>
      </c>
      <c r="G12" s="26">
        <v>1.385748453</v>
      </c>
      <c r="H12" s="18"/>
      <c r="I12" s="18"/>
    </row>
    <row r="13">
      <c r="A13" s="10">
        <v>672695.0</v>
      </c>
      <c r="B13" s="11" t="s">
        <v>117</v>
      </c>
      <c r="C13" s="14">
        <v>-0.002999329</v>
      </c>
      <c r="D13" s="18">
        <v>0.234079649</v>
      </c>
      <c r="E13" s="18">
        <v>-0.857289775</v>
      </c>
      <c r="F13" s="18">
        <v>3.969912173</v>
      </c>
      <c r="G13" s="26">
        <v>1.310651488</v>
      </c>
      <c r="H13" s="18"/>
      <c r="I13" s="18"/>
    </row>
    <row r="14">
      <c r="A14" s="10">
        <v>666018.0</v>
      </c>
      <c r="B14" s="11" t="s">
        <v>41</v>
      </c>
      <c r="C14" s="14">
        <v>0.014787331</v>
      </c>
      <c r="D14" s="18">
        <v>-0.717343905</v>
      </c>
      <c r="E14" s="18">
        <v>0.588291738</v>
      </c>
      <c r="F14" s="18">
        <v>2.466707333</v>
      </c>
      <c r="G14" s="26">
        <v>1.226127657</v>
      </c>
      <c r="H14" s="18"/>
      <c r="I14" s="18"/>
    </row>
    <row r="15">
      <c r="A15" s="10">
        <v>677951.0</v>
      </c>
      <c r="B15" s="11" t="s">
        <v>44</v>
      </c>
      <c r="C15" s="14">
        <v>-0.008919327</v>
      </c>
      <c r="D15" s="18">
        <v>0.153316328</v>
      </c>
      <c r="E15" s="18">
        <v>0.342524472</v>
      </c>
      <c r="F15" s="18">
        <v>2.346461706</v>
      </c>
      <c r="G15" s="26">
        <v>1.198947864</v>
      </c>
      <c r="H15" s="18"/>
      <c r="I15" s="18"/>
    </row>
    <row r="16">
      <c r="A16" s="10">
        <v>596115.0</v>
      </c>
      <c r="B16" s="11" t="s">
        <v>237</v>
      </c>
      <c r="C16" s="14">
        <v>0.005398294</v>
      </c>
      <c r="D16" s="18">
        <v>-0.038552247</v>
      </c>
      <c r="E16" s="18">
        <v>-0.358748812</v>
      </c>
      <c r="F16" s="18">
        <v>3.386223416</v>
      </c>
      <c r="G16" s="26">
        <v>1.166685076</v>
      </c>
      <c r="H16" s="18"/>
      <c r="I16" s="18"/>
    </row>
    <row r="17">
      <c r="A17" s="10">
        <v>701762.0</v>
      </c>
      <c r="B17" s="11" t="s">
        <v>40</v>
      </c>
      <c r="C17" s="14">
        <v>-0.036310854</v>
      </c>
      <c r="D17" s="18">
        <v>0.162460253</v>
      </c>
      <c r="E17" s="18">
        <v>-0.150210775</v>
      </c>
      <c r="F17" s="18">
        <v>4.752235992</v>
      </c>
      <c r="G17" s="26">
        <v>1.150423293</v>
      </c>
      <c r="H17" s="18"/>
      <c r="I17" s="18"/>
    </row>
    <row r="18">
      <c r="A18" s="10">
        <v>702332.0</v>
      </c>
      <c r="B18" s="11" t="s">
        <v>325</v>
      </c>
      <c r="C18" s="14">
        <v>-0.007667975</v>
      </c>
      <c r="D18" s="18">
        <v>0.123988895</v>
      </c>
      <c r="E18" s="18">
        <v>-1.511151466</v>
      </c>
      <c r="F18" s="18">
        <v>2.504693759</v>
      </c>
      <c r="G18" s="26">
        <v>1.145373055</v>
      </c>
      <c r="H18" s="18"/>
      <c r="I18" s="18"/>
    </row>
    <row r="19">
      <c r="A19" s="10">
        <v>668227.0</v>
      </c>
      <c r="B19" s="11" t="s">
        <v>96</v>
      </c>
      <c r="C19" s="14">
        <v>0.00447344</v>
      </c>
      <c r="D19" s="18">
        <v>-0.754250813</v>
      </c>
      <c r="E19" s="18">
        <v>1.076630046</v>
      </c>
      <c r="F19" s="18">
        <v>2.822570863</v>
      </c>
      <c r="G19" s="26">
        <v>1.114945843</v>
      </c>
      <c r="H19" s="18"/>
      <c r="I19" s="18"/>
    </row>
    <row r="20">
      <c r="A20" s="10">
        <v>665742.0</v>
      </c>
      <c r="B20" s="11" t="s">
        <v>19</v>
      </c>
      <c r="C20" s="14">
        <v>-0.005109032</v>
      </c>
      <c r="D20" s="18">
        <v>-0.185270435</v>
      </c>
      <c r="E20" s="18">
        <v>-3.963950636</v>
      </c>
      <c r="F20" s="18">
        <v>8.515320622</v>
      </c>
      <c r="G20" s="26">
        <v>1.107126385</v>
      </c>
      <c r="H20" s="18"/>
      <c r="I20" s="18"/>
    </row>
    <row r="21">
      <c r="A21" s="10">
        <v>650490.0</v>
      </c>
      <c r="B21" s="11" t="s">
        <v>33</v>
      </c>
      <c r="C21" s="14">
        <v>-0.022684092</v>
      </c>
      <c r="D21" s="18">
        <v>1.710505008</v>
      </c>
      <c r="E21" s="18">
        <v>-0.932449729</v>
      </c>
      <c r="F21" s="18">
        <v>1.783852902</v>
      </c>
      <c r="G21" s="26">
        <v>0.982981112</v>
      </c>
      <c r="H21" s="18"/>
      <c r="I21" s="18"/>
    </row>
    <row r="22">
      <c r="A22" s="10">
        <v>669397.0</v>
      </c>
      <c r="B22" s="11" t="s">
        <v>374</v>
      </c>
      <c r="C22" s="14">
        <v>-0.008937603</v>
      </c>
      <c r="D22" s="18">
        <v>0.315834607</v>
      </c>
      <c r="E22" s="18">
        <v>2.475973206</v>
      </c>
      <c r="F22" s="18">
        <v>0.932312425</v>
      </c>
      <c r="G22" s="26">
        <v>0.963898459</v>
      </c>
      <c r="H22" s="18"/>
      <c r="I22" s="18"/>
    </row>
    <row r="23">
      <c r="A23" s="10">
        <v>670764.0</v>
      </c>
      <c r="B23" s="11" t="s">
        <v>326</v>
      </c>
      <c r="C23" s="14">
        <v>-0.038066331</v>
      </c>
      <c r="D23" s="18">
        <v>0.134437557</v>
      </c>
      <c r="E23" s="18">
        <v>-0.427870991</v>
      </c>
      <c r="F23" s="18">
        <v>2.869145779</v>
      </c>
      <c r="G23" s="26">
        <v>0.921503426</v>
      </c>
      <c r="H23" s="18"/>
      <c r="I23" s="18"/>
    </row>
    <row r="24">
      <c r="A24" s="10">
        <v>624428.0</v>
      </c>
      <c r="B24" s="11" t="s">
        <v>307</v>
      </c>
      <c r="C24" s="14">
        <v>0.031626478</v>
      </c>
      <c r="D24" s="18">
        <v>-0.119591549</v>
      </c>
      <c r="E24" s="18">
        <v>-1.219004239</v>
      </c>
      <c r="F24" s="18">
        <v>3.050684096</v>
      </c>
      <c r="G24" s="26">
        <v>0.835316938</v>
      </c>
      <c r="H24" s="18"/>
      <c r="I24" s="18"/>
    </row>
    <row r="25">
      <c r="A25" s="10">
        <v>664728.0</v>
      </c>
      <c r="B25" s="11" t="s">
        <v>369</v>
      </c>
      <c r="C25" s="14">
        <v>-0.045801294</v>
      </c>
      <c r="D25" s="18">
        <v>0.902357593</v>
      </c>
      <c r="E25" s="18">
        <v>0.504203404</v>
      </c>
      <c r="F25" s="18">
        <v>0.598083194</v>
      </c>
      <c r="G25" s="26">
        <v>0.823558231</v>
      </c>
      <c r="H25" s="18"/>
      <c r="I25" s="18"/>
    </row>
    <row r="26">
      <c r="A26" s="10">
        <v>669357.0</v>
      </c>
      <c r="B26" s="11" t="s">
        <v>174</v>
      </c>
      <c r="C26" s="14">
        <v>0.015574848</v>
      </c>
      <c r="D26" s="18">
        <v>0.425876982</v>
      </c>
      <c r="E26" s="18">
        <v>-0.613389334</v>
      </c>
      <c r="F26" s="18">
        <v>3.213409548</v>
      </c>
      <c r="G26" s="26">
        <v>0.772728924</v>
      </c>
      <c r="H26" s="18"/>
      <c r="I26" s="18"/>
    </row>
    <row r="27">
      <c r="A27" s="10">
        <v>657757.0</v>
      </c>
      <c r="B27" s="11" t="s">
        <v>75</v>
      </c>
      <c r="C27" s="14">
        <v>9.01405E-4</v>
      </c>
      <c r="D27" s="18">
        <v>0.356548961</v>
      </c>
      <c r="E27" s="18">
        <v>1.073712761</v>
      </c>
      <c r="F27" s="18">
        <v>0.797611021</v>
      </c>
      <c r="G27" s="26">
        <v>0.770464321</v>
      </c>
      <c r="H27" s="18"/>
      <c r="I27" s="18"/>
    </row>
    <row r="28">
      <c r="A28" s="10">
        <v>502054.0</v>
      </c>
      <c r="B28" s="11" t="s">
        <v>274</v>
      </c>
      <c r="C28" s="14">
        <v>0.017272336</v>
      </c>
      <c r="D28" s="18">
        <v>-0.69496203</v>
      </c>
      <c r="E28" s="18">
        <v>1.74298914</v>
      </c>
      <c r="F28" s="18">
        <v>2.0995031</v>
      </c>
      <c r="G28" s="26">
        <v>0.766064712</v>
      </c>
      <c r="H28" s="18"/>
      <c r="I28" s="18"/>
    </row>
    <row r="29">
      <c r="A29" s="10">
        <v>683002.0</v>
      </c>
      <c r="B29" s="11" t="s">
        <v>173</v>
      </c>
      <c r="C29" s="14">
        <v>0.045993501</v>
      </c>
      <c r="D29" s="18">
        <v>-1.120650735</v>
      </c>
      <c r="E29" s="18">
        <v>2.38125997</v>
      </c>
      <c r="F29" s="18">
        <v>1.180542671</v>
      </c>
      <c r="G29" s="26">
        <v>0.761290076</v>
      </c>
      <c r="H29" s="18"/>
      <c r="I29" s="18"/>
    </row>
    <row r="30">
      <c r="A30" s="10">
        <v>514888.0</v>
      </c>
      <c r="B30" s="11" t="s">
        <v>277</v>
      </c>
      <c r="C30" s="14">
        <v>-0.003043821</v>
      </c>
      <c r="D30" s="18">
        <v>0.823390918</v>
      </c>
      <c r="E30" s="18">
        <v>-0.828369965</v>
      </c>
      <c r="F30" s="18">
        <v>1.613402221</v>
      </c>
      <c r="G30" s="26">
        <v>0.737756255</v>
      </c>
      <c r="H30" s="18"/>
      <c r="I30" s="18"/>
    </row>
    <row r="31">
      <c r="A31" s="10">
        <v>668715.0</v>
      </c>
      <c r="B31" s="11" t="s">
        <v>317</v>
      </c>
      <c r="C31" s="14">
        <v>-0.035663649</v>
      </c>
      <c r="D31" s="18">
        <v>-0.807473694</v>
      </c>
      <c r="E31" s="18">
        <v>3.961346701</v>
      </c>
      <c r="F31" s="18">
        <v>0.488089739</v>
      </c>
      <c r="G31" s="26">
        <v>0.736217956</v>
      </c>
      <c r="H31" s="18"/>
      <c r="I31" s="18"/>
    </row>
    <row r="32">
      <c r="A32" s="10">
        <v>690993.0</v>
      </c>
      <c r="B32" s="11" t="s">
        <v>59</v>
      </c>
      <c r="C32" s="14">
        <v>0.017385344</v>
      </c>
      <c r="D32" s="18">
        <v>0.090960395</v>
      </c>
      <c r="E32" s="18">
        <v>0.81309729</v>
      </c>
      <c r="F32" s="18">
        <v>1.532399215</v>
      </c>
      <c r="G32" s="26">
        <v>0.696497852</v>
      </c>
      <c r="H32" s="18"/>
      <c r="I32" s="18"/>
    </row>
    <row r="33">
      <c r="A33" s="10">
        <v>669257.0</v>
      </c>
      <c r="B33" s="11" t="s">
        <v>34</v>
      </c>
      <c r="C33" s="14">
        <v>0.009188017</v>
      </c>
      <c r="D33" s="18">
        <v>-0.490039241</v>
      </c>
      <c r="E33" s="18">
        <v>-0.990353428</v>
      </c>
      <c r="F33" s="18">
        <v>3.613065044</v>
      </c>
      <c r="G33" s="26">
        <v>0.694839004</v>
      </c>
      <c r="H33" s="18"/>
      <c r="I33" s="18"/>
    </row>
    <row r="34">
      <c r="A34" s="10">
        <v>624424.0</v>
      </c>
      <c r="B34" s="11" t="s">
        <v>178</v>
      </c>
      <c r="C34" s="14">
        <v>0.04737288</v>
      </c>
      <c r="D34" s="18">
        <v>0.558946318</v>
      </c>
      <c r="E34" s="18">
        <v>3.276680933</v>
      </c>
      <c r="F34" s="18">
        <v>-0.950084347</v>
      </c>
      <c r="G34" s="26">
        <v>0.685983956</v>
      </c>
      <c r="H34" s="18"/>
      <c r="I34" s="18"/>
    </row>
    <row r="35">
      <c r="A35" s="10">
        <v>666969.0</v>
      </c>
      <c r="B35" s="11" t="s">
        <v>203</v>
      </c>
      <c r="C35" s="14">
        <v>-0.059597056</v>
      </c>
      <c r="D35" s="18">
        <v>1.045539739</v>
      </c>
      <c r="E35" s="18">
        <v>-1.738074627</v>
      </c>
      <c r="F35" s="18">
        <v>2.207583337</v>
      </c>
      <c r="G35" s="26">
        <v>0.661188125</v>
      </c>
      <c r="H35" s="18"/>
      <c r="I35" s="18"/>
    </row>
    <row r="36">
      <c r="A36" s="10">
        <v>657656.0</v>
      </c>
      <c r="B36" s="11" t="s">
        <v>81</v>
      </c>
      <c r="C36" s="14">
        <v>-0.018467347</v>
      </c>
      <c r="D36" s="18">
        <v>-0.374168983</v>
      </c>
      <c r="E36" s="18">
        <v>1.568366666</v>
      </c>
      <c r="F36" s="18">
        <v>0.856726148</v>
      </c>
      <c r="G36" s="26">
        <v>0.631840972</v>
      </c>
      <c r="H36" s="18"/>
      <c r="I36" s="18"/>
    </row>
    <row r="37">
      <c r="A37" s="10">
        <v>602104.0</v>
      </c>
      <c r="B37" s="11" t="s">
        <v>222</v>
      </c>
      <c r="C37" s="14">
        <v>0.013958036</v>
      </c>
      <c r="D37" s="18">
        <v>-0.053104641</v>
      </c>
      <c r="E37" s="18">
        <v>1.503547632</v>
      </c>
      <c r="F37" s="18">
        <v>0.63734166</v>
      </c>
      <c r="G37" s="26">
        <v>0.578941662</v>
      </c>
      <c r="H37" s="18"/>
      <c r="I37" s="18"/>
    </row>
    <row r="38">
      <c r="A38" s="10">
        <v>606192.0</v>
      </c>
      <c r="B38" s="11" t="s">
        <v>111</v>
      </c>
      <c r="C38" s="14">
        <v>-0.013470773</v>
      </c>
      <c r="D38" s="18">
        <v>0.852061018</v>
      </c>
      <c r="E38" s="18">
        <v>-0.020421908</v>
      </c>
      <c r="F38" s="18">
        <v>0.865780655</v>
      </c>
      <c r="G38" s="26">
        <v>0.575373326</v>
      </c>
      <c r="H38" s="18"/>
      <c r="I38" s="18"/>
    </row>
    <row r="39">
      <c r="A39" s="10">
        <v>678882.0</v>
      </c>
      <c r="B39" s="11" t="s">
        <v>129</v>
      </c>
      <c r="C39" s="14">
        <v>-0.015406179</v>
      </c>
      <c r="D39" s="18">
        <v>-0.097444143</v>
      </c>
      <c r="E39" s="18">
        <v>1.55141397</v>
      </c>
      <c r="F39" s="18">
        <v>0.091611784</v>
      </c>
      <c r="G39" s="26">
        <v>0.546446857</v>
      </c>
      <c r="H39" s="18"/>
      <c r="I39" s="18"/>
    </row>
    <row r="40">
      <c r="A40" s="10">
        <v>623993.0</v>
      </c>
      <c r="B40" s="11" t="s">
        <v>309</v>
      </c>
      <c r="C40" s="14">
        <v>0.003199517</v>
      </c>
      <c r="D40" s="18">
        <v>1.154156968</v>
      </c>
      <c r="E40" s="18">
        <v>0.583941375</v>
      </c>
      <c r="F40" s="18">
        <v>-0.276974553</v>
      </c>
      <c r="G40" s="26">
        <v>0.511205627</v>
      </c>
      <c r="H40" s="18"/>
      <c r="I40" s="18"/>
    </row>
    <row r="41">
      <c r="A41" s="10">
        <v>672640.0</v>
      </c>
      <c r="B41" s="11" t="s">
        <v>73</v>
      </c>
      <c r="C41" s="14">
        <v>-0.029282217</v>
      </c>
      <c r="D41" s="18">
        <v>1.655252326</v>
      </c>
      <c r="E41" s="18">
        <v>-0.480679502</v>
      </c>
      <c r="F41" s="18">
        <v>0.289648201</v>
      </c>
      <c r="G41" s="26">
        <v>0.509595764</v>
      </c>
      <c r="H41" s="18"/>
      <c r="I41" s="18"/>
    </row>
    <row r="42">
      <c r="A42" s="10">
        <v>665487.0</v>
      </c>
      <c r="B42" s="11" t="s">
        <v>46</v>
      </c>
      <c r="C42" s="14">
        <v>-0.044585378</v>
      </c>
      <c r="D42" s="18">
        <v>-0.721701865</v>
      </c>
      <c r="E42" s="18">
        <v>-0.373939338</v>
      </c>
      <c r="F42" s="18">
        <v>2.380826074</v>
      </c>
      <c r="G42" s="26">
        <v>0.505073976</v>
      </c>
      <c r="H42" s="18"/>
      <c r="I42" s="18"/>
    </row>
    <row r="43">
      <c r="A43" s="10">
        <v>578428.0</v>
      </c>
      <c r="B43" s="11" t="s">
        <v>335</v>
      </c>
      <c r="C43" s="14">
        <v>-0.080270972</v>
      </c>
      <c r="D43" s="18">
        <v>1.732722684</v>
      </c>
      <c r="E43" s="18">
        <v>-0.26454972</v>
      </c>
      <c r="F43" s="18">
        <v>-0.276412665</v>
      </c>
      <c r="G43" s="26">
        <v>0.505030264</v>
      </c>
      <c r="H43" s="18"/>
      <c r="I43" s="18"/>
    </row>
    <row r="44">
      <c r="A44" s="10">
        <v>665161.0</v>
      </c>
      <c r="B44" s="11" t="s">
        <v>157</v>
      </c>
      <c r="C44" s="14">
        <v>0.038245174</v>
      </c>
      <c r="D44" s="18">
        <v>-1.855041331</v>
      </c>
      <c r="E44" s="18">
        <v>-0.870079905</v>
      </c>
      <c r="F44" s="18">
        <v>2.571083317</v>
      </c>
      <c r="G44" s="26">
        <v>0.503445653</v>
      </c>
      <c r="H44" s="18"/>
      <c r="I44" s="18"/>
    </row>
    <row r="45">
      <c r="A45" s="10">
        <v>681082.0</v>
      </c>
      <c r="B45" s="11" t="s">
        <v>233</v>
      </c>
      <c r="C45" s="14">
        <v>0.016150391</v>
      </c>
      <c r="D45" s="18">
        <v>1.067062962</v>
      </c>
      <c r="E45" s="18">
        <v>0.655323235</v>
      </c>
      <c r="F45" s="18">
        <v>0.142265566</v>
      </c>
      <c r="G45" s="26">
        <v>0.495343729</v>
      </c>
      <c r="H45" s="18"/>
      <c r="I45" s="18"/>
    </row>
    <row r="46">
      <c r="A46" s="10">
        <v>669221.0</v>
      </c>
      <c r="B46" s="11" t="s">
        <v>92</v>
      </c>
      <c r="C46" s="14">
        <v>0.103678956</v>
      </c>
      <c r="D46" s="18">
        <v>-1.68032961</v>
      </c>
      <c r="E46" s="18">
        <v>-0.757702101</v>
      </c>
      <c r="F46" s="18">
        <v>3.88068498</v>
      </c>
      <c r="G46" s="26">
        <v>0.489232045</v>
      </c>
      <c r="H46" s="18"/>
      <c r="I46" s="18"/>
    </row>
    <row r="47">
      <c r="A47" s="10">
        <v>672275.0</v>
      </c>
      <c r="B47" s="11" t="s">
        <v>348</v>
      </c>
      <c r="C47" s="14">
        <v>-0.043308357</v>
      </c>
      <c r="D47" s="18">
        <v>1.661319718</v>
      </c>
      <c r="E47" s="18">
        <v>0.104208188</v>
      </c>
      <c r="F47" s="18">
        <v>-0.147439255</v>
      </c>
      <c r="G47" s="26">
        <v>0.482786157</v>
      </c>
      <c r="H47" s="18"/>
      <c r="I47" s="18"/>
    </row>
    <row r="48">
      <c r="A48" s="10">
        <v>593428.0</v>
      </c>
      <c r="B48" s="11" t="s">
        <v>134</v>
      </c>
      <c r="C48" s="14">
        <v>0.021916526</v>
      </c>
      <c r="D48" s="18">
        <v>0.240488497</v>
      </c>
      <c r="E48" s="18">
        <v>1.608665216</v>
      </c>
      <c r="F48" s="18">
        <v>0.222566174</v>
      </c>
      <c r="G48" s="26">
        <v>0.469016452</v>
      </c>
      <c r="H48" s="18"/>
      <c r="I48" s="18"/>
    </row>
    <row r="49">
      <c r="A49" s="10">
        <v>691718.0</v>
      </c>
      <c r="B49" s="11" t="s">
        <v>153</v>
      </c>
      <c r="C49" s="14">
        <v>0.020617492</v>
      </c>
      <c r="D49" s="18">
        <v>0.481259774</v>
      </c>
      <c r="E49" s="18">
        <v>1.639267269</v>
      </c>
      <c r="F49" s="18">
        <v>-1.003410552</v>
      </c>
      <c r="G49" s="26">
        <v>0.460783704</v>
      </c>
      <c r="H49" s="18"/>
      <c r="I49" s="18"/>
    </row>
    <row r="50">
      <c r="A50" s="10">
        <v>656941.0</v>
      </c>
      <c r="B50" s="11" t="s">
        <v>39</v>
      </c>
      <c r="C50" s="14">
        <v>0.037914889</v>
      </c>
      <c r="D50" s="18">
        <v>-0.345621003</v>
      </c>
      <c r="E50" s="18">
        <v>1.431401453</v>
      </c>
      <c r="F50" s="18">
        <v>0.575301727</v>
      </c>
      <c r="G50" s="26">
        <v>0.441033529</v>
      </c>
      <c r="H50" s="18"/>
      <c r="I50" s="18"/>
    </row>
    <row r="51">
      <c r="A51" s="10">
        <v>543760.0</v>
      </c>
      <c r="B51" s="11" t="s">
        <v>152</v>
      </c>
      <c r="C51" s="14">
        <v>-0.001447141</v>
      </c>
      <c r="D51" s="18">
        <v>-0.841820899</v>
      </c>
      <c r="E51" s="18">
        <v>1.633123924</v>
      </c>
      <c r="F51" s="18">
        <v>0.666493699</v>
      </c>
      <c r="G51" s="26">
        <v>0.406475538</v>
      </c>
      <c r="H51" s="18"/>
      <c r="I51" s="18"/>
    </row>
    <row r="52">
      <c r="A52" s="10">
        <v>605137.0</v>
      </c>
      <c r="B52" s="11" t="s">
        <v>165</v>
      </c>
      <c r="C52" s="14">
        <v>0.003268478</v>
      </c>
      <c r="D52" s="18">
        <v>-1.340851393</v>
      </c>
      <c r="E52" s="18">
        <v>4.270430236</v>
      </c>
      <c r="F52" s="18">
        <v>-0.270919815</v>
      </c>
      <c r="G52" s="26">
        <v>0.401500597</v>
      </c>
      <c r="H52" s="18"/>
      <c r="I52" s="18"/>
    </row>
    <row r="53">
      <c r="A53" s="10">
        <v>691176.0</v>
      </c>
      <c r="B53" s="11" t="s">
        <v>250</v>
      </c>
      <c r="C53" s="14">
        <v>0.009856656</v>
      </c>
      <c r="D53" s="18">
        <v>-0.47759053</v>
      </c>
      <c r="E53" s="18">
        <v>3.426686223</v>
      </c>
      <c r="F53" s="18">
        <v>-1.053195043</v>
      </c>
      <c r="G53" s="26">
        <v>0.400067323</v>
      </c>
      <c r="H53" s="18"/>
      <c r="I53" s="18"/>
    </row>
    <row r="54">
      <c r="A54" s="10">
        <v>547180.0</v>
      </c>
      <c r="B54" s="11" t="s">
        <v>60</v>
      </c>
      <c r="C54" s="14">
        <v>0.00329397</v>
      </c>
      <c r="D54" s="18">
        <v>-0.419143087</v>
      </c>
      <c r="E54" s="18">
        <v>0.5641669</v>
      </c>
      <c r="F54" s="18">
        <v>0.897641682</v>
      </c>
      <c r="G54" s="26">
        <v>0.397319023</v>
      </c>
      <c r="H54" s="18"/>
      <c r="I54" s="18"/>
    </row>
    <row r="55">
      <c r="A55" s="10">
        <v>630105.0</v>
      </c>
      <c r="B55" s="11" t="s">
        <v>253</v>
      </c>
      <c r="C55" s="14">
        <v>0.022945451</v>
      </c>
      <c r="D55" s="18">
        <v>-1.126942737</v>
      </c>
      <c r="E55" s="18">
        <v>0.623547296</v>
      </c>
      <c r="F55" s="18">
        <v>1.935064301</v>
      </c>
      <c r="G55" s="26">
        <v>0.395397327</v>
      </c>
      <c r="H55" s="18"/>
      <c r="I55" s="18"/>
    </row>
    <row r="56">
      <c r="A56" s="10">
        <v>672820.0</v>
      </c>
      <c r="B56" s="11" t="s">
        <v>182</v>
      </c>
      <c r="C56" s="14">
        <v>-0.088699222</v>
      </c>
      <c r="D56" s="18">
        <v>0.782758432</v>
      </c>
      <c r="E56" s="18">
        <v>-1.044507386</v>
      </c>
      <c r="F56" s="18">
        <v>1.566034754</v>
      </c>
      <c r="G56" s="26">
        <v>0.386803084</v>
      </c>
      <c r="H56" s="18"/>
      <c r="I56" s="18"/>
    </row>
    <row r="57">
      <c r="A57" s="10">
        <v>666134.0</v>
      </c>
      <c r="B57" s="11" t="s">
        <v>135</v>
      </c>
      <c r="C57" s="14">
        <v>3.68123E-4</v>
      </c>
      <c r="D57" s="18">
        <v>-0.410641725</v>
      </c>
      <c r="E57" s="18">
        <v>1.216811239</v>
      </c>
      <c r="F57" s="18">
        <v>0.924483114</v>
      </c>
      <c r="G57" s="26">
        <v>0.370257475</v>
      </c>
      <c r="H57" s="18"/>
      <c r="I57" s="18"/>
    </row>
    <row r="58">
      <c r="A58" s="10">
        <v>669364.0</v>
      </c>
      <c r="B58" s="11" t="s">
        <v>332</v>
      </c>
      <c r="C58" s="14">
        <v>0.031268537</v>
      </c>
      <c r="D58" s="18">
        <v>-0.213624821</v>
      </c>
      <c r="E58" s="18">
        <v>0.792912005</v>
      </c>
      <c r="F58" s="18">
        <v>0.582785498</v>
      </c>
      <c r="G58" s="26">
        <v>0.360077594</v>
      </c>
      <c r="H58" s="18"/>
      <c r="I58" s="18"/>
    </row>
    <row r="59">
      <c r="A59" s="10">
        <v>641680.0</v>
      </c>
      <c r="B59" s="11" t="s">
        <v>333</v>
      </c>
      <c r="C59" s="14">
        <v>-0.01798931</v>
      </c>
      <c r="D59" s="18">
        <v>-0.129452492</v>
      </c>
      <c r="E59" s="18">
        <v>2.207222964</v>
      </c>
      <c r="F59" s="18">
        <v>-0.362788355</v>
      </c>
      <c r="G59" s="26">
        <v>0.319587248</v>
      </c>
      <c r="H59" s="18"/>
      <c r="I59" s="18"/>
    </row>
    <row r="60">
      <c r="A60" s="10">
        <v>696100.0</v>
      </c>
      <c r="B60" s="11" t="s">
        <v>247</v>
      </c>
      <c r="C60" s="14">
        <v>0.006914609</v>
      </c>
      <c r="D60" s="18">
        <v>-0.349349254</v>
      </c>
      <c r="E60" s="18">
        <v>-0.541841298</v>
      </c>
      <c r="F60" s="18">
        <v>1.571441371</v>
      </c>
      <c r="G60" s="26">
        <v>0.295808185</v>
      </c>
      <c r="H60" s="18"/>
      <c r="I60" s="18"/>
    </row>
    <row r="61">
      <c r="A61" s="10">
        <v>680776.0</v>
      </c>
      <c r="B61" s="11" t="s">
        <v>218</v>
      </c>
      <c r="C61" s="14">
        <v>-0.015985071</v>
      </c>
      <c r="D61" s="18">
        <v>0.03515697</v>
      </c>
      <c r="E61" s="18">
        <v>1.503497634</v>
      </c>
      <c r="F61" s="18">
        <v>-0.232414369</v>
      </c>
      <c r="G61" s="26">
        <v>0.286087894</v>
      </c>
      <c r="H61" s="18"/>
      <c r="I61" s="18"/>
    </row>
    <row r="62">
      <c r="A62" s="10">
        <v>681393.0</v>
      </c>
      <c r="B62" s="11" t="s">
        <v>159</v>
      </c>
      <c r="C62" s="14">
        <v>-0.007102775</v>
      </c>
      <c r="D62" s="18">
        <v>1.129243354</v>
      </c>
      <c r="E62" s="18">
        <v>0.494797547</v>
      </c>
      <c r="F62" s="18">
        <v>-0.549108285</v>
      </c>
      <c r="G62" s="26">
        <v>0.275963798</v>
      </c>
      <c r="H62" s="18"/>
      <c r="I62" s="18"/>
    </row>
    <row r="63">
      <c r="A63" s="10">
        <v>608324.0</v>
      </c>
      <c r="B63" s="11" t="s">
        <v>74</v>
      </c>
      <c r="C63" s="14">
        <v>0.037328837</v>
      </c>
      <c r="D63" s="18">
        <v>-0.555793557</v>
      </c>
      <c r="E63" s="18">
        <v>-0.811725785</v>
      </c>
      <c r="F63" s="18">
        <v>1.625516498</v>
      </c>
      <c r="G63" s="26">
        <v>0.265041645</v>
      </c>
      <c r="H63" s="18"/>
      <c r="I63" s="18"/>
    </row>
    <row r="64">
      <c r="A64" s="10">
        <v>682663.0</v>
      </c>
      <c r="B64" s="11" t="s">
        <v>61</v>
      </c>
      <c r="C64" s="14">
        <v>0.014528197</v>
      </c>
      <c r="D64" s="18">
        <v>-0.449616807</v>
      </c>
      <c r="E64" s="18">
        <v>-1.815229108</v>
      </c>
      <c r="F64" s="18">
        <v>2.113895891</v>
      </c>
      <c r="G64" s="26">
        <v>0.244974187</v>
      </c>
      <c r="H64" s="18"/>
      <c r="I64" s="18"/>
    </row>
    <row r="65">
      <c r="A65" s="10">
        <v>666160.0</v>
      </c>
      <c r="B65" s="11" t="s">
        <v>208</v>
      </c>
      <c r="C65" s="14">
        <v>0.03610558</v>
      </c>
      <c r="D65" s="18">
        <v>-0.283577863</v>
      </c>
      <c r="E65" s="18">
        <v>-2.687227336</v>
      </c>
      <c r="F65" s="18">
        <v>2.777263834</v>
      </c>
      <c r="G65" s="26">
        <v>0.239700844</v>
      </c>
      <c r="H65" s="18"/>
      <c r="I65" s="18"/>
    </row>
    <row r="66">
      <c r="A66" s="10">
        <v>686217.0</v>
      </c>
      <c r="B66" s="11" t="s">
        <v>318</v>
      </c>
      <c r="C66" s="14">
        <v>0.010781004</v>
      </c>
      <c r="D66" s="18">
        <v>-0.034076241</v>
      </c>
      <c r="E66" s="18">
        <v>0.464832138</v>
      </c>
      <c r="F66" s="18">
        <v>0.388233811</v>
      </c>
      <c r="G66" s="26">
        <v>0.21481777</v>
      </c>
      <c r="H66" s="18"/>
      <c r="I66" s="18"/>
    </row>
    <row r="67">
      <c r="A67" s="10">
        <v>660821.0</v>
      </c>
      <c r="B67" s="11" t="s">
        <v>128</v>
      </c>
      <c r="C67" s="14">
        <v>0.026395751</v>
      </c>
      <c r="D67" s="18">
        <v>-2.18525457</v>
      </c>
      <c r="E67" s="18">
        <v>2.082143622</v>
      </c>
      <c r="F67" s="18">
        <v>0.423096479</v>
      </c>
      <c r="G67" s="26">
        <v>0.208043717</v>
      </c>
      <c r="H67" s="18"/>
      <c r="I67" s="18"/>
    </row>
    <row r="68">
      <c r="A68" s="10">
        <v>666149.0</v>
      </c>
      <c r="B68" s="11" t="s">
        <v>378</v>
      </c>
      <c r="C68" s="14">
        <v>0.016741127</v>
      </c>
      <c r="D68" s="18">
        <v>0.858290097</v>
      </c>
      <c r="E68" s="18">
        <v>-1.852188382</v>
      </c>
      <c r="F68" s="18">
        <v>0.638321213</v>
      </c>
      <c r="G68" s="26">
        <v>0.204637948</v>
      </c>
      <c r="H68" s="18"/>
      <c r="I68" s="18"/>
    </row>
    <row r="69">
      <c r="A69" s="10">
        <v>687401.0</v>
      </c>
      <c r="B69" s="11" t="s">
        <v>344</v>
      </c>
      <c r="C69" s="14">
        <v>0.027939894</v>
      </c>
      <c r="D69" s="18">
        <v>-0.298379062</v>
      </c>
      <c r="E69" s="18">
        <v>1.88769747</v>
      </c>
      <c r="F69" s="18">
        <v>-0.330849932</v>
      </c>
      <c r="G69" s="26">
        <v>0.200494433</v>
      </c>
      <c r="H69" s="18"/>
      <c r="I69" s="18"/>
    </row>
    <row r="70">
      <c r="A70" s="10">
        <v>664774.0</v>
      </c>
      <c r="B70" s="11" t="s">
        <v>295</v>
      </c>
      <c r="C70" s="14">
        <v>0.014352074</v>
      </c>
      <c r="D70" s="18">
        <v>-0.274203942</v>
      </c>
      <c r="E70" s="18">
        <v>0.073008445</v>
      </c>
      <c r="F70" s="18">
        <v>0.537054809</v>
      </c>
      <c r="G70" s="26">
        <v>0.185145301</v>
      </c>
      <c r="H70" s="18"/>
      <c r="I70" s="18"/>
    </row>
    <row r="71">
      <c r="A71" s="10">
        <v>663757.0</v>
      </c>
      <c r="B71" s="11" t="s">
        <v>54</v>
      </c>
      <c r="C71" s="14">
        <v>0.034975539</v>
      </c>
      <c r="D71" s="18">
        <v>-0.587259291</v>
      </c>
      <c r="E71" s="18">
        <v>-0.279799513</v>
      </c>
      <c r="F71" s="18">
        <v>1.190048042</v>
      </c>
      <c r="G71" s="26">
        <v>0.178533853</v>
      </c>
      <c r="H71" s="18"/>
      <c r="I71" s="18"/>
    </row>
    <row r="72">
      <c r="A72" s="10">
        <v>682985.0</v>
      </c>
      <c r="B72" s="11" t="s">
        <v>66</v>
      </c>
      <c r="C72" s="14">
        <v>0.001309321</v>
      </c>
      <c r="D72" s="18">
        <v>-0.153514417</v>
      </c>
      <c r="E72" s="18">
        <v>0.718314166</v>
      </c>
      <c r="F72" s="18">
        <v>0.161893884</v>
      </c>
      <c r="G72" s="26">
        <v>0.176802701</v>
      </c>
      <c r="H72" s="18"/>
      <c r="I72" s="18"/>
    </row>
    <row r="73">
      <c r="A73" s="10">
        <v>663538.0</v>
      </c>
      <c r="B73" s="11" t="s">
        <v>290</v>
      </c>
      <c r="C73" s="14">
        <v>0.007833786</v>
      </c>
      <c r="D73" s="18">
        <v>0.305887462</v>
      </c>
      <c r="E73" s="18">
        <v>0.500294809</v>
      </c>
      <c r="F73" s="18">
        <v>0.041101217</v>
      </c>
      <c r="G73" s="26">
        <v>0.173960465</v>
      </c>
      <c r="H73" s="18"/>
      <c r="I73" s="18"/>
    </row>
    <row r="74">
      <c r="A74" s="10">
        <v>686555.0</v>
      </c>
      <c r="B74" s="11" t="s">
        <v>278</v>
      </c>
      <c r="C74" s="14">
        <v>0.028202368</v>
      </c>
      <c r="D74" s="18">
        <v>-1.862233491</v>
      </c>
      <c r="E74" s="18">
        <v>0.41322228</v>
      </c>
      <c r="F74" s="18">
        <v>1.973146852</v>
      </c>
      <c r="G74" s="26">
        <v>0.171977523</v>
      </c>
      <c r="H74" s="18"/>
      <c r="I74" s="18"/>
    </row>
    <row r="75">
      <c r="A75" s="10">
        <v>664056.0</v>
      </c>
      <c r="B75" s="11" t="s">
        <v>266</v>
      </c>
      <c r="C75" s="14">
        <v>0.01951373</v>
      </c>
      <c r="D75" s="18">
        <v>-0.203717835</v>
      </c>
      <c r="E75" s="18">
        <v>-2.411787116</v>
      </c>
      <c r="F75" s="18">
        <v>2.29889031</v>
      </c>
      <c r="G75" s="26">
        <v>0.165451118</v>
      </c>
      <c r="H75" s="18"/>
      <c r="I75" s="18"/>
    </row>
    <row r="76">
      <c r="A76" s="10">
        <v>650859.0</v>
      </c>
      <c r="B76" s="11" t="s">
        <v>236</v>
      </c>
      <c r="C76" s="14">
        <v>0.021223519</v>
      </c>
      <c r="D76" s="18">
        <v>-0.876699812</v>
      </c>
      <c r="E76" s="18">
        <v>-2.257310175</v>
      </c>
      <c r="F76" s="18">
        <v>2.302271444</v>
      </c>
      <c r="G76" s="26">
        <v>0.158832887</v>
      </c>
      <c r="H76" s="18"/>
      <c r="I76" s="18"/>
    </row>
    <row r="77">
      <c r="A77" s="10">
        <v>592450.0</v>
      </c>
      <c r="B77" s="11" t="s">
        <v>18</v>
      </c>
      <c r="C77" s="14">
        <v>-0.00819636</v>
      </c>
      <c r="D77" s="18">
        <v>0.403380542</v>
      </c>
      <c r="E77" s="18">
        <v>-0.314679663</v>
      </c>
      <c r="F77" s="18">
        <v>2.059153443</v>
      </c>
      <c r="G77" s="26">
        <v>0.156886727</v>
      </c>
      <c r="H77" s="18"/>
      <c r="I77" s="18"/>
    </row>
    <row r="78">
      <c r="A78" s="10">
        <v>669289.0</v>
      </c>
      <c r="B78" s="11" t="s">
        <v>339</v>
      </c>
      <c r="C78" s="14">
        <v>-0.022115388</v>
      </c>
      <c r="D78" s="18">
        <v>0.557492934</v>
      </c>
      <c r="E78" s="18">
        <v>-1.86437473</v>
      </c>
      <c r="F78" s="18">
        <v>0.626114246</v>
      </c>
      <c r="G78" s="26">
        <v>0.143639094</v>
      </c>
      <c r="H78" s="18"/>
      <c r="I78" s="18"/>
    </row>
    <row r="79">
      <c r="A79" s="10">
        <v>605170.0</v>
      </c>
      <c r="B79" s="11" t="s">
        <v>175</v>
      </c>
      <c r="C79" s="14">
        <v>0.031348436</v>
      </c>
      <c r="D79" s="18">
        <v>-0.34372297</v>
      </c>
      <c r="E79" s="18">
        <v>-0.320155705</v>
      </c>
      <c r="F79" s="18">
        <v>0.713243755</v>
      </c>
      <c r="G79" s="26">
        <v>0.139348832</v>
      </c>
      <c r="H79" s="18"/>
      <c r="I79" s="18"/>
    </row>
    <row r="80">
      <c r="A80" s="10">
        <v>663993.0</v>
      </c>
      <c r="B80" s="11" t="s">
        <v>232</v>
      </c>
      <c r="C80" s="14">
        <v>-0.050232421</v>
      </c>
      <c r="D80" s="18">
        <v>1.04838047</v>
      </c>
      <c r="E80" s="18">
        <v>-1.179964095</v>
      </c>
      <c r="F80" s="18">
        <v>0.28615333</v>
      </c>
      <c r="G80" s="26">
        <v>0.135777315</v>
      </c>
      <c r="H80" s="18"/>
      <c r="I80" s="18"/>
    </row>
    <row r="81">
      <c r="A81" s="10">
        <v>663697.0</v>
      </c>
      <c r="B81" s="11" t="s">
        <v>146</v>
      </c>
      <c r="C81" s="14">
        <v>-0.028336238</v>
      </c>
      <c r="D81" s="18">
        <v>-0.825365659</v>
      </c>
      <c r="E81" s="18">
        <v>-1.109340008</v>
      </c>
      <c r="F81" s="18">
        <v>1.707985656</v>
      </c>
      <c r="G81" s="26">
        <v>0.132427492</v>
      </c>
      <c r="H81" s="18"/>
      <c r="I81" s="18"/>
    </row>
    <row r="82">
      <c r="A82" s="10">
        <v>621020.0</v>
      </c>
      <c r="B82" s="11" t="s">
        <v>98</v>
      </c>
      <c r="C82" s="14">
        <v>0.063660834</v>
      </c>
      <c r="D82" s="18">
        <v>-0.374796425</v>
      </c>
      <c r="E82" s="18">
        <v>1.170676318</v>
      </c>
      <c r="F82" s="18">
        <v>-0.465883394</v>
      </c>
      <c r="G82" s="26">
        <v>0.13228943</v>
      </c>
      <c r="H82" s="18"/>
      <c r="I82" s="18"/>
    </row>
    <row r="83">
      <c r="A83" s="10">
        <v>683146.0</v>
      </c>
      <c r="B83" s="11" t="s">
        <v>137</v>
      </c>
      <c r="C83" s="14">
        <v>-0.032465119</v>
      </c>
      <c r="D83" s="18">
        <v>2.891837459</v>
      </c>
      <c r="E83" s="18">
        <v>0.837539935</v>
      </c>
      <c r="F83" s="18">
        <v>-2.786176889</v>
      </c>
      <c r="G83" s="26">
        <v>0.125615395</v>
      </c>
      <c r="H83" s="18"/>
      <c r="I83" s="18"/>
    </row>
    <row r="84">
      <c r="A84" s="10">
        <v>571448.0</v>
      </c>
      <c r="B84" s="11" t="s">
        <v>310</v>
      </c>
      <c r="C84" s="14">
        <v>5.46801E-4</v>
      </c>
      <c r="D84" s="18">
        <v>0.693224079</v>
      </c>
      <c r="E84" s="18">
        <v>0.70814335</v>
      </c>
      <c r="F84" s="18">
        <v>-0.331861991</v>
      </c>
      <c r="G84" s="26">
        <v>0.113510735</v>
      </c>
      <c r="H84" s="18"/>
      <c r="I84" s="18"/>
    </row>
    <row r="85">
      <c r="A85" s="10">
        <v>693307.0</v>
      </c>
      <c r="B85" s="11" t="s">
        <v>108</v>
      </c>
      <c r="C85" s="14">
        <v>-0.012645757</v>
      </c>
      <c r="D85" s="18">
        <v>0.953775015</v>
      </c>
      <c r="E85" s="18">
        <v>1.065846636</v>
      </c>
      <c r="F85" s="18">
        <v>-1.385695133</v>
      </c>
      <c r="G85" s="26">
        <v>0.10605281</v>
      </c>
      <c r="H85" s="18"/>
      <c r="I85" s="18"/>
    </row>
    <row r="86">
      <c r="A86" s="10">
        <v>680977.0</v>
      </c>
      <c r="B86" s="11" t="s">
        <v>58</v>
      </c>
      <c r="C86" s="14">
        <v>-0.025952649</v>
      </c>
      <c r="D86" s="18">
        <v>0.588687641</v>
      </c>
      <c r="E86" s="18">
        <v>0.948552895</v>
      </c>
      <c r="F86" s="18">
        <v>-0.566825519</v>
      </c>
      <c r="G86" s="26">
        <v>0.096843422</v>
      </c>
      <c r="H86" s="18"/>
      <c r="I86" s="18"/>
    </row>
    <row r="87">
      <c r="A87" s="10">
        <v>676391.0</v>
      </c>
      <c r="B87" s="11" t="s">
        <v>330</v>
      </c>
      <c r="C87" s="14">
        <v>-0.008527969</v>
      </c>
      <c r="D87" s="18">
        <v>-0.082806097</v>
      </c>
      <c r="E87" s="18">
        <v>1.00742267</v>
      </c>
      <c r="F87" s="18">
        <v>-0.29404231</v>
      </c>
      <c r="G87" s="26">
        <v>0.096388236</v>
      </c>
      <c r="H87" s="18"/>
      <c r="I87" s="18"/>
    </row>
    <row r="88">
      <c r="A88" s="10">
        <v>650333.0</v>
      </c>
      <c r="B88" s="11" t="s">
        <v>293</v>
      </c>
      <c r="C88" s="14">
        <v>0.007891114</v>
      </c>
      <c r="D88" s="18">
        <v>-0.044760639</v>
      </c>
      <c r="E88" s="18">
        <v>0.176031964</v>
      </c>
      <c r="F88" s="18">
        <v>0.358044921</v>
      </c>
      <c r="G88" s="26">
        <v>0.079943101</v>
      </c>
      <c r="H88" s="18"/>
      <c r="I88" s="18"/>
    </row>
    <row r="89">
      <c r="A89" s="10">
        <v>592206.0</v>
      </c>
      <c r="B89" s="11" t="s">
        <v>166</v>
      </c>
      <c r="C89" s="14">
        <v>0.053921055</v>
      </c>
      <c r="D89" s="18">
        <v>-2.423199469</v>
      </c>
      <c r="E89" s="18">
        <v>-0.734921877</v>
      </c>
      <c r="F89" s="18">
        <v>2.463821702</v>
      </c>
      <c r="G89" s="26">
        <v>0.072262839</v>
      </c>
      <c r="H89" s="18"/>
      <c r="I89" s="18"/>
    </row>
    <row r="90">
      <c r="A90" s="10">
        <v>665926.0</v>
      </c>
      <c r="B90" s="11" t="s">
        <v>243</v>
      </c>
      <c r="C90" s="14">
        <v>0.05129198</v>
      </c>
      <c r="D90" s="18">
        <v>-0.515898509</v>
      </c>
      <c r="E90" s="18">
        <v>1.28583948</v>
      </c>
      <c r="F90" s="18">
        <v>-0.204738866</v>
      </c>
      <c r="G90" s="26">
        <v>0.043124475</v>
      </c>
      <c r="H90" s="18"/>
      <c r="I90" s="18"/>
    </row>
    <row r="91">
      <c r="A91" s="10">
        <v>683734.0</v>
      </c>
      <c r="B91" s="11" t="s">
        <v>107</v>
      </c>
      <c r="C91" s="14">
        <v>-0.011251863</v>
      </c>
      <c r="D91" s="18">
        <v>0.423435249</v>
      </c>
      <c r="E91" s="18">
        <v>-1.559454923</v>
      </c>
      <c r="F91" s="18">
        <v>0.726995499</v>
      </c>
      <c r="G91" s="26">
        <v>0.04062374</v>
      </c>
      <c r="H91" s="18"/>
      <c r="I91" s="18"/>
    </row>
    <row r="92">
      <c r="A92" s="10">
        <v>543807.0</v>
      </c>
      <c r="B92" s="11" t="s">
        <v>24</v>
      </c>
      <c r="C92" s="14">
        <v>0.063385457</v>
      </c>
      <c r="D92" s="18">
        <v>-1.198463364</v>
      </c>
      <c r="E92" s="18">
        <v>2.265055469</v>
      </c>
      <c r="F92" s="18">
        <v>-1.121049104</v>
      </c>
      <c r="G92" s="26">
        <v>0.034958253</v>
      </c>
      <c r="H92" s="18"/>
      <c r="I92" s="18"/>
    </row>
    <row r="93">
      <c r="A93" s="10">
        <v>682928.0</v>
      </c>
      <c r="B93" s="11" t="s">
        <v>210</v>
      </c>
      <c r="C93" s="14">
        <v>-0.033695851</v>
      </c>
      <c r="D93" s="18">
        <v>1.448506632</v>
      </c>
      <c r="E93" s="18">
        <v>1.529936746</v>
      </c>
      <c r="F93" s="18">
        <v>-1.679412999</v>
      </c>
      <c r="G93" s="26">
        <v>0.01902066</v>
      </c>
      <c r="H93" s="18"/>
      <c r="I93" s="18"/>
    </row>
    <row r="94">
      <c r="A94" s="10">
        <v>686469.0</v>
      </c>
      <c r="B94" s="11" t="s">
        <v>123</v>
      </c>
      <c r="C94" s="14">
        <v>0.008864774</v>
      </c>
      <c r="D94" s="18">
        <v>-0.322109306</v>
      </c>
      <c r="E94" s="18">
        <v>0.487663307</v>
      </c>
      <c r="F94" s="18">
        <v>-0.091469764</v>
      </c>
      <c r="G94" s="26">
        <v>0.01545971</v>
      </c>
      <c r="H94" s="18"/>
      <c r="I94" s="18"/>
    </row>
    <row r="95">
      <c r="A95" s="10">
        <v>694192.0</v>
      </c>
      <c r="B95" s="11" t="s">
        <v>245</v>
      </c>
      <c r="C95" s="14">
        <v>-0.055410759</v>
      </c>
      <c r="D95" s="18">
        <v>0.911797329</v>
      </c>
      <c r="E95" s="18">
        <v>0.064490634</v>
      </c>
      <c r="F95" s="18">
        <v>-0.576324565</v>
      </c>
      <c r="G95" s="26">
        <v>0.00534856</v>
      </c>
      <c r="H95" s="18"/>
      <c r="I95" s="18"/>
    </row>
    <row r="96">
      <c r="A96" s="10">
        <v>669224.0</v>
      </c>
      <c r="B96" s="11" t="s">
        <v>212</v>
      </c>
      <c r="C96" s="14">
        <v>-0.008171704</v>
      </c>
      <c r="D96" s="18">
        <v>0.544949089</v>
      </c>
      <c r="E96" s="18">
        <v>-0.438440689</v>
      </c>
      <c r="F96" s="18">
        <v>-0.268417935</v>
      </c>
      <c r="G96" s="26">
        <v>-0.024214015</v>
      </c>
      <c r="H96" s="18"/>
      <c r="I96" s="18"/>
    </row>
    <row r="97">
      <c r="A97" s="10">
        <v>666182.0</v>
      </c>
      <c r="B97" s="11" t="s">
        <v>48</v>
      </c>
      <c r="C97" s="14">
        <v>0.068006047</v>
      </c>
      <c r="D97" s="18">
        <v>-1.513182781</v>
      </c>
      <c r="E97" s="18">
        <v>-0.459100442</v>
      </c>
      <c r="F97" s="18">
        <v>1.029777997</v>
      </c>
      <c r="G97" s="26">
        <v>-0.028735548</v>
      </c>
      <c r="H97" s="18"/>
      <c r="I97" s="18"/>
    </row>
    <row r="98">
      <c r="A98" s="10">
        <v>663647.0</v>
      </c>
      <c r="B98" s="11" t="s">
        <v>273</v>
      </c>
      <c r="C98" s="14">
        <v>0.026749172</v>
      </c>
      <c r="D98" s="18">
        <v>-1.430581906</v>
      </c>
      <c r="E98" s="18">
        <v>-2.019492848</v>
      </c>
      <c r="F98" s="18">
        <v>2.062730737</v>
      </c>
      <c r="G98" s="26">
        <v>-0.063290057</v>
      </c>
      <c r="H98" s="18"/>
      <c r="I98" s="18"/>
    </row>
    <row r="99">
      <c r="A99" s="10">
        <v>680777.0</v>
      </c>
      <c r="B99" s="11" t="s">
        <v>72</v>
      </c>
      <c r="C99" s="14">
        <v>6.56065E-4</v>
      </c>
      <c r="D99" s="18">
        <v>-0.510648515</v>
      </c>
      <c r="E99" s="18">
        <v>1.05610036</v>
      </c>
      <c r="F99" s="18">
        <v>-0.490761998</v>
      </c>
      <c r="G99" s="26">
        <v>-0.079209661</v>
      </c>
      <c r="H99" s="18"/>
      <c r="I99" s="18"/>
    </row>
    <row r="100">
      <c r="A100" s="10">
        <v>592663.0</v>
      </c>
      <c r="B100" s="11" t="s">
        <v>193</v>
      </c>
      <c r="C100" s="14">
        <v>-0.022077945</v>
      </c>
      <c r="D100" s="18">
        <v>0.288821957</v>
      </c>
      <c r="E100" s="18">
        <v>-0.57082726</v>
      </c>
      <c r="F100" s="18">
        <v>-0.091389901</v>
      </c>
      <c r="G100" s="26">
        <v>-0.08407241</v>
      </c>
      <c r="H100" s="18"/>
      <c r="I100" s="18"/>
    </row>
    <row r="101">
      <c r="A101" s="10">
        <v>687363.0</v>
      </c>
      <c r="B101" s="11" t="s">
        <v>353</v>
      </c>
      <c r="C101" s="14">
        <v>0.00798837</v>
      </c>
      <c r="D101" s="18">
        <v>-0.423993853</v>
      </c>
      <c r="E101" s="18">
        <v>-0.844274148</v>
      </c>
      <c r="F101" s="18">
        <v>0.711855885</v>
      </c>
      <c r="G101" s="26">
        <v>-0.085014502</v>
      </c>
      <c r="H101" s="18"/>
      <c r="I101" s="18"/>
    </row>
    <row r="102">
      <c r="A102" s="10">
        <v>663616.0</v>
      </c>
      <c r="B102" s="11" t="s">
        <v>234</v>
      </c>
      <c r="C102" s="14">
        <v>-0.035338207</v>
      </c>
      <c r="D102" s="18">
        <v>1.331939282</v>
      </c>
      <c r="E102" s="18">
        <v>-1.138198721</v>
      </c>
      <c r="F102" s="18">
        <v>-0.72448498</v>
      </c>
      <c r="G102" s="26">
        <v>-0.107404397</v>
      </c>
      <c r="H102" s="18"/>
      <c r="I102" s="18"/>
    </row>
    <row r="103">
      <c r="A103" s="10">
        <v>606466.0</v>
      </c>
      <c r="B103" s="11" t="s">
        <v>38</v>
      </c>
      <c r="C103" s="14">
        <v>0.030145024</v>
      </c>
      <c r="D103" s="18">
        <v>-0.845105147</v>
      </c>
      <c r="E103" s="18">
        <v>0.146607185</v>
      </c>
      <c r="F103" s="18">
        <v>-0.078017794</v>
      </c>
      <c r="G103" s="26">
        <v>-0.113071941</v>
      </c>
      <c r="H103" s="18"/>
      <c r="I103" s="18"/>
    </row>
    <row r="104">
      <c r="A104" s="10">
        <v>664040.0</v>
      </c>
      <c r="B104" s="11" t="s">
        <v>91</v>
      </c>
      <c r="C104" s="14">
        <v>-0.001314103</v>
      </c>
      <c r="D104" s="18">
        <v>-1.22856407</v>
      </c>
      <c r="E104" s="18">
        <v>2.669308067</v>
      </c>
      <c r="F104" s="18">
        <v>-1.485221272</v>
      </c>
      <c r="G104" s="26">
        <v>-0.117360178</v>
      </c>
      <c r="H104" s="18"/>
      <c r="I104" s="18"/>
    </row>
    <row r="105">
      <c r="A105" s="10">
        <v>669743.0</v>
      </c>
      <c r="B105" s="11" t="s">
        <v>246</v>
      </c>
      <c r="C105" s="14">
        <v>0.004976638</v>
      </c>
      <c r="D105" s="18">
        <v>-0.016933886</v>
      </c>
      <c r="E105" s="18">
        <v>0.785346879</v>
      </c>
      <c r="F105" s="18">
        <v>-0.619440459</v>
      </c>
      <c r="G105" s="26">
        <v>-0.118567304</v>
      </c>
      <c r="H105" s="18"/>
      <c r="I105" s="18"/>
    </row>
    <row r="106">
      <c r="A106" s="10">
        <v>502671.0</v>
      </c>
      <c r="B106" s="11" t="s">
        <v>76</v>
      </c>
      <c r="C106" s="14">
        <v>-0.033494561</v>
      </c>
      <c r="D106" s="18">
        <v>0.67655596</v>
      </c>
      <c r="E106" s="18">
        <v>0.299884508</v>
      </c>
      <c r="F106" s="18">
        <v>-1.054229817</v>
      </c>
      <c r="G106" s="26">
        <v>-0.123561775</v>
      </c>
      <c r="H106" s="18"/>
      <c r="I106" s="18"/>
    </row>
    <row r="107">
      <c r="A107" s="10">
        <v>680757.0</v>
      </c>
      <c r="B107" s="11" t="s">
        <v>198</v>
      </c>
      <c r="C107" s="14">
        <v>0.006276844</v>
      </c>
      <c r="D107" s="18">
        <v>-0.046153183</v>
      </c>
      <c r="E107" s="18">
        <v>0.564378158</v>
      </c>
      <c r="F107" s="18">
        <v>-0.640243549</v>
      </c>
      <c r="G107" s="26">
        <v>-0.130290024</v>
      </c>
      <c r="H107" s="18"/>
      <c r="I107" s="18"/>
    </row>
    <row r="108">
      <c r="A108" s="10">
        <v>664761.0</v>
      </c>
      <c r="B108" s="11" t="s">
        <v>140</v>
      </c>
      <c r="C108" s="14">
        <v>-0.041933082</v>
      </c>
      <c r="D108" s="18">
        <v>0.434464326</v>
      </c>
      <c r="E108" s="18">
        <v>-1.349422927</v>
      </c>
      <c r="F108" s="18">
        <v>0.181323602</v>
      </c>
      <c r="G108" s="26">
        <v>-0.131680384</v>
      </c>
      <c r="H108" s="18"/>
      <c r="I108" s="18"/>
    </row>
    <row r="109">
      <c r="A109" s="10">
        <v>656305.0</v>
      </c>
      <c r="B109" s="11" t="s">
        <v>127</v>
      </c>
      <c r="C109" s="14">
        <v>-0.0235035</v>
      </c>
      <c r="D109" s="18">
        <v>-0.014489243</v>
      </c>
      <c r="E109" s="18">
        <v>3.477034192</v>
      </c>
      <c r="F109" s="18">
        <v>-2.696160432</v>
      </c>
      <c r="G109" s="26">
        <v>-0.132979444</v>
      </c>
      <c r="H109" s="18"/>
      <c r="I109" s="18"/>
    </row>
    <row r="110">
      <c r="A110" s="10">
        <v>621043.0</v>
      </c>
      <c r="B110" s="11" t="s">
        <v>194</v>
      </c>
      <c r="C110" s="14">
        <v>-0.028014808</v>
      </c>
      <c r="D110" s="18">
        <v>-0.421634331</v>
      </c>
      <c r="E110" s="18">
        <v>-0.6024507</v>
      </c>
      <c r="F110" s="18">
        <v>0.47412449</v>
      </c>
      <c r="G110" s="26">
        <v>-0.138112992</v>
      </c>
      <c r="H110" s="18"/>
      <c r="I110" s="18"/>
    </row>
    <row r="111">
      <c r="A111" s="10">
        <v>607043.0</v>
      </c>
      <c r="B111" s="11" t="s">
        <v>124</v>
      </c>
      <c r="C111" s="14">
        <v>-0.006313061</v>
      </c>
      <c r="D111" s="18">
        <v>0.072992216</v>
      </c>
      <c r="E111" s="18">
        <v>-0.387144606</v>
      </c>
      <c r="F111" s="18">
        <v>-0.241517274</v>
      </c>
      <c r="G111" s="26">
        <v>-0.158924489</v>
      </c>
      <c r="H111" s="18"/>
      <c r="I111" s="18"/>
    </row>
    <row r="112">
      <c r="A112" s="10">
        <v>677594.0</v>
      </c>
      <c r="B112" s="11" t="s">
        <v>179</v>
      </c>
      <c r="C112" s="14">
        <v>-0.043218622</v>
      </c>
      <c r="D112" s="18">
        <v>-0.737302283</v>
      </c>
      <c r="E112" s="18">
        <v>-0.825144904</v>
      </c>
      <c r="F112" s="18">
        <v>0.890634616</v>
      </c>
      <c r="G112" s="26">
        <v>-0.174343234</v>
      </c>
      <c r="H112" s="18"/>
      <c r="I112" s="18"/>
    </row>
    <row r="113">
      <c r="A113" s="10">
        <v>667670.0</v>
      </c>
      <c r="B113" s="11" t="s">
        <v>47</v>
      </c>
      <c r="C113" s="14">
        <v>0.00842306</v>
      </c>
      <c r="D113" s="18">
        <v>-0.786967335</v>
      </c>
      <c r="E113" s="18">
        <v>-0.110505406</v>
      </c>
      <c r="F113" s="18">
        <v>0.505739783</v>
      </c>
      <c r="G113" s="26">
        <v>-0.175043366</v>
      </c>
      <c r="H113" s="18"/>
      <c r="I113" s="18"/>
    </row>
    <row r="114">
      <c r="A114" s="10">
        <v>661388.0</v>
      </c>
      <c r="B114" s="11" t="s">
        <v>155</v>
      </c>
      <c r="C114" s="14">
        <v>0.034062518</v>
      </c>
      <c r="D114" s="18">
        <v>-0.82466011</v>
      </c>
      <c r="E114" s="18">
        <v>2.577292904</v>
      </c>
      <c r="F114" s="18">
        <v>-1.180727559</v>
      </c>
      <c r="G114" s="26">
        <v>-0.187426749</v>
      </c>
      <c r="H114" s="18"/>
      <c r="I114" s="18"/>
    </row>
    <row r="115">
      <c r="A115" s="10">
        <v>701358.0</v>
      </c>
      <c r="B115" s="11" t="s">
        <v>141</v>
      </c>
      <c r="C115" s="14">
        <v>0.078845962</v>
      </c>
      <c r="D115" s="18">
        <v>-0.551198511</v>
      </c>
      <c r="E115" s="18">
        <v>0.063120112</v>
      </c>
      <c r="F115" s="18">
        <v>-0.071218409</v>
      </c>
      <c r="G115" s="26">
        <v>-0.193151183</v>
      </c>
      <c r="H115" s="18"/>
      <c r="I115" s="18"/>
    </row>
    <row r="116">
      <c r="A116" s="10">
        <v>810938.0</v>
      </c>
      <c r="B116" s="11" t="s">
        <v>357</v>
      </c>
      <c r="C116" s="14">
        <v>-0.023528501</v>
      </c>
      <c r="D116" s="18">
        <v>0.816306431</v>
      </c>
      <c r="E116" s="18">
        <v>0.139590881</v>
      </c>
      <c r="F116" s="18">
        <v>-1.07684764</v>
      </c>
      <c r="G116" s="26">
        <v>-0.195243847</v>
      </c>
      <c r="H116" s="18"/>
      <c r="I116" s="18"/>
    </row>
    <row r="117">
      <c r="A117" s="10">
        <v>663586.0</v>
      </c>
      <c r="B117" s="11" t="s">
        <v>95</v>
      </c>
      <c r="C117" s="14">
        <v>-0.02578907</v>
      </c>
      <c r="D117" s="18">
        <v>-0.170586748</v>
      </c>
      <c r="E117" s="18">
        <v>1.326570495</v>
      </c>
      <c r="F117" s="18">
        <v>-1.977759014</v>
      </c>
      <c r="G117" s="26">
        <v>-0.197010466</v>
      </c>
      <c r="H117" s="18"/>
      <c r="I117" s="18"/>
    </row>
    <row r="118">
      <c r="A118" s="10">
        <v>596019.0</v>
      </c>
      <c r="B118" s="11" t="s">
        <v>167</v>
      </c>
      <c r="C118" s="14">
        <v>0.049022361</v>
      </c>
      <c r="D118" s="18">
        <v>-1.444374377</v>
      </c>
      <c r="E118" s="18">
        <v>-0.040466633</v>
      </c>
      <c r="F118" s="18">
        <v>0.576800788</v>
      </c>
      <c r="G118" s="26">
        <v>-0.199841045</v>
      </c>
      <c r="H118" s="18"/>
      <c r="I118" s="18"/>
    </row>
    <row r="119">
      <c r="A119" s="10">
        <v>673548.0</v>
      </c>
      <c r="B119" s="11" t="s">
        <v>36</v>
      </c>
      <c r="C119" s="14">
        <v>0.052292683</v>
      </c>
      <c r="D119" s="18">
        <v>0.423019684</v>
      </c>
      <c r="E119" s="18">
        <v>-2.069215344</v>
      </c>
      <c r="F119" s="18">
        <v>0.178187969</v>
      </c>
      <c r="G119" s="26">
        <v>-0.201819826</v>
      </c>
      <c r="H119" s="18"/>
      <c r="I119" s="18"/>
    </row>
    <row r="120">
      <c r="A120" s="10">
        <v>664034.0</v>
      </c>
      <c r="B120" s="11" t="s">
        <v>97</v>
      </c>
      <c r="C120" s="14">
        <v>-0.015541168</v>
      </c>
      <c r="D120" s="18">
        <v>-0.618979786</v>
      </c>
      <c r="E120" s="18">
        <v>-0.13054882</v>
      </c>
      <c r="F120" s="18">
        <v>0.165533883</v>
      </c>
      <c r="G120" s="26">
        <v>-0.205819933</v>
      </c>
      <c r="H120" s="18"/>
      <c r="I120" s="18"/>
    </row>
    <row r="121">
      <c r="A121" s="10">
        <v>676694.0</v>
      </c>
      <c r="B121" s="11" t="s">
        <v>145</v>
      </c>
      <c r="C121" s="14">
        <v>0.00693858</v>
      </c>
      <c r="D121" s="18">
        <v>-0.204804455</v>
      </c>
      <c r="E121" s="18">
        <v>0.615391336</v>
      </c>
      <c r="F121" s="18">
        <v>-0.616355023</v>
      </c>
      <c r="G121" s="26">
        <v>-0.206860196</v>
      </c>
      <c r="H121" s="18"/>
      <c r="I121" s="18"/>
    </row>
    <row r="122">
      <c r="A122" s="10">
        <v>702616.0</v>
      </c>
      <c r="B122" s="11" t="s">
        <v>136</v>
      </c>
      <c r="C122" s="14">
        <v>-0.025359352</v>
      </c>
      <c r="D122" s="18">
        <v>-0.830908717</v>
      </c>
      <c r="E122" s="18">
        <v>0.295682322</v>
      </c>
      <c r="F122" s="18">
        <v>0.111458899</v>
      </c>
      <c r="G122" s="26">
        <v>-0.20991927</v>
      </c>
      <c r="H122" s="18"/>
      <c r="I122" s="18"/>
    </row>
    <row r="123">
      <c r="A123" s="10">
        <v>686780.0</v>
      </c>
      <c r="B123" s="11" t="s">
        <v>372</v>
      </c>
      <c r="C123" s="14">
        <v>-0.023473919</v>
      </c>
      <c r="D123" s="18">
        <v>-0.442093689</v>
      </c>
      <c r="E123" s="18">
        <v>-0.629319337</v>
      </c>
      <c r="F123" s="18">
        <v>-0.101726187</v>
      </c>
      <c r="G123" s="26">
        <v>-0.212165061</v>
      </c>
      <c r="H123" s="18"/>
      <c r="I123" s="18"/>
    </row>
    <row r="124">
      <c r="A124" s="10">
        <v>668901.0</v>
      </c>
      <c r="B124" s="11" t="s">
        <v>308</v>
      </c>
      <c r="C124" s="14">
        <v>0.051869133</v>
      </c>
      <c r="D124" s="18">
        <v>-2.10740553</v>
      </c>
      <c r="E124" s="18">
        <v>-1.311783653</v>
      </c>
      <c r="F124" s="18">
        <v>2.217313795</v>
      </c>
      <c r="G124" s="26">
        <v>-0.213281618</v>
      </c>
      <c r="H124" s="18"/>
      <c r="I124" s="18"/>
    </row>
    <row r="125">
      <c r="A125" s="10">
        <v>650489.0</v>
      </c>
      <c r="B125" s="11" t="s">
        <v>294</v>
      </c>
      <c r="C125" s="14">
        <v>0.019255346</v>
      </c>
      <c r="D125" s="18">
        <v>-1.145561196</v>
      </c>
      <c r="E125" s="18">
        <v>1.584073336</v>
      </c>
      <c r="F125" s="18">
        <v>-1.014210067</v>
      </c>
      <c r="G125" s="26">
        <v>-0.276865732</v>
      </c>
      <c r="H125" s="18"/>
      <c r="I125" s="18"/>
    </row>
    <row r="126">
      <c r="A126" s="10">
        <v>700250.0</v>
      </c>
      <c r="B126" s="11" t="s">
        <v>31</v>
      </c>
      <c r="C126" s="14">
        <v>0.031941912</v>
      </c>
      <c r="D126" s="18">
        <v>1.632703673</v>
      </c>
      <c r="E126" s="18">
        <v>1.486871564</v>
      </c>
      <c r="F126" s="18">
        <v>-3.472964187</v>
      </c>
      <c r="G126" s="26">
        <v>-0.280854549</v>
      </c>
      <c r="H126" s="18"/>
      <c r="I126" s="18"/>
    </row>
    <row r="127">
      <c r="A127" s="10">
        <v>666139.0</v>
      </c>
      <c r="B127" s="11" t="s">
        <v>142</v>
      </c>
      <c r="C127" s="14">
        <v>0.081960202</v>
      </c>
      <c r="D127" s="18">
        <v>-1.243303117</v>
      </c>
      <c r="E127" s="18">
        <v>-0.414499389</v>
      </c>
      <c r="F127" s="18">
        <v>0.420835421</v>
      </c>
      <c r="G127" s="26">
        <v>-0.289649769</v>
      </c>
      <c r="H127" s="18"/>
      <c r="I127" s="18"/>
    </row>
    <row r="128">
      <c r="A128" s="10">
        <v>679529.0</v>
      </c>
      <c r="B128" s="11" t="s">
        <v>50</v>
      </c>
      <c r="C128" s="14">
        <v>-0.011923669</v>
      </c>
      <c r="D128" s="18">
        <v>-0.381722406</v>
      </c>
      <c r="E128" s="18">
        <v>0.10987033</v>
      </c>
      <c r="F128" s="18">
        <v>-0.880715543</v>
      </c>
      <c r="G128" s="26">
        <v>-0.300595798</v>
      </c>
      <c r="H128" s="18"/>
      <c r="I128" s="18"/>
    </row>
    <row r="129">
      <c r="A129" s="10">
        <v>668939.0</v>
      </c>
      <c r="B129" s="11" t="s">
        <v>90</v>
      </c>
      <c r="C129" s="14">
        <v>0.030377328</v>
      </c>
      <c r="D129" s="18">
        <v>0.924922338</v>
      </c>
      <c r="E129" s="18">
        <v>-1.114909658</v>
      </c>
      <c r="F129" s="18">
        <v>-1.147663682</v>
      </c>
      <c r="G129" s="26">
        <v>-0.301503367</v>
      </c>
      <c r="H129" s="18"/>
      <c r="I129" s="18"/>
    </row>
    <row r="130">
      <c r="A130" s="10">
        <v>672580.0</v>
      </c>
      <c r="B130" s="11" t="s">
        <v>109</v>
      </c>
      <c r="C130" s="14">
        <v>0.028850845</v>
      </c>
      <c r="D130" s="18">
        <v>0.604550536</v>
      </c>
      <c r="E130" s="18">
        <v>-1.139900727</v>
      </c>
      <c r="F130" s="18">
        <v>-0.675798339</v>
      </c>
      <c r="G130" s="26">
        <v>-0.302817892</v>
      </c>
      <c r="H130" s="18"/>
      <c r="I130" s="18"/>
    </row>
    <row r="131">
      <c r="A131" s="10">
        <v>666310.0</v>
      </c>
      <c r="B131" s="11" t="s">
        <v>252</v>
      </c>
      <c r="C131" s="14">
        <v>-0.048421656</v>
      </c>
      <c r="D131" s="18">
        <v>0.023586168</v>
      </c>
      <c r="E131" s="18">
        <v>-0.573152946</v>
      </c>
      <c r="F131" s="18">
        <v>-0.558650883</v>
      </c>
      <c r="G131" s="26">
        <v>-0.304402427</v>
      </c>
      <c r="H131" s="18"/>
      <c r="I131" s="18"/>
    </row>
    <row r="132">
      <c r="A132" s="10">
        <v>682657.0</v>
      </c>
      <c r="B132" s="11" t="s">
        <v>365</v>
      </c>
      <c r="C132" s="14">
        <v>0.002853023</v>
      </c>
      <c r="D132" s="18">
        <v>-1.182600188</v>
      </c>
      <c r="E132" s="18">
        <v>-1.249983192</v>
      </c>
      <c r="F132" s="18">
        <v>0.628172627</v>
      </c>
      <c r="G132" s="26">
        <v>-0.305295787</v>
      </c>
      <c r="H132" s="18"/>
      <c r="I132" s="18"/>
    </row>
    <row r="133">
      <c r="A133" s="10">
        <v>700337.0</v>
      </c>
      <c r="B133" s="11" t="s">
        <v>280</v>
      </c>
      <c r="C133" s="14">
        <v>-0.024250316</v>
      </c>
      <c r="D133" s="18">
        <v>0.62302082</v>
      </c>
      <c r="E133" s="18">
        <v>-2.618831418</v>
      </c>
      <c r="F133" s="18">
        <v>0.040847952</v>
      </c>
      <c r="G133" s="26">
        <v>-0.307980058</v>
      </c>
      <c r="H133" s="18"/>
      <c r="I133" s="18"/>
    </row>
    <row r="134">
      <c r="A134" s="10">
        <v>670770.0</v>
      </c>
      <c r="B134" s="11" t="s">
        <v>301</v>
      </c>
      <c r="C134" s="14">
        <v>0.003240136</v>
      </c>
      <c r="D134" s="18">
        <v>-0.380417544</v>
      </c>
      <c r="E134" s="18">
        <v>-0.298484074</v>
      </c>
      <c r="F134" s="18">
        <v>-0.373466279</v>
      </c>
      <c r="G134" s="26">
        <v>-0.314309693</v>
      </c>
      <c r="H134" s="18"/>
      <c r="I134" s="18"/>
    </row>
    <row r="135">
      <c r="A135" s="10">
        <v>669701.0</v>
      </c>
      <c r="B135" s="11" t="s">
        <v>202</v>
      </c>
      <c r="C135" s="14">
        <v>0.034845595</v>
      </c>
      <c r="D135" s="18">
        <v>-0.508108047</v>
      </c>
      <c r="E135" s="18">
        <v>0.474476511</v>
      </c>
      <c r="F135" s="18">
        <v>-0.913053258</v>
      </c>
      <c r="G135" s="26">
        <v>-0.34483075</v>
      </c>
      <c r="H135" s="18"/>
      <c r="I135" s="18"/>
    </row>
    <row r="136">
      <c r="A136" s="10">
        <v>664770.0</v>
      </c>
      <c r="B136" s="11" t="s">
        <v>255</v>
      </c>
      <c r="C136" s="14">
        <v>0.025264059</v>
      </c>
      <c r="D136" s="18">
        <v>0.552283811</v>
      </c>
      <c r="E136" s="18">
        <v>-0.887797211</v>
      </c>
      <c r="F136" s="18">
        <v>-0.859112107</v>
      </c>
      <c r="G136" s="26">
        <v>-0.360919407</v>
      </c>
      <c r="H136" s="18"/>
      <c r="I136" s="18"/>
    </row>
    <row r="137">
      <c r="A137" s="10">
        <v>672386.0</v>
      </c>
      <c r="B137" s="11" t="s">
        <v>35</v>
      </c>
      <c r="C137" s="14">
        <v>-0.020012561</v>
      </c>
      <c r="D137" s="18">
        <v>1.088986475</v>
      </c>
      <c r="E137" s="18">
        <v>-0.070730803</v>
      </c>
      <c r="F137" s="18">
        <v>-1.267880148</v>
      </c>
      <c r="G137" s="26">
        <v>-0.369806876</v>
      </c>
      <c r="H137" s="18"/>
      <c r="I137" s="18"/>
    </row>
    <row r="138">
      <c r="A138" s="10">
        <v>657077.0</v>
      </c>
      <c r="B138" s="11" t="s">
        <v>220</v>
      </c>
      <c r="C138" s="14">
        <v>0.034370807</v>
      </c>
      <c r="D138" s="18">
        <v>-0.222905751</v>
      </c>
      <c r="E138" s="18">
        <v>-4.518815591</v>
      </c>
      <c r="F138" s="18">
        <v>1.089734417</v>
      </c>
      <c r="G138" s="26">
        <v>-0.3776743</v>
      </c>
      <c r="H138" s="18"/>
      <c r="I138" s="18"/>
    </row>
    <row r="139">
      <c r="A139" s="10">
        <v>669911.0</v>
      </c>
      <c r="B139" s="11" t="s">
        <v>323</v>
      </c>
      <c r="C139" s="14">
        <v>0.032338496</v>
      </c>
      <c r="D139" s="18">
        <v>-0.131862627</v>
      </c>
      <c r="E139" s="18">
        <v>-0.367820482</v>
      </c>
      <c r="F139" s="18">
        <v>-0.712959744</v>
      </c>
      <c r="G139" s="26">
        <v>-0.385398101</v>
      </c>
      <c r="H139" s="18"/>
      <c r="I139" s="18"/>
    </row>
    <row r="140">
      <c r="A140" s="10">
        <v>545361.0</v>
      </c>
      <c r="B140" s="11" t="s">
        <v>23</v>
      </c>
      <c r="C140" s="14">
        <v>-0.048373759</v>
      </c>
      <c r="D140" s="18">
        <v>1.820620426</v>
      </c>
      <c r="E140" s="18">
        <v>0.04244675</v>
      </c>
      <c r="F140" s="18">
        <v>-2.502459295</v>
      </c>
      <c r="G140" s="26">
        <v>-0.398382245</v>
      </c>
      <c r="H140" s="18"/>
      <c r="I140" s="18"/>
    </row>
    <row r="141">
      <c r="A141" s="10">
        <v>643376.0</v>
      </c>
      <c r="B141" s="11" t="s">
        <v>196</v>
      </c>
      <c r="C141" s="14">
        <v>0.034178729</v>
      </c>
      <c r="D141" s="18">
        <v>-2.392771263</v>
      </c>
      <c r="E141" s="18">
        <v>-0.640405248</v>
      </c>
      <c r="F141" s="18">
        <v>1.670665802</v>
      </c>
      <c r="G141" s="26">
        <v>-0.399452217</v>
      </c>
      <c r="H141" s="18"/>
      <c r="I141" s="18"/>
    </row>
    <row r="142">
      <c r="A142" s="10">
        <v>807713.0</v>
      </c>
      <c r="B142" s="11" t="s">
        <v>343</v>
      </c>
      <c r="C142" s="14">
        <v>-0.001949529</v>
      </c>
      <c r="D142" s="18">
        <v>1.129584691</v>
      </c>
      <c r="E142" s="18">
        <v>-0.23369557</v>
      </c>
      <c r="F142" s="18">
        <v>-1.73912741</v>
      </c>
      <c r="G142" s="26">
        <v>-0.412163945</v>
      </c>
      <c r="H142" s="18"/>
      <c r="I142" s="18"/>
    </row>
    <row r="143">
      <c r="A143" s="10">
        <v>641355.0</v>
      </c>
      <c r="B143" s="11" t="s">
        <v>184</v>
      </c>
      <c r="C143" s="14">
        <v>0.0854998</v>
      </c>
      <c r="D143" s="18">
        <v>-1.148719196</v>
      </c>
      <c r="E143" s="18">
        <v>0.480169138</v>
      </c>
      <c r="F143" s="18">
        <v>-0.641919511</v>
      </c>
      <c r="G143" s="26">
        <v>-0.423522908</v>
      </c>
      <c r="H143" s="18"/>
      <c r="I143" s="18"/>
    </row>
    <row r="144">
      <c r="A144" s="10">
        <v>671732.0</v>
      </c>
      <c r="B144" s="11" t="s">
        <v>239</v>
      </c>
      <c r="C144" s="14">
        <v>0.002084246</v>
      </c>
      <c r="D144" s="18">
        <v>0.660973499</v>
      </c>
      <c r="E144" s="18">
        <v>1.013129206</v>
      </c>
      <c r="F144" s="18">
        <v>-2.781111608</v>
      </c>
      <c r="G144" s="26">
        <v>-0.431756192</v>
      </c>
      <c r="H144" s="18"/>
      <c r="I144" s="18"/>
    </row>
    <row r="145">
      <c r="A145" s="10">
        <v>647304.0</v>
      </c>
      <c r="B145" s="11" t="s">
        <v>177</v>
      </c>
      <c r="C145" s="14">
        <v>0.086008706</v>
      </c>
      <c r="D145" s="18">
        <v>-2.446349698</v>
      </c>
      <c r="E145" s="18">
        <v>-0.776298627</v>
      </c>
      <c r="F145" s="18">
        <v>0.934218657</v>
      </c>
      <c r="G145" s="26">
        <v>-0.433998804</v>
      </c>
      <c r="H145" s="18"/>
      <c r="I145" s="18"/>
    </row>
    <row r="146">
      <c r="A146" s="10">
        <v>680718.0</v>
      </c>
      <c r="B146" s="11" t="s">
        <v>68</v>
      </c>
      <c r="C146" s="14">
        <v>0.041453421</v>
      </c>
      <c r="D146" s="18">
        <v>-1.396645967</v>
      </c>
      <c r="E146" s="18">
        <v>-0.539260721</v>
      </c>
      <c r="F146" s="18">
        <v>0.654371914</v>
      </c>
      <c r="G146" s="26">
        <v>-0.437448642</v>
      </c>
      <c r="H146" s="18"/>
      <c r="I146" s="18"/>
    </row>
    <row r="147">
      <c r="A147" s="10">
        <v>467793.0</v>
      </c>
      <c r="B147" s="11" t="s">
        <v>264</v>
      </c>
      <c r="C147" s="14">
        <v>0.022436615</v>
      </c>
      <c r="D147" s="18">
        <v>-0.345300898</v>
      </c>
      <c r="E147" s="18">
        <v>-0.105651189</v>
      </c>
      <c r="F147" s="18">
        <v>-0.847847112</v>
      </c>
      <c r="G147" s="26">
        <v>-0.464459663</v>
      </c>
      <c r="H147" s="18"/>
      <c r="I147" s="18"/>
    </row>
    <row r="148">
      <c r="A148" s="10">
        <v>663656.0</v>
      </c>
      <c r="B148" s="11" t="s">
        <v>63</v>
      </c>
      <c r="C148" s="14">
        <v>0.003892161</v>
      </c>
      <c r="D148" s="18">
        <v>1.584513058</v>
      </c>
      <c r="E148" s="18">
        <v>-0.984067562</v>
      </c>
      <c r="F148" s="18">
        <v>-1.884557665</v>
      </c>
      <c r="G148" s="26">
        <v>-0.465089833</v>
      </c>
      <c r="H148" s="18"/>
      <c r="I148" s="18"/>
    </row>
    <row r="149">
      <c r="A149" s="10">
        <v>596146.0</v>
      </c>
      <c r="B149" s="11" t="s">
        <v>216</v>
      </c>
      <c r="C149" s="14">
        <v>-0.043967881</v>
      </c>
      <c r="D149" s="18">
        <v>1.515398855</v>
      </c>
      <c r="E149" s="18">
        <v>0.816596636</v>
      </c>
      <c r="F149" s="18">
        <v>-3.525971884</v>
      </c>
      <c r="G149" s="26">
        <v>-0.499716606</v>
      </c>
      <c r="H149" s="18"/>
      <c r="I149" s="18"/>
    </row>
    <row r="150">
      <c r="A150" s="10">
        <v>695578.0</v>
      </c>
      <c r="B150" s="11" t="s">
        <v>37</v>
      </c>
      <c r="C150" s="14">
        <v>0.006225559</v>
      </c>
      <c r="D150" s="18">
        <v>-0.328590955</v>
      </c>
      <c r="E150" s="18">
        <v>-2.980129027</v>
      </c>
      <c r="F150" s="18">
        <v>0.951122672</v>
      </c>
      <c r="G150" s="26">
        <v>-0.505148956</v>
      </c>
      <c r="H150" s="18"/>
      <c r="I150" s="18"/>
    </row>
    <row r="151">
      <c r="A151" s="10">
        <v>608070.0</v>
      </c>
      <c r="B151" s="11" t="s">
        <v>171</v>
      </c>
      <c r="C151" s="14">
        <v>-0.018588442</v>
      </c>
      <c r="D151" s="18">
        <v>0.887601482</v>
      </c>
      <c r="E151" s="18">
        <v>0.270109718</v>
      </c>
      <c r="F151" s="18">
        <v>-2.031245082</v>
      </c>
      <c r="G151" s="26">
        <v>-0.520933899</v>
      </c>
      <c r="H151" s="18"/>
      <c r="I151" s="18"/>
    </row>
    <row r="152">
      <c r="A152" s="10">
        <v>457705.0</v>
      </c>
      <c r="B152" s="11" t="s">
        <v>120</v>
      </c>
      <c r="C152" s="14">
        <v>-0.02498787</v>
      </c>
      <c r="D152" s="18">
        <v>1.035976976</v>
      </c>
      <c r="E152" s="18">
        <v>-2.293452382</v>
      </c>
      <c r="F152" s="18">
        <v>-0.774165609</v>
      </c>
      <c r="G152" s="26">
        <v>-0.532165639</v>
      </c>
      <c r="H152" s="18"/>
      <c r="I152" s="18"/>
    </row>
    <row r="153">
      <c r="A153" s="10">
        <v>592518.0</v>
      </c>
      <c r="B153" s="11" t="s">
        <v>30</v>
      </c>
      <c r="C153" s="14">
        <v>-0.006261519</v>
      </c>
      <c r="D153" s="18">
        <v>-0.681380961</v>
      </c>
      <c r="E153" s="18">
        <v>-1.048494794</v>
      </c>
      <c r="F153" s="18">
        <v>-0.253462509</v>
      </c>
      <c r="G153" s="26">
        <v>-0.539476132</v>
      </c>
      <c r="H153" s="18"/>
      <c r="I153" s="18"/>
    </row>
    <row r="154">
      <c r="A154" s="10">
        <v>670623.0</v>
      </c>
      <c r="B154" s="11" t="s">
        <v>133</v>
      </c>
      <c r="C154" s="14">
        <v>0.002479934</v>
      </c>
      <c r="D154" s="18">
        <v>0.863960999</v>
      </c>
      <c r="E154" s="18">
        <v>0.779839437</v>
      </c>
      <c r="F154" s="18">
        <v>-2.820077108</v>
      </c>
      <c r="G154" s="26">
        <v>-0.549123686</v>
      </c>
      <c r="H154" s="18"/>
      <c r="I154" s="18"/>
    </row>
    <row r="155">
      <c r="A155" s="10">
        <v>672356.0</v>
      </c>
      <c r="B155" s="11" t="s">
        <v>287</v>
      </c>
      <c r="C155" s="14">
        <v>0.044305556</v>
      </c>
      <c r="D155" s="18">
        <v>-0.390364105</v>
      </c>
      <c r="E155" s="18">
        <v>-2.045015336</v>
      </c>
      <c r="F155" s="18">
        <v>1.111330697</v>
      </c>
      <c r="G155" s="26">
        <v>-0.549685703</v>
      </c>
      <c r="H155" s="18"/>
      <c r="I155" s="18"/>
    </row>
    <row r="156">
      <c r="A156" s="10">
        <v>595879.0</v>
      </c>
      <c r="B156" s="11" t="s">
        <v>311</v>
      </c>
      <c r="C156" s="14">
        <v>0.036124499</v>
      </c>
      <c r="D156" s="18">
        <v>-0.293384055</v>
      </c>
      <c r="E156" s="18">
        <v>0.128442038</v>
      </c>
      <c r="F156" s="18">
        <v>-1.362084752</v>
      </c>
      <c r="G156" s="26">
        <v>-0.549897186</v>
      </c>
      <c r="H156" s="18"/>
      <c r="I156" s="18"/>
    </row>
    <row r="157">
      <c r="A157" s="10">
        <v>668709.0</v>
      </c>
      <c r="B157" s="11" t="s">
        <v>363</v>
      </c>
      <c r="C157" s="14">
        <v>-0.055959681</v>
      </c>
      <c r="D157" s="18">
        <v>-0.164780352</v>
      </c>
      <c r="E157" s="18">
        <v>-2.025391216</v>
      </c>
      <c r="F157" s="18">
        <v>-0.535517567</v>
      </c>
      <c r="G157" s="26">
        <v>-0.555430979</v>
      </c>
      <c r="H157" s="18"/>
      <c r="I157" s="18"/>
    </row>
    <row r="158">
      <c r="A158" s="10">
        <v>593871.0</v>
      </c>
      <c r="B158" s="11" t="s">
        <v>116</v>
      </c>
      <c r="C158" s="14">
        <v>-0.042179215</v>
      </c>
      <c r="D158" s="18">
        <v>0.925601572</v>
      </c>
      <c r="E158" s="18">
        <v>-0.394041114</v>
      </c>
      <c r="F158" s="18">
        <v>-1.683335831</v>
      </c>
      <c r="G158" s="26">
        <v>-0.55922827</v>
      </c>
      <c r="H158" s="18"/>
      <c r="I158" s="18"/>
    </row>
    <row r="159">
      <c r="A159" s="10">
        <v>665489.0</v>
      </c>
      <c r="B159" s="11" t="s">
        <v>32</v>
      </c>
      <c r="C159" s="14">
        <v>0.003839747</v>
      </c>
      <c r="D159" s="18">
        <v>0.535147757</v>
      </c>
      <c r="E159" s="18">
        <v>-2.017134181</v>
      </c>
      <c r="F159" s="18">
        <v>-0.688269058</v>
      </c>
      <c r="G159" s="26">
        <v>-0.563062944</v>
      </c>
      <c r="H159" s="18"/>
      <c r="I159" s="18"/>
    </row>
    <row r="160">
      <c r="A160" s="10">
        <v>691026.0</v>
      </c>
      <c r="B160" s="11" t="s">
        <v>238</v>
      </c>
      <c r="C160" s="14">
        <v>0.038683991</v>
      </c>
      <c r="D160" s="18">
        <v>0.061839507</v>
      </c>
      <c r="E160" s="18">
        <v>1.16997781</v>
      </c>
      <c r="F160" s="18">
        <v>-2.221611232</v>
      </c>
      <c r="G160" s="26">
        <v>-0.565542005</v>
      </c>
      <c r="H160" s="18"/>
      <c r="I160" s="18"/>
    </row>
    <row r="161">
      <c r="A161" s="10">
        <v>686797.0</v>
      </c>
      <c r="B161" s="11" t="s">
        <v>342</v>
      </c>
      <c r="C161" s="14">
        <v>-0.001612666</v>
      </c>
      <c r="D161" s="18">
        <v>-0.985269248</v>
      </c>
      <c r="E161" s="18">
        <v>-1.076312186</v>
      </c>
      <c r="F161" s="18">
        <v>0.061672735</v>
      </c>
      <c r="G161" s="26">
        <v>-0.566316146</v>
      </c>
      <c r="H161" s="18"/>
      <c r="I161" s="18"/>
    </row>
    <row r="162">
      <c r="A162" s="10">
        <v>656775.0</v>
      </c>
      <c r="B162" s="11" t="s">
        <v>275</v>
      </c>
      <c r="C162" s="14">
        <v>0.056196936</v>
      </c>
      <c r="D162" s="18">
        <v>-0.162322871</v>
      </c>
      <c r="E162" s="18">
        <v>0.539955467</v>
      </c>
      <c r="F162" s="18">
        <v>-1.717393036</v>
      </c>
      <c r="G162" s="26">
        <v>-0.591405793</v>
      </c>
      <c r="H162" s="18"/>
      <c r="I162" s="18"/>
    </row>
    <row r="163">
      <c r="A163" s="10">
        <v>542303.0</v>
      </c>
      <c r="B163" s="11" t="s">
        <v>57</v>
      </c>
      <c r="C163" s="14">
        <v>8.76291E-4</v>
      </c>
      <c r="D163" s="18">
        <v>-0.748783877</v>
      </c>
      <c r="E163" s="18">
        <v>-0.01237111</v>
      </c>
      <c r="F163" s="18">
        <v>-1.375153303</v>
      </c>
      <c r="G163" s="26">
        <v>-0.613147038</v>
      </c>
      <c r="H163" s="18"/>
      <c r="I163" s="18"/>
    </row>
    <row r="164">
      <c r="A164" s="10">
        <v>687597.0</v>
      </c>
      <c r="B164" s="11" t="s">
        <v>160</v>
      </c>
      <c r="C164" s="14">
        <v>-0.012972701</v>
      </c>
      <c r="D164" s="18">
        <v>-0.550855935</v>
      </c>
      <c r="E164" s="18">
        <v>0.205850532</v>
      </c>
      <c r="F164" s="18">
        <v>-1.626358452</v>
      </c>
      <c r="G164" s="26">
        <v>-0.618407313</v>
      </c>
      <c r="H164" s="18"/>
      <c r="I164" s="18"/>
    </row>
    <row r="165">
      <c r="A165" s="10">
        <v>686668.0</v>
      </c>
      <c r="B165" s="11" t="s">
        <v>282</v>
      </c>
      <c r="C165" s="14">
        <v>0.031728958</v>
      </c>
      <c r="D165" s="18">
        <v>-0.557711271</v>
      </c>
      <c r="E165" s="18">
        <v>-0.879880953</v>
      </c>
      <c r="F165" s="18">
        <v>-0.616799912</v>
      </c>
      <c r="G165" s="26">
        <v>-0.625882011</v>
      </c>
      <c r="H165" s="18"/>
      <c r="I165" s="18"/>
    </row>
    <row r="166">
      <c r="A166" s="10">
        <v>671277.0</v>
      </c>
      <c r="B166" s="11" t="s">
        <v>115</v>
      </c>
      <c r="C166" s="14">
        <v>0.014258646</v>
      </c>
      <c r="D166" s="18">
        <v>0.42475391</v>
      </c>
      <c r="E166" s="18">
        <v>-1.397148768</v>
      </c>
      <c r="F166" s="18">
        <v>-0.884540948</v>
      </c>
      <c r="G166" s="26">
        <v>-0.640525003</v>
      </c>
      <c r="H166" s="18"/>
      <c r="I166" s="18"/>
    </row>
    <row r="167">
      <c r="A167" s="10">
        <v>656716.0</v>
      </c>
      <c r="B167" s="11" t="s">
        <v>189</v>
      </c>
      <c r="C167" s="14">
        <v>0.02126564</v>
      </c>
      <c r="D167" s="18">
        <v>-1.196522714</v>
      </c>
      <c r="E167" s="18">
        <v>1.531054207</v>
      </c>
      <c r="F167" s="18">
        <v>-1.710191768</v>
      </c>
      <c r="G167" s="26">
        <v>-0.642966069</v>
      </c>
      <c r="H167" s="18"/>
      <c r="I167" s="18"/>
    </row>
    <row r="168">
      <c r="A168" s="10">
        <v>645277.0</v>
      </c>
      <c r="B168" s="11" t="s">
        <v>359</v>
      </c>
      <c r="C168" s="14">
        <v>0.0371089</v>
      </c>
      <c r="D168" s="18">
        <v>-0.814660913</v>
      </c>
      <c r="E168" s="18">
        <v>1.254742705</v>
      </c>
      <c r="F168" s="18">
        <v>-1.231325141</v>
      </c>
      <c r="G168" s="26">
        <v>-0.644778128</v>
      </c>
      <c r="H168" s="18"/>
      <c r="I168" s="18"/>
    </row>
    <row r="169">
      <c r="A169" s="10">
        <v>663698.0</v>
      </c>
      <c r="B169" s="11" t="s">
        <v>186</v>
      </c>
      <c r="C169" s="14">
        <v>-0.029379405</v>
      </c>
      <c r="D169" s="18">
        <v>0.110689478</v>
      </c>
      <c r="E169" s="18">
        <v>-0.872144214</v>
      </c>
      <c r="F169" s="18">
        <v>-1.83690776</v>
      </c>
      <c r="G169" s="26">
        <v>-0.66838536</v>
      </c>
      <c r="H169" s="18"/>
      <c r="I169" s="18"/>
    </row>
    <row r="170">
      <c r="A170" s="10">
        <v>664023.0</v>
      </c>
      <c r="B170" s="11" t="s">
        <v>187</v>
      </c>
      <c r="C170" s="14">
        <v>-0.015856147</v>
      </c>
      <c r="D170" s="18">
        <v>0.301941339</v>
      </c>
      <c r="E170" s="18">
        <v>-1.074372405</v>
      </c>
      <c r="F170" s="18">
        <v>-1.707047819</v>
      </c>
      <c r="G170" s="26">
        <v>-0.673112579</v>
      </c>
      <c r="H170" s="18"/>
      <c r="I170" s="18"/>
    </row>
    <row r="171">
      <c r="A171" s="10">
        <v>608348.0</v>
      </c>
      <c r="B171" s="11" t="s">
        <v>71</v>
      </c>
      <c r="C171" s="14">
        <v>-0.029440898</v>
      </c>
      <c r="D171" s="18">
        <v>-1.210356839</v>
      </c>
      <c r="E171" s="18">
        <v>0.313115751</v>
      </c>
      <c r="F171" s="18">
        <v>-1.291254253</v>
      </c>
      <c r="G171" s="26">
        <v>-0.684839122</v>
      </c>
      <c r="H171" s="18"/>
      <c r="I171" s="18"/>
    </row>
    <row r="172">
      <c r="A172" s="10">
        <v>641487.0</v>
      </c>
      <c r="B172" s="11" t="s">
        <v>188</v>
      </c>
      <c r="C172" s="14">
        <v>0.035972612</v>
      </c>
      <c r="D172" s="18">
        <v>-0.43718386</v>
      </c>
      <c r="E172" s="18">
        <v>1.157968798</v>
      </c>
      <c r="F172" s="18">
        <v>-2.089280322</v>
      </c>
      <c r="G172" s="26">
        <v>-0.693800007</v>
      </c>
      <c r="H172" s="18"/>
      <c r="I172" s="18"/>
    </row>
    <row r="173">
      <c r="A173" s="10">
        <v>665833.0</v>
      </c>
      <c r="B173" s="11" t="s">
        <v>86</v>
      </c>
      <c r="C173" s="14">
        <v>0.006591773</v>
      </c>
      <c r="D173" s="18">
        <v>-0.812772628</v>
      </c>
      <c r="E173" s="18">
        <v>1.83507529</v>
      </c>
      <c r="F173" s="18">
        <v>-3.793996575</v>
      </c>
      <c r="G173" s="26">
        <v>-0.710263989</v>
      </c>
      <c r="H173" s="18"/>
      <c r="I173" s="18"/>
    </row>
    <row r="174">
      <c r="A174" s="10">
        <v>682829.0</v>
      </c>
      <c r="B174" s="11" t="s">
        <v>150</v>
      </c>
      <c r="C174" s="14">
        <v>0.04893117</v>
      </c>
      <c r="D174" s="18">
        <v>-0.134044828</v>
      </c>
      <c r="E174" s="18">
        <v>1.565156421</v>
      </c>
      <c r="F174" s="18">
        <v>-3.11987295</v>
      </c>
      <c r="G174" s="26">
        <v>-0.72938198</v>
      </c>
      <c r="H174" s="18"/>
      <c r="I174" s="18"/>
    </row>
    <row r="175">
      <c r="A175" s="10">
        <v>681481.0</v>
      </c>
      <c r="B175" s="11" t="s">
        <v>114</v>
      </c>
      <c r="C175" s="14">
        <v>-0.056974614</v>
      </c>
      <c r="D175" s="18">
        <v>-0.001092807</v>
      </c>
      <c r="E175" s="18">
        <v>-0.654905845</v>
      </c>
      <c r="F175" s="18">
        <v>-1.053635051</v>
      </c>
      <c r="G175" s="26">
        <v>-0.771199229</v>
      </c>
      <c r="H175" s="18"/>
      <c r="I175" s="18"/>
    </row>
    <row r="176">
      <c r="A176" s="10">
        <v>691406.0</v>
      </c>
      <c r="B176" s="11" t="s">
        <v>183</v>
      </c>
      <c r="C176" s="14">
        <v>0.049256334</v>
      </c>
      <c r="D176" s="18">
        <v>-0.391077452</v>
      </c>
      <c r="E176" s="18">
        <v>-2.394591899</v>
      </c>
      <c r="F176" s="18">
        <v>-0.023544624</v>
      </c>
      <c r="G176" s="26">
        <v>-0.775883632</v>
      </c>
      <c r="H176" s="18"/>
      <c r="I176" s="18"/>
    </row>
    <row r="177">
      <c r="A177" s="10">
        <v>656976.0</v>
      </c>
      <c r="B177" s="11" t="s">
        <v>199</v>
      </c>
      <c r="C177" s="14">
        <v>0.0246504</v>
      </c>
      <c r="D177" s="18">
        <v>-0.03557494</v>
      </c>
      <c r="E177" s="18">
        <v>-2.956489066</v>
      </c>
      <c r="F177" s="18">
        <v>-0.349727661</v>
      </c>
      <c r="G177" s="26">
        <v>-0.792874596</v>
      </c>
      <c r="H177" s="18"/>
      <c r="I177" s="18"/>
    </row>
    <row r="178">
      <c r="A178" s="10">
        <v>680574.0</v>
      </c>
      <c r="B178" s="11" t="s">
        <v>240</v>
      </c>
      <c r="C178" s="14">
        <v>0.015726761</v>
      </c>
      <c r="D178" s="18">
        <v>-0.472934954</v>
      </c>
      <c r="E178" s="18">
        <v>1.486613533</v>
      </c>
      <c r="F178" s="18">
        <v>-2.866193221</v>
      </c>
      <c r="G178" s="26">
        <v>-0.804481909</v>
      </c>
      <c r="H178" s="18"/>
      <c r="I178" s="18"/>
    </row>
    <row r="179">
      <c r="A179" s="10">
        <v>681351.0</v>
      </c>
      <c r="B179" s="11" t="s">
        <v>112</v>
      </c>
      <c r="C179" s="14">
        <v>0.059101668</v>
      </c>
      <c r="D179" s="18">
        <v>1.449498321</v>
      </c>
      <c r="E179" s="18">
        <v>1.096880223</v>
      </c>
      <c r="F179" s="18">
        <v>-5.02789812</v>
      </c>
      <c r="G179" s="26">
        <v>-0.812132213</v>
      </c>
      <c r="H179" s="18"/>
      <c r="I179" s="18"/>
    </row>
    <row r="180">
      <c r="A180" s="10">
        <v>621438.0</v>
      </c>
      <c r="B180" s="11" t="s">
        <v>315</v>
      </c>
      <c r="C180" s="14">
        <v>0.015044807</v>
      </c>
      <c r="D180" s="18">
        <v>-0.784803849</v>
      </c>
      <c r="E180" s="18">
        <v>1.404788592</v>
      </c>
      <c r="F180" s="18">
        <v>-2.387836511</v>
      </c>
      <c r="G180" s="26">
        <v>-0.81725646</v>
      </c>
      <c r="H180" s="18"/>
      <c r="I180" s="18"/>
    </row>
    <row r="181">
      <c r="A181" s="10">
        <v>676609.0</v>
      </c>
      <c r="B181" s="11" t="s">
        <v>312</v>
      </c>
      <c r="C181" s="14">
        <v>0.077682692</v>
      </c>
      <c r="D181" s="18">
        <v>-0.59424853</v>
      </c>
      <c r="E181" s="18">
        <v>-0.793649776</v>
      </c>
      <c r="F181" s="18">
        <v>-1.379438665</v>
      </c>
      <c r="G181" s="26">
        <v>-0.819276846</v>
      </c>
      <c r="H181" s="18"/>
      <c r="I181" s="18"/>
    </row>
    <row r="182">
      <c r="A182" s="10">
        <v>660688.0</v>
      </c>
      <c r="B182" s="11" t="s">
        <v>352</v>
      </c>
      <c r="C182" s="14">
        <v>-6.37623E-4</v>
      </c>
      <c r="D182" s="18">
        <v>-0.341796825</v>
      </c>
      <c r="E182" s="18">
        <v>-0.400523474</v>
      </c>
      <c r="F182" s="18">
        <v>-1.141420042</v>
      </c>
      <c r="G182" s="26">
        <v>-0.820479794</v>
      </c>
      <c r="H182" s="18"/>
      <c r="I182" s="18"/>
    </row>
    <row r="183">
      <c r="A183" s="10">
        <v>624585.0</v>
      </c>
      <c r="B183" s="11" t="s">
        <v>226</v>
      </c>
      <c r="C183" s="14">
        <v>-0.006817212</v>
      </c>
      <c r="D183" s="18">
        <v>-0.290446043</v>
      </c>
      <c r="E183" s="18">
        <v>-0.71529477</v>
      </c>
      <c r="F183" s="18">
        <v>-2.130683747</v>
      </c>
      <c r="G183" s="26">
        <v>-0.826232902</v>
      </c>
      <c r="H183" s="18"/>
      <c r="I183" s="18"/>
    </row>
    <row r="184">
      <c r="A184" s="10">
        <v>805367.0</v>
      </c>
      <c r="B184" s="11" t="s">
        <v>225</v>
      </c>
      <c r="C184" s="14">
        <v>0.047269098</v>
      </c>
      <c r="D184" s="18">
        <v>-0.325781756</v>
      </c>
      <c r="E184" s="18">
        <v>-2.346958537</v>
      </c>
      <c r="F184" s="18">
        <v>-0.954993087</v>
      </c>
      <c r="G184" s="26">
        <v>-0.828779153</v>
      </c>
      <c r="H184" s="18"/>
      <c r="I184" s="18"/>
    </row>
    <row r="185">
      <c r="A185" s="10">
        <v>665966.0</v>
      </c>
      <c r="B185" s="11" t="s">
        <v>271</v>
      </c>
      <c r="C185" s="14">
        <v>0.032774668</v>
      </c>
      <c r="D185" s="18">
        <v>-0.603267735</v>
      </c>
      <c r="E185" s="18">
        <v>1.484833071</v>
      </c>
      <c r="F185" s="18">
        <v>-2.788191947</v>
      </c>
      <c r="G185" s="26">
        <v>-0.832101023</v>
      </c>
      <c r="H185" s="18"/>
      <c r="I185" s="18"/>
    </row>
    <row r="186">
      <c r="A186" s="10">
        <v>668930.0</v>
      </c>
      <c r="B186" s="11" t="s">
        <v>164</v>
      </c>
      <c r="C186" s="14">
        <v>0.036228703</v>
      </c>
      <c r="D186" s="18">
        <v>-0.793192716</v>
      </c>
      <c r="E186" s="18">
        <v>0.187128707</v>
      </c>
      <c r="F186" s="18">
        <v>-1.726430277</v>
      </c>
      <c r="G186" s="26">
        <v>-0.834023657</v>
      </c>
      <c r="H186" s="18"/>
      <c r="I186" s="18"/>
    </row>
    <row r="187">
      <c r="A187" s="10">
        <v>682998.0</v>
      </c>
      <c r="B187" s="11" t="s">
        <v>49</v>
      </c>
      <c r="C187" s="14">
        <v>-0.031402056</v>
      </c>
      <c r="D187" s="18">
        <v>1.591699455</v>
      </c>
      <c r="E187" s="18">
        <v>-1.891029234</v>
      </c>
      <c r="F187" s="18">
        <v>-2.132428257</v>
      </c>
      <c r="G187" s="26">
        <v>-0.847814232</v>
      </c>
      <c r="H187" s="18"/>
      <c r="I187" s="18"/>
    </row>
    <row r="188">
      <c r="A188" s="10">
        <v>673237.0</v>
      </c>
      <c r="B188" s="11" t="s">
        <v>106</v>
      </c>
      <c r="C188" s="14">
        <v>0.053529724</v>
      </c>
      <c r="D188" s="18">
        <v>-0.581998235</v>
      </c>
      <c r="E188" s="18">
        <v>-0.353533165</v>
      </c>
      <c r="F188" s="18">
        <v>-1.48251538</v>
      </c>
      <c r="G188" s="26">
        <v>-0.850002973</v>
      </c>
      <c r="H188" s="18"/>
      <c r="I188" s="18"/>
    </row>
    <row r="189">
      <c r="A189" s="10">
        <v>669394.0</v>
      </c>
      <c r="B189" s="11" t="s">
        <v>205</v>
      </c>
      <c r="C189" s="14">
        <v>0.094790025</v>
      </c>
      <c r="D189" s="18">
        <v>-0.777417804</v>
      </c>
      <c r="E189" s="18">
        <v>-0.685014434</v>
      </c>
      <c r="F189" s="18">
        <v>-1.142190616</v>
      </c>
      <c r="G189" s="26">
        <v>-0.85072253</v>
      </c>
      <c r="H189" s="18"/>
      <c r="I189" s="18"/>
    </row>
    <row r="190">
      <c r="A190" s="10">
        <v>650402.0</v>
      </c>
      <c r="B190" s="11" t="s">
        <v>25</v>
      </c>
      <c r="C190" s="14">
        <v>0.030448685</v>
      </c>
      <c r="D190" s="18">
        <v>-0.056345228</v>
      </c>
      <c r="E190" s="18">
        <v>-1.072493865</v>
      </c>
      <c r="F190" s="18">
        <v>-1.680039384</v>
      </c>
      <c r="G190" s="26">
        <v>-0.855678939</v>
      </c>
      <c r="H190" s="18"/>
      <c r="I190" s="18"/>
    </row>
    <row r="191">
      <c r="A191" s="10">
        <v>621493.0</v>
      </c>
      <c r="B191" s="11" t="s">
        <v>83</v>
      </c>
      <c r="C191" s="14">
        <v>-0.006603553</v>
      </c>
      <c r="D191" s="18">
        <v>-0.419790944</v>
      </c>
      <c r="E191" s="18">
        <v>-0.645239148</v>
      </c>
      <c r="F191" s="18">
        <v>-1.813943911</v>
      </c>
      <c r="G191" s="26">
        <v>-0.860272837</v>
      </c>
      <c r="H191" s="18"/>
      <c r="I191" s="18"/>
    </row>
    <row r="192">
      <c r="A192" s="10">
        <v>805779.0</v>
      </c>
      <c r="B192" s="11" t="s">
        <v>303</v>
      </c>
      <c r="C192" s="14">
        <v>-0.006638292</v>
      </c>
      <c r="D192" s="18">
        <v>-0.261294966</v>
      </c>
      <c r="E192" s="18">
        <v>-1.864657175</v>
      </c>
      <c r="F192" s="18">
        <v>-0.893244556</v>
      </c>
      <c r="G192" s="26">
        <v>-0.872350484</v>
      </c>
      <c r="H192" s="18"/>
      <c r="I192" s="18"/>
    </row>
    <row r="193">
      <c r="A193" s="10">
        <v>572233.0</v>
      </c>
      <c r="B193" s="11" t="s">
        <v>214</v>
      </c>
      <c r="C193" s="14">
        <v>0.01833981</v>
      </c>
      <c r="D193" s="18">
        <v>-0.840657724</v>
      </c>
      <c r="E193" s="18">
        <v>-0.247456719</v>
      </c>
      <c r="F193" s="18">
        <v>-1.667122715</v>
      </c>
      <c r="G193" s="26">
        <v>-0.883196084</v>
      </c>
      <c r="H193" s="18"/>
      <c r="I193" s="18"/>
    </row>
    <row r="194">
      <c r="A194" s="10">
        <v>678246.0</v>
      </c>
      <c r="B194" s="11" t="s">
        <v>163</v>
      </c>
      <c r="C194" s="14">
        <v>0.031909196</v>
      </c>
      <c r="D194" s="18">
        <v>-0.172241634</v>
      </c>
      <c r="E194" s="18">
        <v>-0.391913074</v>
      </c>
      <c r="F194" s="18">
        <v>-1.992812362</v>
      </c>
      <c r="G194" s="26">
        <v>-0.894409267</v>
      </c>
      <c r="H194" s="18"/>
      <c r="I194" s="18"/>
    </row>
    <row r="195">
      <c r="A195" s="10">
        <v>668804.0</v>
      </c>
      <c r="B195" s="11" t="s">
        <v>88</v>
      </c>
      <c r="C195" s="14">
        <v>0.072837638</v>
      </c>
      <c r="D195" s="18">
        <v>-0.92822224</v>
      </c>
      <c r="E195" s="18">
        <v>-1.730550678</v>
      </c>
      <c r="F195" s="18">
        <v>-0.315135698</v>
      </c>
      <c r="G195" s="26">
        <v>-0.910712663</v>
      </c>
      <c r="H195" s="18"/>
      <c r="I195" s="18"/>
    </row>
    <row r="196">
      <c r="A196" s="10">
        <v>669242.0</v>
      </c>
      <c r="B196" s="11" t="s">
        <v>191</v>
      </c>
      <c r="C196" s="14">
        <v>0.003723373</v>
      </c>
      <c r="D196" s="18">
        <v>0.456697293</v>
      </c>
      <c r="E196" s="18">
        <v>-0.946413934</v>
      </c>
      <c r="F196" s="18">
        <v>-1.821129578</v>
      </c>
      <c r="G196" s="26">
        <v>-0.916452819</v>
      </c>
      <c r="H196" s="18"/>
      <c r="I196" s="18"/>
    </row>
    <row r="197">
      <c r="A197" s="10">
        <v>700932.0</v>
      </c>
      <c r="B197" s="11" t="s">
        <v>147</v>
      </c>
      <c r="C197" s="14">
        <v>0.043289285</v>
      </c>
      <c r="D197" s="18">
        <v>-0.476769782</v>
      </c>
      <c r="E197" s="18">
        <v>1.30715713</v>
      </c>
      <c r="F197" s="18">
        <v>-3.383401961</v>
      </c>
      <c r="G197" s="26">
        <v>-0.930959997</v>
      </c>
      <c r="H197" s="18"/>
      <c r="I197" s="18"/>
    </row>
    <row r="198">
      <c r="A198" s="10">
        <v>575929.0</v>
      </c>
      <c r="B198" s="11" t="s">
        <v>45</v>
      </c>
      <c r="C198" s="14">
        <v>6.1339E-4</v>
      </c>
      <c r="D198" s="18">
        <v>1.228589598</v>
      </c>
      <c r="E198" s="18">
        <v>-1.332232116</v>
      </c>
      <c r="F198" s="18">
        <v>-2.521374178</v>
      </c>
      <c r="G198" s="26">
        <v>-0.944444272</v>
      </c>
      <c r="H198" s="18"/>
      <c r="I198" s="18"/>
    </row>
    <row r="199">
      <c r="A199" s="10">
        <v>621566.0</v>
      </c>
      <c r="B199" s="11" t="s">
        <v>52</v>
      </c>
      <c r="C199" s="14">
        <v>0.043242103</v>
      </c>
      <c r="D199" s="18">
        <v>-1.159896595</v>
      </c>
      <c r="E199" s="18">
        <v>-0.072841637</v>
      </c>
      <c r="F199" s="18">
        <v>-1.726505332</v>
      </c>
      <c r="G199" s="26">
        <v>-0.950824883</v>
      </c>
      <c r="H199" s="18"/>
      <c r="I199" s="18"/>
    </row>
    <row r="200">
      <c r="A200" s="10">
        <v>671218.0</v>
      </c>
      <c r="B200" s="11" t="s">
        <v>119</v>
      </c>
      <c r="C200" s="14">
        <v>-0.028750383</v>
      </c>
      <c r="D200" s="18">
        <v>-0.069621461</v>
      </c>
      <c r="E200" s="18">
        <v>0.534781467</v>
      </c>
      <c r="F200" s="18">
        <v>-3.139656009</v>
      </c>
      <c r="G200" s="26">
        <v>-0.978334765</v>
      </c>
      <c r="H200" s="18"/>
      <c r="I200" s="18"/>
    </row>
    <row r="201">
      <c r="A201" s="10">
        <v>643396.0</v>
      </c>
      <c r="B201" s="11" t="s">
        <v>331</v>
      </c>
      <c r="C201" s="14">
        <v>0.027916952</v>
      </c>
      <c r="D201" s="18">
        <v>-0.740850024</v>
      </c>
      <c r="E201" s="18">
        <v>-1.037086012</v>
      </c>
      <c r="F201" s="18">
        <v>-0.995908587</v>
      </c>
      <c r="G201" s="26">
        <v>-0.983951873</v>
      </c>
      <c r="H201" s="18"/>
      <c r="I201" s="18"/>
    </row>
    <row r="202">
      <c r="A202" s="10">
        <v>553993.0</v>
      </c>
      <c r="B202" s="11" t="s">
        <v>80</v>
      </c>
      <c r="C202" s="14">
        <v>0.047588246</v>
      </c>
      <c r="D202" s="18">
        <v>-0.205162016</v>
      </c>
      <c r="E202" s="18">
        <v>-1.36413361</v>
      </c>
      <c r="F202" s="18">
        <v>-1.688258481</v>
      </c>
      <c r="G202" s="26">
        <v>-0.996911009</v>
      </c>
      <c r="H202" s="18"/>
      <c r="I202" s="18"/>
    </row>
    <row r="203">
      <c r="A203" s="10">
        <v>649966.0</v>
      </c>
      <c r="B203" s="11" t="s">
        <v>221</v>
      </c>
      <c r="C203" s="14">
        <v>0.017528581</v>
      </c>
      <c r="D203" s="18">
        <v>-2.267032007</v>
      </c>
      <c r="E203" s="18">
        <v>-0.388549296</v>
      </c>
      <c r="F203" s="18">
        <v>-0.471628058</v>
      </c>
      <c r="G203" s="26">
        <v>-1.03043794</v>
      </c>
      <c r="H203" s="18"/>
      <c r="I203" s="18"/>
    </row>
    <row r="204">
      <c r="A204" s="10">
        <v>673357.0</v>
      </c>
      <c r="B204" s="11" t="s">
        <v>248</v>
      </c>
      <c r="C204" s="14">
        <v>0.082433944</v>
      </c>
      <c r="D204" s="18">
        <v>-1.5501672</v>
      </c>
      <c r="E204" s="18">
        <v>-0.430705526</v>
      </c>
      <c r="F204" s="18">
        <v>-1.218305295</v>
      </c>
      <c r="G204" s="26">
        <v>-1.043172098</v>
      </c>
      <c r="H204" s="18"/>
      <c r="I204" s="18"/>
    </row>
    <row r="205">
      <c r="A205" s="10">
        <v>673962.0</v>
      </c>
      <c r="B205" s="11" t="s">
        <v>168</v>
      </c>
      <c r="C205" s="14">
        <v>0.071617724</v>
      </c>
      <c r="D205" s="18">
        <v>0.040568661</v>
      </c>
      <c r="E205" s="18">
        <v>-1.616470146</v>
      </c>
      <c r="F205" s="18">
        <v>-1.544134167</v>
      </c>
      <c r="G205" s="26">
        <v>-1.058753072</v>
      </c>
      <c r="H205" s="18"/>
      <c r="I205" s="18"/>
    </row>
    <row r="206">
      <c r="A206" s="10">
        <v>666971.0</v>
      </c>
      <c r="B206" s="11" t="s">
        <v>213</v>
      </c>
      <c r="C206" s="14">
        <v>0.039821359</v>
      </c>
      <c r="D206" s="18">
        <v>-0.461824364</v>
      </c>
      <c r="E206" s="18">
        <v>-0.224448057</v>
      </c>
      <c r="F206" s="18">
        <v>-1.836758868</v>
      </c>
      <c r="G206" s="26">
        <v>-1.058759357</v>
      </c>
      <c r="H206" s="18"/>
      <c r="I206" s="18"/>
    </row>
    <row r="207">
      <c r="A207" s="10">
        <v>681624.0</v>
      </c>
      <c r="B207" s="11" t="s">
        <v>125</v>
      </c>
      <c r="C207" s="14">
        <v>0.071511189</v>
      </c>
      <c r="D207" s="18">
        <v>-1.605781252</v>
      </c>
      <c r="E207" s="18">
        <v>-0.582155537</v>
      </c>
      <c r="F207" s="18">
        <v>-1.111205387</v>
      </c>
      <c r="G207" s="26">
        <v>-1.059449715</v>
      </c>
      <c r="H207" s="18"/>
      <c r="I207" s="18"/>
    </row>
    <row r="208">
      <c r="A208" s="10">
        <v>663728.0</v>
      </c>
      <c r="B208" s="11" t="s">
        <v>79</v>
      </c>
      <c r="C208" s="14">
        <v>0.019011448</v>
      </c>
      <c r="D208" s="18">
        <v>0.390835013</v>
      </c>
      <c r="E208" s="18">
        <v>-1.320930312</v>
      </c>
      <c r="F208" s="18">
        <v>-2.731103415</v>
      </c>
      <c r="G208" s="26">
        <v>-1.078667455</v>
      </c>
      <c r="H208" s="18"/>
      <c r="I208" s="18"/>
    </row>
    <row r="209">
      <c r="A209" s="10">
        <v>607208.0</v>
      </c>
      <c r="B209" s="11" t="s">
        <v>224</v>
      </c>
      <c r="C209" s="14">
        <v>0.02030221</v>
      </c>
      <c r="D209" s="18">
        <v>-0.014171704</v>
      </c>
      <c r="E209" s="18">
        <v>-1.416970917</v>
      </c>
      <c r="F209" s="18">
        <v>-1.692644474</v>
      </c>
      <c r="G209" s="26">
        <v>-1.079724705</v>
      </c>
      <c r="H209" s="18"/>
      <c r="I209" s="18"/>
    </row>
    <row r="210">
      <c r="A210" s="10">
        <v>670224.0</v>
      </c>
      <c r="B210" s="11" t="s">
        <v>345</v>
      </c>
      <c r="C210" s="14">
        <v>0.045227468</v>
      </c>
      <c r="D210" s="18">
        <v>-1.309567408</v>
      </c>
      <c r="E210" s="18">
        <v>-0.726827382</v>
      </c>
      <c r="F210" s="18">
        <v>-1.866097596</v>
      </c>
      <c r="G210" s="26">
        <v>-1.126452032</v>
      </c>
      <c r="H210" s="18"/>
      <c r="I210" s="18"/>
    </row>
    <row r="211">
      <c r="A211" s="10">
        <v>694384.0</v>
      </c>
      <c r="B211" s="11" t="s">
        <v>172</v>
      </c>
      <c r="C211" s="14">
        <v>0.048606704</v>
      </c>
      <c r="D211" s="18">
        <v>0.519614313</v>
      </c>
      <c r="E211" s="18">
        <v>-0.0444088</v>
      </c>
      <c r="F211" s="18">
        <v>-2.611377075</v>
      </c>
      <c r="G211" s="26">
        <v>-1.128576574</v>
      </c>
      <c r="H211" s="18"/>
      <c r="I211" s="18"/>
    </row>
    <row r="212">
      <c r="A212" s="10">
        <v>686948.0</v>
      </c>
      <c r="B212" s="11" t="s">
        <v>64</v>
      </c>
      <c r="C212" s="14">
        <v>-0.022296726</v>
      </c>
      <c r="D212" s="18">
        <v>0.736867704</v>
      </c>
      <c r="E212" s="18">
        <v>-1.532341408</v>
      </c>
      <c r="F212" s="18">
        <v>-2.529423316</v>
      </c>
      <c r="G212" s="26">
        <v>-1.144772897</v>
      </c>
      <c r="H212" s="18"/>
      <c r="I212" s="18"/>
    </row>
    <row r="213">
      <c r="A213" s="10">
        <v>656555.0</v>
      </c>
      <c r="B213" s="11" t="s">
        <v>158</v>
      </c>
      <c r="C213" s="14">
        <v>0.007853862</v>
      </c>
      <c r="D213" s="18">
        <v>-0.456284159</v>
      </c>
      <c r="E213" s="18">
        <v>-3.525938411</v>
      </c>
      <c r="F213" s="18">
        <v>-1.093580727</v>
      </c>
      <c r="G213" s="26">
        <v>-1.194069398</v>
      </c>
      <c r="H213" s="18"/>
      <c r="I213" s="18"/>
    </row>
    <row r="214">
      <c r="A214" s="10">
        <v>643446.0</v>
      </c>
      <c r="B214" s="11" t="s">
        <v>211</v>
      </c>
      <c r="C214" s="14">
        <v>-0.005916576</v>
      </c>
      <c r="D214" s="18">
        <v>-1.203236953</v>
      </c>
      <c r="E214" s="18">
        <v>-2.225093902</v>
      </c>
      <c r="F214" s="18">
        <v>-0.516437147</v>
      </c>
      <c r="G214" s="26">
        <v>-1.196544595</v>
      </c>
      <c r="H214" s="18"/>
      <c r="I214" s="18"/>
    </row>
    <row r="215">
      <c r="A215" s="10">
        <v>677950.0</v>
      </c>
      <c r="B215" s="11" t="s">
        <v>327</v>
      </c>
      <c r="C215" s="14">
        <v>0.013434876</v>
      </c>
      <c r="D215" s="18">
        <v>0.672824788</v>
      </c>
      <c r="E215" s="18">
        <v>-1.662951959</v>
      </c>
      <c r="F215" s="18">
        <v>-2.877941275</v>
      </c>
      <c r="G215" s="26">
        <v>-1.226478651</v>
      </c>
      <c r="H215" s="18"/>
      <c r="I215" s="18"/>
    </row>
    <row r="216">
      <c r="A216" s="10">
        <v>605141.0</v>
      </c>
      <c r="B216" s="11" t="s">
        <v>118</v>
      </c>
      <c r="C216" s="14">
        <v>0.086606288</v>
      </c>
      <c r="D216" s="18">
        <v>-0.873884174</v>
      </c>
      <c r="E216" s="18">
        <v>-2.424794497</v>
      </c>
      <c r="F216" s="18">
        <v>-1.269337384</v>
      </c>
      <c r="G216" s="26">
        <v>-1.263156368</v>
      </c>
      <c r="H216" s="18"/>
      <c r="I216" s="18"/>
    </row>
    <row r="217">
      <c r="A217" s="10">
        <v>646240.0</v>
      </c>
      <c r="B217" s="11" t="s">
        <v>93</v>
      </c>
      <c r="C217" s="14">
        <v>-0.028801414</v>
      </c>
      <c r="D217" s="18">
        <v>-0.380411586</v>
      </c>
      <c r="E217" s="18">
        <v>-2.685345372</v>
      </c>
      <c r="F217" s="18">
        <v>-1.562404699</v>
      </c>
      <c r="G217" s="26">
        <v>-1.266810841</v>
      </c>
      <c r="H217" s="18"/>
      <c r="I217" s="18"/>
    </row>
    <row r="218">
      <c r="A218" s="10">
        <v>687263.0</v>
      </c>
      <c r="B218" s="11" t="s">
        <v>53</v>
      </c>
      <c r="C218" s="14">
        <v>0.126371688</v>
      </c>
      <c r="D218" s="18">
        <v>-1.657364027</v>
      </c>
      <c r="E218" s="18">
        <v>0.083658213</v>
      </c>
      <c r="F218" s="18">
        <v>-2.781292616</v>
      </c>
      <c r="G218" s="18">
        <v>-1.301156256</v>
      </c>
      <c r="H218" s="18"/>
      <c r="I218" s="18"/>
    </row>
    <row r="219">
      <c r="A219" s="10">
        <v>660670.0</v>
      </c>
      <c r="B219" s="11" t="s">
        <v>22</v>
      </c>
      <c r="C219" s="14">
        <v>-0.01138323</v>
      </c>
      <c r="D219" s="18">
        <v>0.268220514</v>
      </c>
      <c r="E219" s="18">
        <v>-2.667229376</v>
      </c>
      <c r="F219" s="18">
        <v>-1.961664754</v>
      </c>
      <c r="G219" s="18">
        <v>-1.310283841</v>
      </c>
      <c r="H219" s="18"/>
      <c r="I219" s="18"/>
    </row>
    <row r="220">
      <c r="A220" s="10">
        <v>701538.0</v>
      </c>
      <c r="B220" s="11" t="s">
        <v>77</v>
      </c>
      <c r="C220" s="14">
        <v>-0.071038785</v>
      </c>
      <c r="D220" s="18">
        <v>-0.562054352</v>
      </c>
      <c r="E220" s="18">
        <v>0.815144173</v>
      </c>
      <c r="F220" s="18">
        <v>-2.805177392</v>
      </c>
      <c r="G220" s="18">
        <v>-1.31383229</v>
      </c>
      <c r="H220" s="18"/>
      <c r="I220" s="18"/>
    </row>
    <row r="221">
      <c r="A221" s="10">
        <v>573262.0</v>
      </c>
      <c r="B221" s="11" t="s">
        <v>267</v>
      </c>
      <c r="C221" s="14">
        <v>-0.010534003</v>
      </c>
      <c r="D221" s="18">
        <v>-0.373745866</v>
      </c>
      <c r="E221" s="18">
        <v>-3.318251622</v>
      </c>
      <c r="F221" s="18">
        <v>-1.770775623</v>
      </c>
      <c r="G221" s="18">
        <v>-1.326543111</v>
      </c>
      <c r="H221" s="18"/>
      <c r="I221" s="18"/>
    </row>
    <row r="222">
      <c r="A222" s="10">
        <v>682177.0</v>
      </c>
      <c r="B222" s="11" t="s">
        <v>100</v>
      </c>
      <c r="C222" s="14">
        <v>0.025223921</v>
      </c>
      <c r="D222" s="18">
        <v>-1.043453949</v>
      </c>
      <c r="E222" s="18">
        <v>-0.174190051</v>
      </c>
      <c r="F222" s="18">
        <v>-3.062227006</v>
      </c>
      <c r="G222" s="18">
        <v>-1.344791036</v>
      </c>
      <c r="H222" s="18"/>
      <c r="I222" s="18"/>
    </row>
    <row r="223">
      <c r="A223" s="10">
        <v>527038.0</v>
      </c>
      <c r="B223" s="11" t="s">
        <v>288</v>
      </c>
      <c r="C223" s="14">
        <v>-0.019569312</v>
      </c>
      <c r="D223" s="18">
        <v>-0.513037099</v>
      </c>
      <c r="E223" s="18">
        <v>1.522778233</v>
      </c>
      <c r="F223" s="18">
        <v>-4.411337226</v>
      </c>
      <c r="G223" s="18">
        <v>-1.353968552</v>
      </c>
      <c r="H223" s="18"/>
      <c r="I223" s="18"/>
    </row>
    <row r="224">
      <c r="A224" s="10">
        <v>663457.0</v>
      </c>
      <c r="B224" s="11" t="s">
        <v>197</v>
      </c>
      <c r="C224" s="14">
        <v>-0.007503023</v>
      </c>
      <c r="D224" s="18">
        <v>0.204213259</v>
      </c>
      <c r="E224" s="18">
        <v>-2.351105894</v>
      </c>
      <c r="F224" s="18">
        <v>-3.217631303</v>
      </c>
      <c r="G224" s="18">
        <v>-1.368948294</v>
      </c>
      <c r="H224" s="18"/>
      <c r="I224" s="18"/>
    </row>
    <row r="225">
      <c r="A225" s="10">
        <v>666158.0</v>
      </c>
      <c r="B225" s="11" t="s">
        <v>284</v>
      </c>
      <c r="C225" s="14">
        <v>-0.010365153</v>
      </c>
      <c r="D225" s="18">
        <v>0.25963445</v>
      </c>
      <c r="E225" s="18">
        <v>1.184574604</v>
      </c>
      <c r="F225" s="18">
        <v>-5.346454306</v>
      </c>
      <c r="G225" s="18">
        <v>-1.382482646</v>
      </c>
      <c r="H225" s="18"/>
      <c r="I225" s="18"/>
    </row>
    <row r="226">
      <c r="A226" s="10">
        <v>694671.0</v>
      </c>
      <c r="B226" s="11" t="s">
        <v>161</v>
      </c>
      <c r="C226" s="14">
        <v>0.035275647</v>
      </c>
      <c r="D226" s="18">
        <v>-0.412922824</v>
      </c>
      <c r="E226" s="18">
        <v>-1.30070843</v>
      </c>
      <c r="F226" s="18">
        <v>-2.900469709</v>
      </c>
      <c r="G226" s="18">
        <v>-1.403307051</v>
      </c>
      <c r="H226" s="18"/>
      <c r="I226" s="18"/>
    </row>
    <row r="227">
      <c r="A227" s="10">
        <v>656811.0</v>
      </c>
      <c r="B227" s="11" t="s">
        <v>94</v>
      </c>
      <c r="C227" s="14">
        <v>0.00611642</v>
      </c>
      <c r="D227" s="18">
        <v>0.262428371</v>
      </c>
      <c r="E227" s="18">
        <v>-0.15878166</v>
      </c>
      <c r="F227" s="18">
        <v>-3.96122797</v>
      </c>
      <c r="G227" s="18">
        <v>-1.408514071</v>
      </c>
      <c r="H227" s="18"/>
      <c r="I227" s="18"/>
    </row>
    <row r="228">
      <c r="A228" s="10">
        <v>671739.0</v>
      </c>
      <c r="B228" s="11" t="s">
        <v>322</v>
      </c>
      <c r="C228" s="14">
        <v>0.026987067</v>
      </c>
      <c r="D228" s="18">
        <v>-1.01247763</v>
      </c>
      <c r="E228" s="18">
        <v>-0.999025781</v>
      </c>
      <c r="F228" s="18">
        <v>-1.796830017</v>
      </c>
      <c r="G228" s="18">
        <v>-1.408983604</v>
      </c>
      <c r="H228" s="18"/>
      <c r="I228" s="18"/>
    </row>
    <row r="229">
      <c r="A229" s="10">
        <v>808982.0</v>
      </c>
      <c r="B229" s="11" t="s">
        <v>190</v>
      </c>
      <c r="C229" s="14">
        <v>-0.02183171</v>
      </c>
      <c r="D229" s="18">
        <v>0.204017551</v>
      </c>
      <c r="E229" s="18">
        <v>-0.089605266</v>
      </c>
      <c r="F229" s="18">
        <v>-3.403392562</v>
      </c>
      <c r="G229" s="18">
        <v>-1.422891591</v>
      </c>
      <c r="H229" s="18"/>
      <c r="I229" s="18"/>
    </row>
    <row r="230">
      <c r="A230" s="10">
        <v>660271.0</v>
      </c>
      <c r="B230" s="11" t="s">
        <v>20</v>
      </c>
      <c r="C230" s="14">
        <v>0.005486199</v>
      </c>
      <c r="D230" s="18">
        <v>0.010390761</v>
      </c>
      <c r="E230" s="18">
        <v>0.354109834</v>
      </c>
      <c r="F230" s="18">
        <v>-4.299773633</v>
      </c>
      <c r="G230" s="18">
        <v>-1.512514184</v>
      </c>
      <c r="H230" s="18"/>
      <c r="I230" s="18"/>
    </row>
    <row r="231">
      <c r="A231" s="10">
        <v>669127.0</v>
      </c>
      <c r="B231" s="11" t="s">
        <v>176</v>
      </c>
      <c r="C231" s="14">
        <v>0.006119664</v>
      </c>
      <c r="D231" s="18">
        <v>-0.351409928</v>
      </c>
      <c r="E231" s="18">
        <v>-1.72064532</v>
      </c>
      <c r="F231" s="18">
        <v>-2.520161685</v>
      </c>
      <c r="G231" s="18">
        <v>-1.515218773</v>
      </c>
      <c r="H231" s="18"/>
      <c r="I231" s="18"/>
    </row>
    <row r="232">
      <c r="A232" s="10">
        <v>624413.0</v>
      </c>
      <c r="B232" s="11" t="s">
        <v>21</v>
      </c>
      <c r="C232" s="14">
        <v>-0.018650127</v>
      </c>
      <c r="D232" s="18">
        <v>-1.020026155</v>
      </c>
      <c r="E232" s="18">
        <v>-0.872559929</v>
      </c>
      <c r="F232" s="18">
        <v>-3.034261986</v>
      </c>
      <c r="G232" s="18">
        <v>-1.519327267</v>
      </c>
      <c r="H232" s="18"/>
      <c r="I232" s="18"/>
    </row>
    <row r="233">
      <c r="A233" s="10">
        <v>663886.0</v>
      </c>
      <c r="B233" s="11" t="s">
        <v>231</v>
      </c>
      <c r="C233" s="14">
        <v>-0.041165599</v>
      </c>
      <c r="D233" s="18">
        <v>1.205827512</v>
      </c>
      <c r="E233" s="18">
        <v>-2.887755675</v>
      </c>
      <c r="F233" s="18">
        <v>-4.894118727</v>
      </c>
      <c r="G233" s="18">
        <v>-1.546544224</v>
      </c>
      <c r="H233" s="18"/>
      <c r="I233" s="18"/>
    </row>
    <row r="234">
      <c r="A234" s="10">
        <v>691016.0</v>
      </c>
      <c r="B234" s="11" t="s">
        <v>122</v>
      </c>
      <c r="C234" s="14">
        <v>0.010178938</v>
      </c>
      <c r="D234" s="18">
        <v>-0.105668281</v>
      </c>
      <c r="E234" s="18">
        <v>0.638802724</v>
      </c>
      <c r="F234" s="18">
        <v>-4.45102236</v>
      </c>
      <c r="G234" s="18">
        <v>-1.557614398</v>
      </c>
      <c r="H234" s="18"/>
      <c r="I234" s="18"/>
    </row>
    <row r="235">
      <c r="A235" s="10">
        <v>677800.0</v>
      </c>
      <c r="B235" s="11" t="s">
        <v>70</v>
      </c>
      <c r="C235" s="14">
        <v>0.031919115</v>
      </c>
      <c r="D235" s="18">
        <v>-3.018152085</v>
      </c>
      <c r="E235" s="18">
        <v>-0.086422754</v>
      </c>
      <c r="F235" s="18">
        <v>-1.396299162</v>
      </c>
      <c r="G235" s="18">
        <v>-1.593185569</v>
      </c>
      <c r="H235" s="18"/>
      <c r="I235" s="18"/>
    </row>
    <row r="236">
      <c r="A236" s="10">
        <v>683011.0</v>
      </c>
      <c r="B236" s="11" t="s">
        <v>215</v>
      </c>
      <c r="C236" s="14">
        <v>0.026673669</v>
      </c>
      <c r="D236" s="18">
        <v>-0.194954533</v>
      </c>
      <c r="E236" s="18">
        <v>-0.238986287</v>
      </c>
      <c r="F236" s="18">
        <v>-3.826344621</v>
      </c>
      <c r="G236" s="18">
        <v>-1.611203088</v>
      </c>
      <c r="H236" s="18"/>
      <c r="I236" s="18"/>
    </row>
    <row r="237">
      <c r="A237" s="10">
        <v>643217.0</v>
      </c>
      <c r="B237" s="11" t="s">
        <v>144</v>
      </c>
      <c r="C237" s="14">
        <v>0.010840676</v>
      </c>
      <c r="D237" s="18">
        <v>1.234802028</v>
      </c>
      <c r="E237" s="18">
        <v>0.872515286</v>
      </c>
      <c r="F237" s="18">
        <v>-5.131545866</v>
      </c>
      <c r="G237" s="18">
        <v>-1.626514363</v>
      </c>
      <c r="H237" s="18"/>
      <c r="I237" s="18"/>
    </row>
    <row r="238">
      <c r="A238" s="10">
        <v>676572.0</v>
      </c>
      <c r="B238" s="11" t="s">
        <v>209</v>
      </c>
      <c r="C238" s="14">
        <v>-0.012637908</v>
      </c>
      <c r="D238" s="18">
        <v>0.135575848</v>
      </c>
      <c r="E238" s="18">
        <v>-0.920486037</v>
      </c>
      <c r="F238" s="18">
        <v>-3.807867385</v>
      </c>
      <c r="G238" s="18">
        <v>-1.636244848</v>
      </c>
      <c r="H238" s="18"/>
      <c r="I238" s="18"/>
    </row>
    <row r="239">
      <c r="A239" s="10">
        <v>641857.0</v>
      </c>
      <c r="B239" s="11" t="s">
        <v>201</v>
      </c>
      <c r="C239" s="14">
        <v>0.027193629</v>
      </c>
      <c r="D239" s="18">
        <v>-1.171919982</v>
      </c>
      <c r="E239" s="18">
        <v>-2.507668972</v>
      </c>
      <c r="F239" s="18">
        <v>-2.714462564</v>
      </c>
      <c r="G239" s="18">
        <v>-1.806253727</v>
      </c>
      <c r="H239" s="18"/>
      <c r="I239" s="18"/>
    </row>
    <row r="240">
      <c r="A240" s="10">
        <v>692225.0</v>
      </c>
      <c r="B240" s="11" t="s">
        <v>263</v>
      </c>
      <c r="C240" s="14">
        <v>-0.019549182</v>
      </c>
      <c r="D240" s="18">
        <v>-0.707651648</v>
      </c>
      <c r="E240" s="18">
        <v>1.157149813</v>
      </c>
      <c r="F240" s="18">
        <v>-6.598434322</v>
      </c>
      <c r="G240" s="18">
        <v>-2.064545023</v>
      </c>
      <c r="H240" s="18"/>
      <c r="I240" s="18"/>
    </row>
    <row r="241">
      <c r="A241" s="10">
        <v>700242.0</v>
      </c>
      <c r="B241" s="11" t="s">
        <v>354</v>
      </c>
      <c r="C241" s="14">
        <v>0.049527845</v>
      </c>
      <c r="D241" s="18">
        <v>-1.358803811</v>
      </c>
      <c r="E241" s="18">
        <v>-1.837671234</v>
      </c>
      <c r="F241" s="18">
        <v>-3.945471219</v>
      </c>
      <c r="G241" s="18">
        <v>-2.263683677</v>
      </c>
      <c r="H241" s="18"/>
      <c r="I241" s="18"/>
    </row>
    <row r="242">
      <c r="A242" s="10">
        <v>518692.0</v>
      </c>
      <c r="B242" s="11" t="s">
        <v>99</v>
      </c>
      <c r="C242" s="14">
        <v>0.003659365</v>
      </c>
      <c r="D242" s="18">
        <v>-1.191543303</v>
      </c>
      <c r="E242" s="18">
        <v>-2.326457663</v>
      </c>
      <c r="F242" s="18">
        <v>-4.900902805</v>
      </c>
      <c r="G242" s="18">
        <v>-2.797369392</v>
      </c>
      <c r="H242" s="18"/>
      <c r="I242" s="18"/>
    </row>
    <row r="243">
      <c r="A243" s="10"/>
      <c r="C243" s="14"/>
      <c r="D243" s="18"/>
      <c r="E243" s="18"/>
      <c r="F243" s="18"/>
      <c r="G243" s="18"/>
      <c r="H243" s="18"/>
      <c r="I243" s="18"/>
    </row>
    <row r="244">
      <c r="A244" s="10"/>
      <c r="C244" s="14"/>
      <c r="D244" s="18"/>
      <c r="E244" s="18"/>
      <c r="F244" s="18"/>
      <c r="G244" s="18"/>
      <c r="H244" s="18"/>
      <c r="I244" s="18"/>
    </row>
    <row r="245">
      <c r="A245" s="10"/>
      <c r="C245" s="14"/>
      <c r="D245" s="18"/>
      <c r="E245" s="18"/>
      <c r="F245" s="18"/>
      <c r="G245" s="18"/>
      <c r="H245" s="18"/>
      <c r="I245" s="18"/>
    </row>
    <row r="246">
      <c r="A246" s="10"/>
      <c r="C246" s="14"/>
      <c r="D246" s="18"/>
      <c r="E246" s="18"/>
      <c r="F246" s="18"/>
      <c r="G246" s="18"/>
      <c r="H246" s="18"/>
      <c r="I246" s="18"/>
    </row>
    <row r="247">
      <c r="A247" s="10"/>
      <c r="C247" s="14"/>
      <c r="D247" s="18"/>
      <c r="E247" s="18"/>
      <c r="F247" s="18"/>
      <c r="G247" s="18"/>
      <c r="H247" s="18"/>
      <c r="I247" s="18"/>
    </row>
    <row r="248">
      <c r="A248" s="10"/>
      <c r="C248" s="14"/>
      <c r="D248" s="18"/>
      <c r="E248" s="18"/>
      <c r="F248" s="18"/>
      <c r="G248" s="18"/>
      <c r="H248" s="18"/>
      <c r="I248" s="18"/>
    </row>
    <row r="249">
      <c r="A249" s="10"/>
      <c r="C249" s="14"/>
      <c r="D249" s="18"/>
      <c r="E249" s="18"/>
      <c r="F249" s="18"/>
      <c r="G249" s="18"/>
      <c r="H249" s="18"/>
      <c r="I249" s="18"/>
    </row>
    <row r="250">
      <c r="A250" s="10"/>
      <c r="C250" s="14"/>
      <c r="D250" s="18"/>
      <c r="E250" s="18"/>
      <c r="F250" s="18"/>
      <c r="G250" s="18"/>
      <c r="H250" s="18"/>
      <c r="I250" s="18"/>
    </row>
    <row r="251">
      <c r="A251" s="10"/>
      <c r="C251" s="14"/>
      <c r="D251" s="18"/>
      <c r="E251" s="18"/>
      <c r="F251" s="18"/>
      <c r="G251" s="18"/>
      <c r="H251" s="18"/>
      <c r="I251" s="18"/>
    </row>
    <row r="252">
      <c r="A252" s="10"/>
      <c r="C252" s="14"/>
      <c r="D252" s="18"/>
      <c r="E252" s="18"/>
      <c r="F252" s="18"/>
      <c r="G252" s="18"/>
      <c r="H252" s="18"/>
      <c r="I252" s="18"/>
    </row>
    <row r="253">
      <c r="A253" s="10"/>
      <c r="C253" s="14"/>
      <c r="D253" s="18"/>
      <c r="E253" s="18"/>
      <c r="F253" s="18"/>
      <c r="G253" s="18"/>
      <c r="H253" s="18"/>
      <c r="I253" s="18"/>
    </row>
    <row r="254">
      <c r="A254" s="10"/>
      <c r="C254" s="14"/>
      <c r="D254" s="18"/>
      <c r="E254" s="18"/>
      <c r="F254" s="18"/>
      <c r="G254" s="18"/>
      <c r="H254" s="18"/>
      <c r="I254" s="18"/>
    </row>
    <row r="255">
      <c r="A255" s="10"/>
      <c r="C255" s="14"/>
      <c r="D255" s="18"/>
      <c r="E255" s="18"/>
      <c r="F255" s="18"/>
      <c r="G255" s="18"/>
      <c r="H255" s="18"/>
      <c r="I255" s="18"/>
    </row>
    <row r="256">
      <c r="A256" s="10"/>
      <c r="C256" s="14"/>
      <c r="D256" s="18"/>
      <c r="E256" s="18"/>
      <c r="F256" s="18"/>
      <c r="G256" s="18"/>
      <c r="H256" s="18"/>
      <c r="I256" s="18"/>
    </row>
    <row r="257">
      <c r="A257" s="10"/>
      <c r="C257" s="14"/>
      <c r="D257" s="18"/>
      <c r="E257" s="18"/>
      <c r="F257" s="18"/>
      <c r="G257" s="18"/>
      <c r="H257" s="18"/>
      <c r="I257" s="18"/>
    </row>
    <row r="258">
      <c r="A258" s="10"/>
      <c r="C258" s="14"/>
      <c r="D258" s="18"/>
      <c r="E258" s="18"/>
      <c r="F258" s="18"/>
      <c r="G258" s="18"/>
      <c r="H258" s="18"/>
      <c r="I258" s="18"/>
    </row>
    <row r="259">
      <c r="A259" s="10"/>
      <c r="C259" s="14"/>
      <c r="D259" s="18"/>
      <c r="E259" s="18"/>
      <c r="F259" s="18"/>
      <c r="G259" s="18"/>
      <c r="H259" s="18"/>
      <c r="I259" s="18"/>
    </row>
    <row r="260">
      <c r="A260" s="10"/>
      <c r="C260" s="14"/>
      <c r="D260" s="18"/>
      <c r="E260" s="18"/>
      <c r="F260" s="18"/>
      <c r="G260" s="18"/>
      <c r="H260" s="18"/>
      <c r="I260" s="18"/>
    </row>
    <row r="261">
      <c r="A261" s="10"/>
      <c r="C261" s="14"/>
      <c r="D261" s="18"/>
      <c r="E261" s="18"/>
      <c r="F261" s="18"/>
      <c r="G261" s="18"/>
      <c r="H261" s="18"/>
      <c r="I261" s="18"/>
    </row>
    <row r="262">
      <c r="A262" s="10"/>
      <c r="C262" s="14"/>
      <c r="D262" s="18"/>
      <c r="E262" s="18"/>
      <c r="F262" s="18"/>
      <c r="G262" s="18"/>
      <c r="H262" s="18"/>
      <c r="I262" s="18"/>
    </row>
    <row r="263">
      <c r="A263" s="10"/>
      <c r="C263" s="14"/>
      <c r="D263" s="18"/>
      <c r="E263" s="18"/>
      <c r="F263" s="18"/>
      <c r="G263" s="18"/>
      <c r="H263" s="18"/>
      <c r="I263" s="18"/>
    </row>
    <row r="264">
      <c r="A264" s="10"/>
      <c r="C264" s="14"/>
      <c r="D264" s="18"/>
      <c r="E264" s="18"/>
      <c r="F264" s="18"/>
      <c r="G264" s="18"/>
      <c r="H264" s="18"/>
      <c r="I264" s="18"/>
    </row>
    <row r="265">
      <c r="A265" s="10"/>
      <c r="C265" s="14"/>
      <c r="D265" s="18"/>
      <c r="E265" s="18"/>
      <c r="F265" s="18"/>
      <c r="G265" s="18"/>
      <c r="H265" s="18"/>
      <c r="I265" s="18"/>
    </row>
    <row r="266">
      <c r="A266" s="10"/>
      <c r="C266" s="14"/>
      <c r="D266" s="18"/>
      <c r="E266" s="18"/>
      <c r="F266" s="18"/>
      <c r="G266" s="18"/>
      <c r="H266" s="18"/>
      <c r="I266" s="18"/>
    </row>
    <row r="267">
      <c r="A267" s="10"/>
      <c r="C267" s="14"/>
      <c r="D267" s="18"/>
      <c r="E267" s="18"/>
      <c r="F267" s="18"/>
      <c r="G267" s="18"/>
      <c r="H267" s="18"/>
      <c r="I267" s="18"/>
    </row>
    <row r="268">
      <c r="A268" s="10"/>
      <c r="C268" s="14"/>
      <c r="D268" s="18"/>
      <c r="E268" s="18"/>
      <c r="F268" s="18"/>
      <c r="G268" s="18"/>
      <c r="H268" s="18"/>
      <c r="I268" s="18"/>
    </row>
    <row r="269">
      <c r="A269" s="10"/>
      <c r="C269" s="14"/>
      <c r="D269" s="18"/>
      <c r="E269" s="18"/>
      <c r="F269" s="18"/>
      <c r="G269" s="18"/>
      <c r="H269" s="18"/>
      <c r="I269" s="18"/>
    </row>
    <row r="270">
      <c r="A270" s="10"/>
      <c r="C270" s="14"/>
      <c r="D270" s="18"/>
      <c r="E270" s="18"/>
      <c r="F270" s="18"/>
      <c r="G270" s="18"/>
      <c r="H270" s="18"/>
      <c r="I270" s="18"/>
    </row>
    <row r="271">
      <c r="A271" s="10"/>
      <c r="C271" s="14"/>
      <c r="D271" s="18"/>
      <c r="E271" s="18"/>
      <c r="F271" s="18"/>
      <c r="G271" s="18"/>
      <c r="H271" s="18"/>
      <c r="I271" s="18"/>
    </row>
    <row r="272">
      <c r="A272" s="10"/>
      <c r="C272" s="14"/>
      <c r="D272" s="18"/>
      <c r="E272" s="18"/>
      <c r="F272" s="18"/>
      <c r="G272" s="18"/>
      <c r="H272" s="18"/>
      <c r="I272" s="18"/>
    </row>
    <row r="273">
      <c r="A273" s="10"/>
      <c r="C273" s="14"/>
      <c r="D273" s="18"/>
      <c r="E273" s="18"/>
      <c r="F273" s="18"/>
      <c r="G273" s="18"/>
      <c r="H273" s="18"/>
      <c r="I273" s="18"/>
    </row>
    <row r="274">
      <c r="A274" s="10"/>
      <c r="C274" s="14"/>
      <c r="D274" s="18"/>
      <c r="E274" s="18"/>
      <c r="F274" s="18"/>
      <c r="G274" s="18"/>
      <c r="H274" s="18"/>
      <c r="I274" s="18"/>
    </row>
    <row r="275">
      <c r="A275" s="10"/>
      <c r="C275" s="14"/>
      <c r="D275" s="18"/>
      <c r="E275" s="18"/>
      <c r="F275" s="18"/>
      <c r="G275" s="18"/>
      <c r="H275" s="18"/>
      <c r="I275" s="18"/>
    </row>
    <row r="276">
      <c r="A276" s="10"/>
      <c r="C276" s="14"/>
      <c r="D276" s="18"/>
      <c r="E276" s="18"/>
      <c r="F276" s="18"/>
      <c r="G276" s="18"/>
      <c r="H276" s="18"/>
      <c r="I276" s="18"/>
    </row>
    <row r="277">
      <c r="A277" s="10"/>
      <c r="C277" s="14"/>
      <c r="D277" s="18"/>
      <c r="E277" s="18"/>
      <c r="F277" s="18"/>
      <c r="G277" s="18"/>
      <c r="H277" s="18"/>
      <c r="I277" s="18"/>
    </row>
    <row r="278">
      <c r="A278" s="10"/>
      <c r="C278" s="14"/>
      <c r="D278" s="18"/>
      <c r="E278" s="18"/>
      <c r="F278" s="18"/>
      <c r="G278" s="18"/>
      <c r="H278" s="18"/>
      <c r="I278" s="18"/>
    </row>
    <row r="279">
      <c r="A279" s="10"/>
      <c r="C279" s="14"/>
      <c r="D279" s="18"/>
      <c r="E279" s="18"/>
      <c r="F279" s="18"/>
      <c r="G279" s="18"/>
      <c r="H279" s="18"/>
      <c r="I279" s="18"/>
    </row>
    <row r="280">
      <c r="A280" s="10"/>
      <c r="C280" s="14"/>
      <c r="D280" s="18"/>
      <c r="E280" s="18"/>
      <c r="F280" s="18"/>
      <c r="G280" s="18"/>
      <c r="H280" s="18"/>
      <c r="I280" s="18"/>
    </row>
    <row r="281">
      <c r="A281" s="10"/>
      <c r="C281" s="14"/>
      <c r="D281" s="18"/>
      <c r="E281" s="18"/>
      <c r="F281" s="18"/>
      <c r="G281" s="18"/>
      <c r="H281" s="18"/>
      <c r="I281" s="18"/>
    </row>
    <row r="282">
      <c r="A282" s="10"/>
      <c r="C282" s="14"/>
      <c r="D282" s="18"/>
      <c r="E282" s="18"/>
      <c r="F282" s="18"/>
      <c r="G282" s="18"/>
      <c r="H282" s="18"/>
      <c r="I282" s="18"/>
    </row>
    <row r="283">
      <c r="A283" s="10"/>
      <c r="C283" s="14"/>
      <c r="D283" s="18"/>
      <c r="E283" s="18"/>
      <c r="F283" s="18"/>
      <c r="G283" s="18"/>
      <c r="H283" s="18"/>
      <c r="I283" s="18"/>
    </row>
    <row r="284">
      <c r="A284" s="10"/>
      <c r="C284" s="14"/>
      <c r="D284" s="18"/>
      <c r="E284" s="18"/>
      <c r="F284" s="18"/>
      <c r="G284" s="18"/>
      <c r="H284" s="18"/>
      <c r="I284" s="18"/>
    </row>
    <row r="285">
      <c r="A285" s="10"/>
      <c r="C285" s="14"/>
      <c r="D285" s="18"/>
      <c r="E285" s="18"/>
      <c r="F285" s="18"/>
      <c r="G285" s="18"/>
      <c r="H285" s="18"/>
      <c r="I285" s="18"/>
    </row>
    <row r="286">
      <c r="A286" s="10"/>
      <c r="C286" s="14"/>
      <c r="D286" s="18"/>
      <c r="E286" s="18"/>
      <c r="F286" s="18"/>
      <c r="G286" s="18"/>
      <c r="H286" s="18"/>
      <c r="I286" s="18"/>
    </row>
    <row r="287">
      <c r="A287" s="10"/>
      <c r="C287" s="14"/>
      <c r="D287" s="18"/>
      <c r="E287" s="18"/>
      <c r="F287" s="18"/>
      <c r="G287" s="18"/>
      <c r="H287" s="18"/>
      <c r="I287" s="18"/>
    </row>
    <row r="288">
      <c r="A288" s="10"/>
      <c r="C288" s="14"/>
      <c r="D288" s="18"/>
      <c r="E288" s="18"/>
      <c r="F288" s="18"/>
      <c r="G288" s="18"/>
      <c r="H288" s="18"/>
      <c r="I288" s="18"/>
    </row>
    <row r="289">
      <c r="A289" s="10"/>
      <c r="C289" s="14"/>
      <c r="D289" s="18"/>
      <c r="E289" s="18"/>
      <c r="F289" s="18"/>
      <c r="G289" s="18"/>
      <c r="H289" s="18"/>
      <c r="I289" s="18"/>
    </row>
    <row r="290">
      <c r="A290" s="10"/>
      <c r="C290" s="14"/>
      <c r="D290" s="18"/>
      <c r="E290" s="18"/>
      <c r="F290" s="18"/>
      <c r="G290" s="18"/>
      <c r="H290" s="18"/>
      <c r="I290" s="18"/>
    </row>
    <row r="291">
      <c r="A291" s="10"/>
      <c r="C291" s="14"/>
      <c r="D291" s="18"/>
      <c r="E291" s="18"/>
      <c r="F291" s="18"/>
      <c r="G291" s="18"/>
      <c r="H291" s="18"/>
      <c r="I291" s="18"/>
    </row>
    <row r="292">
      <c r="A292" s="10"/>
      <c r="C292" s="14"/>
      <c r="D292" s="18"/>
      <c r="E292" s="18"/>
      <c r="F292" s="18"/>
      <c r="G292" s="18"/>
      <c r="H292" s="18"/>
      <c r="I292" s="18"/>
    </row>
    <row r="293">
      <c r="A293" s="10"/>
      <c r="C293" s="14"/>
      <c r="D293" s="18"/>
      <c r="E293" s="18"/>
      <c r="F293" s="18"/>
      <c r="G293" s="18"/>
      <c r="H293" s="18"/>
      <c r="I293" s="18"/>
    </row>
    <row r="294">
      <c r="A294" s="10"/>
      <c r="C294" s="14"/>
      <c r="D294" s="18"/>
      <c r="E294" s="18"/>
      <c r="F294" s="18"/>
      <c r="G294" s="18"/>
      <c r="H294" s="18"/>
      <c r="I294" s="18"/>
    </row>
    <row r="295">
      <c r="A295" s="10"/>
      <c r="C295" s="14"/>
      <c r="D295" s="18"/>
      <c r="E295" s="18"/>
      <c r="F295" s="18"/>
      <c r="G295" s="18"/>
      <c r="H295" s="18"/>
      <c r="I295" s="18"/>
    </row>
    <row r="296">
      <c r="A296" s="10"/>
      <c r="C296" s="14"/>
      <c r="D296" s="18"/>
      <c r="E296" s="18"/>
      <c r="F296" s="18"/>
      <c r="G296" s="18"/>
      <c r="H296" s="18"/>
      <c r="I296" s="18"/>
    </row>
    <row r="297">
      <c r="A297" s="10"/>
      <c r="C297" s="14"/>
      <c r="D297" s="18"/>
      <c r="E297" s="18"/>
      <c r="F297" s="18"/>
      <c r="G297" s="18"/>
      <c r="H297" s="18"/>
      <c r="I297" s="18"/>
    </row>
    <row r="298">
      <c r="A298" s="10"/>
      <c r="C298" s="14"/>
      <c r="D298" s="18"/>
      <c r="E298" s="18"/>
      <c r="F298" s="18"/>
      <c r="G298" s="18"/>
      <c r="H298" s="18"/>
      <c r="I298" s="18"/>
    </row>
    <row r="299">
      <c r="A299" s="10"/>
      <c r="C299" s="14"/>
      <c r="D299" s="18"/>
      <c r="E299" s="18"/>
      <c r="F299" s="18"/>
      <c r="G299" s="18"/>
      <c r="H299" s="18"/>
      <c r="I299" s="18"/>
    </row>
    <row r="300">
      <c r="A300" s="10"/>
      <c r="C300" s="14"/>
      <c r="D300" s="18"/>
      <c r="E300" s="18"/>
      <c r="F300" s="18"/>
      <c r="G300" s="18"/>
      <c r="H300" s="18"/>
      <c r="I300" s="18"/>
    </row>
    <row r="301">
      <c r="A301" s="10"/>
      <c r="C301" s="14"/>
      <c r="D301" s="18"/>
      <c r="E301" s="18"/>
      <c r="F301" s="18"/>
      <c r="G301" s="18"/>
      <c r="H301" s="18"/>
      <c r="I301" s="18"/>
    </row>
    <row r="302">
      <c r="A302" s="10"/>
      <c r="C302" s="14"/>
      <c r="D302" s="18"/>
      <c r="E302" s="18"/>
      <c r="F302" s="18"/>
      <c r="G302" s="18"/>
      <c r="H302" s="18"/>
      <c r="I302" s="18"/>
    </row>
    <row r="303">
      <c r="A303" s="10"/>
      <c r="C303" s="14"/>
      <c r="D303" s="18"/>
      <c r="E303" s="18"/>
      <c r="F303" s="18"/>
      <c r="G303" s="18"/>
      <c r="H303" s="18"/>
      <c r="I303" s="18"/>
    </row>
    <row r="304">
      <c r="A304" s="10"/>
      <c r="C304" s="14"/>
      <c r="D304" s="18"/>
      <c r="E304" s="18"/>
      <c r="F304" s="18"/>
      <c r="G304" s="18"/>
      <c r="H304" s="18"/>
      <c r="I304" s="18"/>
    </row>
    <row r="305">
      <c r="A305" s="10"/>
      <c r="C305" s="14"/>
      <c r="D305" s="18"/>
      <c r="E305" s="18"/>
      <c r="F305" s="18"/>
      <c r="G305" s="18"/>
      <c r="H305" s="18"/>
      <c r="I305" s="18"/>
    </row>
    <row r="306">
      <c r="A306" s="10"/>
      <c r="C306" s="14"/>
      <c r="D306" s="18"/>
      <c r="E306" s="18"/>
      <c r="F306" s="18"/>
      <c r="G306" s="18"/>
      <c r="H306" s="18"/>
      <c r="I306" s="18"/>
    </row>
    <row r="307">
      <c r="A307" s="10"/>
      <c r="C307" s="14"/>
      <c r="D307" s="18"/>
      <c r="E307" s="18"/>
      <c r="F307" s="18"/>
      <c r="G307" s="18"/>
      <c r="H307" s="18"/>
      <c r="I307" s="18"/>
    </row>
    <row r="308">
      <c r="A308" s="10"/>
      <c r="C308" s="14"/>
      <c r="D308" s="18"/>
      <c r="E308" s="18"/>
      <c r="F308" s="18"/>
      <c r="G308" s="18"/>
      <c r="H308" s="18"/>
      <c r="I308" s="18"/>
    </row>
    <row r="309">
      <c r="A309" s="10"/>
      <c r="C309" s="14"/>
      <c r="D309" s="18"/>
      <c r="E309" s="18"/>
      <c r="F309" s="18"/>
      <c r="G309" s="18"/>
      <c r="H309" s="18"/>
      <c r="I309" s="18"/>
    </row>
    <row r="310">
      <c r="A310" s="10"/>
      <c r="C310" s="14"/>
      <c r="D310" s="18"/>
      <c r="E310" s="18"/>
      <c r="F310" s="18"/>
      <c r="G310" s="18"/>
      <c r="H310" s="18"/>
      <c r="I310" s="18"/>
    </row>
    <row r="311">
      <c r="A311" s="10"/>
      <c r="C311" s="14"/>
      <c r="D311" s="18"/>
      <c r="E311" s="18"/>
      <c r="F311" s="18"/>
      <c r="G311" s="18"/>
      <c r="H311" s="18"/>
      <c r="I311" s="18"/>
    </row>
    <row r="312">
      <c r="A312" s="10"/>
      <c r="C312" s="14"/>
      <c r="D312" s="18"/>
      <c r="E312" s="18"/>
      <c r="F312" s="18"/>
      <c r="G312" s="18"/>
      <c r="H312" s="18"/>
      <c r="I312" s="18"/>
    </row>
    <row r="313">
      <c r="A313" s="10"/>
      <c r="C313" s="14"/>
      <c r="D313" s="18"/>
      <c r="E313" s="18"/>
      <c r="F313" s="18"/>
      <c r="G313" s="18"/>
      <c r="H313" s="18"/>
      <c r="I313" s="18"/>
    </row>
    <row r="314">
      <c r="A314" s="10"/>
      <c r="C314" s="14"/>
      <c r="D314" s="18"/>
      <c r="E314" s="18"/>
      <c r="F314" s="18"/>
      <c r="G314" s="18"/>
      <c r="H314" s="18"/>
      <c r="I314" s="18"/>
    </row>
    <row r="315">
      <c r="A315" s="10"/>
      <c r="C315" s="14"/>
      <c r="D315" s="18"/>
      <c r="E315" s="18"/>
      <c r="F315" s="18"/>
      <c r="G315" s="18"/>
      <c r="H315" s="18"/>
      <c r="I315" s="18"/>
    </row>
    <row r="316">
      <c r="A316" s="10"/>
      <c r="C316" s="14"/>
      <c r="D316" s="18"/>
      <c r="E316" s="18"/>
      <c r="F316" s="18"/>
      <c r="G316" s="18"/>
      <c r="H316" s="18"/>
      <c r="I316" s="18"/>
    </row>
    <row r="317">
      <c r="A317" s="10"/>
      <c r="C317" s="14"/>
      <c r="D317" s="18"/>
      <c r="E317" s="18"/>
      <c r="F317" s="18"/>
      <c r="G317" s="18"/>
      <c r="H317" s="18"/>
      <c r="I317" s="18"/>
    </row>
    <row r="318">
      <c r="A318" s="10"/>
      <c r="C318" s="14"/>
      <c r="D318" s="18"/>
      <c r="E318" s="18"/>
      <c r="F318" s="18"/>
      <c r="G318" s="18"/>
      <c r="H318" s="18"/>
      <c r="I318" s="18"/>
    </row>
    <row r="319">
      <c r="A319" s="10"/>
      <c r="C319" s="14"/>
      <c r="D319" s="18"/>
      <c r="E319" s="18"/>
      <c r="F319" s="18"/>
      <c r="G319" s="18"/>
      <c r="H319" s="18"/>
      <c r="I319" s="18"/>
    </row>
    <row r="320">
      <c r="A320" s="10"/>
      <c r="C320" s="14"/>
      <c r="D320" s="18"/>
      <c r="E320" s="18"/>
      <c r="F320" s="18"/>
      <c r="G320" s="18"/>
      <c r="H320" s="18"/>
      <c r="I320" s="18"/>
    </row>
    <row r="321">
      <c r="A321" s="10"/>
      <c r="C321" s="14"/>
      <c r="D321" s="18"/>
      <c r="E321" s="18"/>
      <c r="F321" s="18"/>
      <c r="G321" s="18"/>
      <c r="H321" s="18"/>
      <c r="I321" s="18"/>
    </row>
    <row r="322">
      <c r="A322" s="10"/>
      <c r="C322" s="14"/>
      <c r="D322" s="18"/>
      <c r="E322" s="18"/>
      <c r="F322" s="18"/>
      <c r="G322" s="18"/>
      <c r="H322" s="18"/>
      <c r="I322" s="18"/>
    </row>
    <row r="323">
      <c r="A323" s="10"/>
      <c r="C323" s="14"/>
      <c r="D323" s="18"/>
      <c r="E323" s="18"/>
      <c r="F323" s="18"/>
      <c r="G323" s="18"/>
      <c r="H323" s="18"/>
      <c r="I323" s="18"/>
    </row>
    <row r="324">
      <c r="A324" s="10"/>
      <c r="C324" s="14"/>
      <c r="D324" s="18"/>
      <c r="E324" s="18"/>
      <c r="F324" s="18"/>
      <c r="G324" s="18"/>
      <c r="H324" s="18"/>
      <c r="I324" s="18"/>
    </row>
    <row r="325">
      <c r="A325" s="10"/>
      <c r="C325" s="14"/>
      <c r="D325" s="18"/>
      <c r="E325" s="18"/>
      <c r="F325" s="18"/>
      <c r="G325" s="18"/>
      <c r="H325" s="18"/>
      <c r="I325" s="18"/>
    </row>
    <row r="326">
      <c r="A326" s="10"/>
      <c r="C326" s="14"/>
      <c r="D326" s="18"/>
      <c r="E326" s="18"/>
      <c r="F326" s="18"/>
      <c r="G326" s="18"/>
      <c r="H326" s="18"/>
      <c r="I326" s="18"/>
    </row>
    <row r="327">
      <c r="A327" s="10"/>
      <c r="C327" s="14"/>
      <c r="D327" s="18"/>
      <c r="E327" s="18"/>
      <c r="F327" s="18"/>
      <c r="G327" s="18"/>
      <c r="H327" s="18"/>
      <c r="I327" s="18"/>
    </row>
    <row r="328">
      <c r="A328" s="10"/>
      <c r="C328" s="14"/>
      <c r="D328" s="18"/>
      <c r="E328" s="18"/>
      <c r="F328" s="18"/>
      <c r="G328" s="18"/>
      <c r="H328" s="18"/>
      <c r="I328" s="18"/>
    </row>
    <row r="329">
      <c r="A329" s="10"/>
      <c r="C329" s="14"/>
      <c r="D329" s="18"/>
      <c r="E329" s="18"/>
      <c r="F329" s="18"/>
      <c r="G329" s="18"/>
      <c r="H329" s="18"/>
      <c r="I329" s="18"/>
    </row>
    <row r="330">
      <c r="A330" s="10"/>
      <c r="C330" s="14"/>
      <c r="D330" s="18"/>
      <c r="E330" s="18"/>
      <c r="F330" s="18"/>
      <c r="G330" s="18"/>
      <c r="H330" s="18"/>
      <c r="I330" s="18"/>
    </row>
    <row r="331">
      <c r="A331" s="10"/>
      <c r="C331" s="14"/>
      <c r="D331" s="18"/>
      <c r="E331" s="18"/>
      <c r="F331" s="18"/>
      <c r="G331" s="18"/>
      <c r="H331" s="18"/>
      <c r="I331" s="18"/>
    </row>
    <row r="332">
      <c r="A332" s="10"/>
      <c r="C332" s="14"/>
      <c r="D332" s="18"/>
      <c r="E332" s="18"/>
      <c r="F332" s="18"/>
      <c r="G332" s="18"/>
      <c r="H332" s="18"/>
      <c r="I332" s="18"/>
    </row>
    <row r="333">
      <c r="A333" s="10"/>
      <c r="C333" s="14"/>
      <c r="D333" s="18"/>
      <c r="E333" s="18"/>
      <c r="F333" s="18"/>
      <c r="G333" s="18"/>
      <c r="H333" s="18"/>
      <c r="I333" s="18"/>
    </row>
    <row r="334">
      <c r="A334" s="10"/>
      <c r="C334" s="14"/>
      <c r="D334" s="18"/>
      <c r="E334" s="18"/>
      <c r="F334" s="18"/>
      <c r="G334" s="18"/>
      <c r="H334" s="18"/>
      <c r="I334" s="18"/>
    </row>
    <row r="335">
      <c r="A335" s="10"/>
      <c r="C335" s="14"/>
      <c r="D335" s="18"/>
      <c r="E335" s="18"/>
      <c r="F335" s="18"/>
      <c r="G335" s="18"/>
      <c r="H335" s="18"/>
      <c r="I335" s="18"/>
    </row>
    <row r="336">
      <c r="A336" s="10"/>
      <c r="C336" s="14"/>
      <c r="D336" s="18"/>
      <c r="E336" s="18"/>
      <c r="F336" s="18"/>
      <c r="G336" s="18"/>
      <c r="H336" s="18"/>
      <c r="I336" s="18"/>
    </row>
    <row r="337">
      <c r="A337" s="10"/>
      <c r="C337" s="14"/>
      <c r="D337" s="18"/>
      <c r="E337" s="18"/>
      <c r="F337" s="18"/>
      <c r="G337" s="18"/>
      <c r="H337" s="18"/>
      <c r="I337" s="18"/>
    </row>
    <row r="338">
      <c r="A338" s="10"/>
      <c r="C338" s="14"/>
      <c r="D338" s="18"/>
      <c r="E338" s="18"/>
      <c r="F338" s="18"/>
      <c r="G338" s="18"/>
      <c r="H338" s="18"/>
      <c r="I338" s="18"/>
    </row>
    <row r="339">
      <c r="A339" s="10"/>
      <c r="C339" s="14"/>
      <c r="D339" s="18"/>
      <c r="E339" s="18"/>
      <c r="F339" s="18"/>
      <c r="G339" s="18"/>
      <c r="H339" s="18"/>
      <c r="I339" s="18"/>
    </row>
    <row r="340">
      <c r="A340" s="10"/>
      <c r="C340" s="14"/>
      <c r="D340" s="18"/>
      <c r="E340" s="18"/>
      <c r="F340" s="18"/>
      <c r="G340" s="18"/>
      <c r="H340" s="18"/>
      <c r="I340" s="18"/>
    </row>
    <row r="341">
      <c r="A341" s="10"/>
      <c r="C341" s="14"/>
      <c r="D341" s="18"/>
      <c r="E341" s="18"/>
      <c r="F341" s="18"/>
      <c r="G341" s="18"/>
      <c r="H341" s="18"/>
      <c r="I341" s="18"/>
    </row>
    <row r="342">
      <c r="A342" s="10"/>
      <c r="C342" s="14"/>
      <c r="D342" s="18"/>
      <c r="E342" s="18"/>
      <c r="F342" s="18"/>
      <c r="G342" s="18"/>
      <c r="H342" s="18"/>
      <c r="I342" s="18"/>
    </row>
    <row r="343">
      <c r="A343" s="10"/>
      <c r="C343" s="14"/>
      <c r="D343" s="18"/>
      <c r="E343" s="18"/>
      <c r="F343" s="18"/>
      <c r="G343" s="18"/>
      <c r="H343" s="18"/>
      <c r="I343" s="18"/>
    </row>
    <row r="344">
      <c r="A344" s="10"/>
      <c r="C344" s="14"/>
      <c r="D344" s="18"/>
      <c r="E344" s="18"/>
      <c r="F344" s="18"/>
      <c r="G344" s="18"/>
      <c r="H344" s="18"/>
      <c r="I344" s="18"/>
    </row>
    <row r="345">
      <c r="A345" s="10"/>
      <c r="C345" s="14"/>
      <c r="D345" s="18"/>
      <c r="E345" s="18"/>
      <c r="F345" s="18"/>
      <c r="G345" s="18"/>
      <c r="H345" s="18"/>
      <c r="I345" s="18"/>
    </row>
    <row r="346">
      <c r="A346" s="10"/>
      <c r="C346" s="14"/>
      <c r="D346" s="18"/>
      <c r="E346" s="18"/>
      <c r="F346" s="18"/>
      <c r="G346" s="18"/>
      <c r="H346" s="18"/>
      <c r="I346" s="18"/>
    </row>
    <row r="347">
      <c r="A347" s="10"/>
      <c r="C347" s="14"/>
      <c r="D347" s="18"/>
      <c r="E347" s="18"/>
      <c r="F347" s="18"/>
      <c r="G347" s="18"/>
      <c r="H347" s="18"/>
      <c r="I347" s="18"/>
    </row>
    <row r="348">
      <c r="A348" s="10"/>
      <c r="C348" s="14"/>
      <c r="D348" s="18"/>
      <c r="E348" s="18"/>
      <c r="F348" s="18"/>
      <c r="G348" s="18"/>
      <c r="H348" s="18"/>
      <c r="I348" s="18"/>
    </row>
    <row r="349">
      <c r="A349" s="10"/>
      <c r="C349" s="14"/>
      <c r="D349" s="18"/>
      <c r="E349" s="18"/>
      <c r="F349" s="18"/>
      <c r="G349" s="18"/>
      <c r="H349" s="18"/>
      <c r="I349" s="18"/>
    </row>
    <row r="350">
      <c r="A350" s="10"/>
      <c r="C350" s="14"/>
      <c r="D350" s="18"/>
      <c r="E350" s="18"/>
      <c r="F350" s="18"/>
      <c r="G350" s="18"/>
      <c r="H350" s="18"/>
      <c r="I350" s="18"/>
    </row>
    <row r="351">
      <c r="A351" s="10"/>
      <c r="C351" s="14"/>
      <c r="D351" s="18"/>
      <c r="E351" s="18"/>
      <c r="F351" s="18"/>
      <c r="G351" s="18"/>
      <c r="H351" s="18"/>
      <c r="I351" s="18"/>
    </row>
    <row r="352">
      <c r="A352" s="10"/>
      <c r="C352" s="14"/>
      <c r="D352" s="18"/>
      <c r="E352" s="18"/>
      <c r="F352" s="18"/>
      <c r="G352" s="18"/>
      <c r="H352" s="18"/>
      <c r="I352" s="18"/>
    </row>
    <row r="353">
      <c r="A353" s="10"/>
      <c r="C353" s="14"/>
      <c r="D353" s="18"/>
      <c r="E353" s="18"/>
      <c r="F353" s="18"/>
      <c r="G353" s="18"/>
      <c r="H353" s="18"/>
      <c r="I353" s="18"/>
    </row>
    <row r="354">
      <c r="A354" s="10"/>
      <c r="C354" s="14"/>
      <c r="D354" s="18"/>
      <c r="E354" s="18"/>
      <c r="F354" s="18"/>
      <c r="G354" s="18"/>
      <c r="H354" s="18"/>
      <c r="I354" s="18"/>
    </row>
    <row r="355">
      <c r="A355" s="10"/>
      <c r="C355" s="14"/>
      <c r="D355" s="18"/>
      <c r="E355" s="18"/>
      <c r="F355" s="18"/>
      <c r="G355" s="18"/>
      <c r="H355" s="18"/>
      <c r="I355" s="18"/>
    </row>
    <row r="356">
      <c r="A356" s="10"/>
      <c r="C356" s="14"/>
      <c r="D356" s="18"/>
      <c r="E356" s="18"/>
      <c r="F356" s="18"/>
      <c r="G356" s="18"/>
      <c r="H356" s="18"/>
      <c r="I356" s="18"/>
    </row>
    <row r="357">
      <c r="A357" s="10"/>
      <c r="C357" s="14"/>
      <c r="D357" s="18"/>
      <c r="E357" s="18"/>
      <c r="F357" s="18"/>
      <c r="G357" s="18"/>
      <c r="H357" s="18"/>
      <c r="I357" s="18"/>
    </row>
    <row r="358">
      <c r="A358" s="10"/>
      <c r="C358" s="14"/>
      <c r="D358" s="18"/>
      <c r="E358" s="18"/>
      <c r="F358" s="18"/>
      <c r="G358" s="18"/>
      <c r="H358" s="18"/>
      <c r="I358" s="18"/>
    </row>
    <row r="359">
      <c r="A359" s="10"/>
      <c r="C359" s="14"/>
      <c r="D359" s="18"/>
      <c r="E359" s="18"/>
      <c r="F359" s="18"/>
      <c r="G359" s="18"/>
      <c r="H359" s="18"/>
      <c r="I359" s="18"/>
    </row>
    <row r="360">
      <c r="A360" s="10"/>
      <c r="C360" s="14"/>
      <c r="D360" s="18"/>
      <c r="E360" s="18"/>
      <c r="F360" s="18"/>
      <c r="G360" s="18"/>
      <c r="H360" s="18"/>
      <c r="I360" s="18"/>
    </row>
    <row r="361">
      <c r="A361" s="10"/>
      <c r="C361" s="14"/>
      <c r="D361" s="18"/>
      <c r="E361" s="18"/>
      <c r="F361" s="18"/>
      <c r="G361" s="18"/>
      <c r="H361" s="18"/>
      <c r="I361" s="18"/>
    </row>
    <row r="362">
      <c r="A362" s="10"/>
      <c r="C362" s="14"/>
      <c r="D362" s="18"/>
      <c r="E362" s="18"/>
      <c r="F362" s="18"/>
      <c r="G362" s="18"/>
      <c r="H362" s="18"/>
      <c r="I362" s="18"/>
    </row>
    <row r="363">
      <c r="A363" s="10"/>
      <c r="C363" s="14"/>
      <c r="D363" s="18"/>
      <c r="E363" s="18"/>
      <c r="F363" s="18"/>
      <c r="G363" s="18"/>
      <c r="H363" s="18"/>
      <c r="I363" s="18"/>
    </row>
    <row r="364">
      <c r="A364" s="10"/>
      <c r="C364" s="14"/>
      <c r="D364" s="18"/>
      <c r="E364" s="18"/>
      <c r="F364" s="18"/>
      <c r="G364" s="18"/>
      <c r="H364" s="18"/>
      <c r="I364" s="18"/>
    </row>
    <row r="365">
      <c r="A365" s="10"/>
      <c r="C365" s="14"/>
      <c r="D365" s="18"/>
      <c r="E365" s="18"/>
      <c r="F365" s="18"/>
      <c r="G365" s="18"/>
      <c r="H365" s="18"/>
      <c r="I365" s="18"/>
    </row>
    <row r="366">
      <c r="A366" s="10"/>
      <c r="C366" s="14"/>
      <c r="D366" s="18"/>
      <c r="E366" s="18"/>
      <c r="F366" s="18"/>
      <c r="G366" s="18"/>
      <c r="H366" s="18"/>
      <c r="I366" s="18"/>
    </row>
    <row r="367">
      <c r="A367" s="10"/>
      <c r="C367" s="14"/>
      <c r="D367" s="18"/>
      <c r="E367" s="18"/>
      <c r="F367" s="18"/>
      <c r="G367" s="18"/>
      <c r="H367" s="18"/>
      <c r="I367" s="18"/>
    </row>
    <row r="368">
      <c r="A368" s="10"/>
      <c r="C368" s="14"/>
      <c r="D368" s="18"/>
      <c r="E368" s="18"/>
      <c r="F368" s="18"/>
      <c r="G368" s="18"/>
      <c r="H368" s="18"/>
      <c r="I368" s="18"/>
    </row>
    <row r="369">
      <c r="A369" s="10"/>
      <c r="C369" s="14"/>
      <c r="D369" s="18"/>
      <c r="E369" s="18"/>
      <c r="F369" s="18"/>
      <c r="G369" s="18"/>
      <c r="H369" s="18"/>
      <c r="I369" s="18"/>
    </row>
    <row r="370">
      <c r="A370" s="10"/>
      <c r="C370" s="14"/>
      <c r="D370" s="18"/>
      <c r="E370" s="18"/>
      <c r="F370" s="18"/>
      <c r="G370" s="18"/>
      <c r="H370" s="18"/>
      <c r="I370" s="18"/>
    </row>
    <row r="371">
      <c r="A371" s="10"/>
      <c r="C371" s="14"/>
      <c r="D371" s="18"/>
      <c r="E371" s="18"/>
      <c r="F371" s="18"/>
      <c r="G371" s="18"/>
      <c r="H371" s="18"/>
      <c r="I371" s="18"/>
    </row>
    <row r="372">
      <c r="A372" s="10"/>
      <c r="C372" s="14"/>
      <c r="D372" s="18"/>
      <c r="E372" s="18"/>
      <c r="F372" s="18"/>
      <c r="G372" s="18"/>
      <c r="H372" s="18"/>
      <c r="I372" s="18"/>
    </row>
    <row r="373">
      <c r="A373" s="10"/>
      <c r="C373" s="14"/>
      <c r="D373" s="18"/>
      <c r="E373" s="18"/>
      <c r="F373" s="18"/>
      <c r="G373" s="18"/>
      <c r="H373" s="18"/>
      <c r="I373" s="18"/>
    </row>
    <row r="374">
      <c r="A374" s="10"/>
      <c r="C374" s="14"/>
      <c r="D374" s="18"/>
      <c r="E374" s="18"/>
      <c r="F374" s="18"/>
      <c r="G374" s="18"/>
      <c r="H374" s="18"/>
      <c r="I374" s="18"/>
    </row>
    <row r="375">
      <c r="A375" s="10"/>
      <c r="C375" s="14"/>
      <c r="D375" s="18"/>
      <c r="E375" s="18"/>
      <c r="F375" s="18"/>
      <c r="G375" s="18"/>
      <c r="H375" s="18"/>
      <c r="I375" s="18"/>
    </row>
    <row r="376">
      <c r="A376" s="10"/>
      <c r="C376" s="14"/>
      <c r="D376" s="18"/>
      <c r="E376" s="18"/>
      <c r="F376" s="18"/>
      <c r="G376" s="18"/>
      <c r="H376" s="18"/>
      <c r="I376" s="18"/>
    </row>
    <row r="377">
      <c r="A377" s="10"/>
      <c r="C377" s="14"/>
      <c r="D377" s="18"/>
      <c r="E377" s="18"/>
      <c r="F377" s="18"/>
      <c r="G377" s="18"/>
      <c r="H377" s="18"/>
      <c r="I377" s="18"/>
    </row>
    <row r="378">
      <c r="A378" s="10"/>
      <c r="C378" s="14"/>
      <c r="D378" s="18"/>
      <c r="E378" s="18"/>
      <c r="F378" s="18"/>
      <c r="G378" s="18"/>
      <c r="H378" s="18"/>
      <c r="I378" s="18"/>
    </row>
    <row r="379">
      <c r="A379" s="10"/>
      <c r="C379" s="14"/>
      <c r="D379" s="18"/>
      <c r="E379" s="18"/>
      <c r="F379" s="18"/>
      <c r="G379" s="18"/>
      <c r="H379" s="18"/>
      <c r="I379" s="18"/>
    </row>
    <row r="380">
      <c r="A380" s="10"/>
      <c r="C380" s="14"/>
      <c r="D380" s="18"/>
      <c r="E380" s="18"/>
      <c r="F380" s="18"/>
      <c r="G380" s="18"/>
      <c r="H380" s="18"/>
      <c r="I380" s="18"/>
    </row>
    <row r="381">
      <c r="A381" s="10"/>
      <c r="C381" s="14"/>
      <c r="D381" s="18"/>
      <c r="E381" s="18"/>
      <c r="F381" s="18"/>
      <c r="G381" s="18"/>
      <c r="H381" s="18"/>
      <c r="I381" s="18"/>
    </row>
    <row r="382">
      <c r="A382" s="10"/>
      <c r="C382" s="14"/>
      <c r="D382" s="18"/>
      <c r="E382" s="18"/>
      <c r="F382" s="18"/>
      <c r="G382" s="18"/>
      <c r="H382" s="18"/>
      <c r="I382" s="18"/>
    </row>
  </sheetData>
  <conditionalFormatting sqref="D1:I382">
    <cfRule type="colorScale" priority="1">
      <colorScale>
        <cfvo type="formula" val="-5"/>
        <cfvo type="formula" val="0"/>
        <cfvo type="formula" val="5"/>
        <color rgb="FFE67C73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75"/>
    <col customWidth="1" min="2" max="2" width="6.5"/>
    <col customWidth="1" hidden="1" min="3" max="4" width="6.5"/>
    <col customWidth="1" min="5" max="5" width="10.13"/>
    <col customWidth="1" hidden="1" min="6" max="6" width="10.13"/>
    <col customWidth="1" min="7" max="7" width="10.13"/>
    <col customWidth="1" min="8" max="9" width="7.75"/>
    <col customWidth="1" min="10" max="11" width="10.13"/>
    <col customWidth="1" min="12" max="12" width="10.5"/>
    <col customWidth="1" min="13" max="13" width="11.88"/>
  </cols>
  <sheetData>
    <row r="1">
      <c r="A1" s="2" t="s">
        <v>390</v>
      </c>
      <c r="B1" s="27" t="s">
        <v>2</v>
      </c>
      <c r="C1" s="1" t="s">
        <v>3</v>
      </c>
      <c r="D1" s="4" t="s">
        <v>4</v>
      </c>
      <c r="E1" s="5" t="s">
        <v>5</v>
      </c>
      <c r="F1" s="6" t="s">
        <v>391</v>
      </c>
      <c r="G1" s="6" t="s">
        <v>7</v>
      </c>
      <c r="H1" s="6" t="s">
        <v>8</v>
      </c>
      <c r="I1" s="6" t="s">
        <v>9</v>
      </c>
      <c r="J1" s="6" t="s">
        <v>392</v>
      </c>
      <c r="K1" s="6" t="s">
        <v>11</v>
      </c>
      <c r="L1" s="6" t="s">
        <v>12</v>
      </c>
      <c r="M1" s="6" t="s">
        <v>393</v>
      </c>
    </row>
    <row r="2">
      <c r="A2" s="11" t="s">
        <v>394</v>
      </c>
      <c r="B2" s="28">
        <v>14385.0</v>
      </c>
      <c r="C2" s="10">
        <v>6752.0</v>
      </c>
      <c r="D2" s="13">
        <v>2573.0</v>
      </c>
      <c r="E2" s="14">
        <v>-0.012341183</v>
      </c>
      <c r="F2" s="15">
        <v>84.0</v>
      </c>
      <c r="G2" s="15">
        <v>98.0</v>
      </c>
      <c r="H2" s="15">
        <v>99.0</v>
      </c>
      <c r="I2" s="15">
        <v>98.0</v>
      </c>
      <c r="J2" s="15">
        <v>114.0</v>
      </c>
      <c r="K2" s="15">
        <v>104.0</v>
      </c>
      <c r="L2" s="15">
        <v>110.0</v>
      </c>
      <c r="M2" s="15">
        <v>119.0</v>
      </c>
    </row>
    <row r="3">
      <c r="A3" s="11" t="s">
        <v>395</v>
      </c>
      <c r="B3" s="28">
        <v>14180.0</v>
      </c>
      <c r="C3" s="10">
        <v>6813.0</v>
      </c>
      <c r="D3" s="13">
        <v>2428.0</v>
      </c>
      <c r="E3" s="14">
        <v>-0.008661524</v>
      </c>
      <c r="F3" s="15">
        <v>110.0</v>
      </c>
      <c r="G3" s="15">
        <v>107.0</v>
      </c>
      <c r="H3" s="15">
        <v>112.0</v>
      </c>
      <c r="I3" s="15">
        <v>103.0</v>
      </c>
      <c r="J3" s="15">
        <v>90.0</v>
      </c>
      <c r="K3" s="15">
        <v>108.0</v>
      </c>
      <c r="L3" s="15">
        <v>104.0</v>
      </c>
      <c r="M3" s="15">
        <v>95.0</v>
      </c>
    </row>
    <row r="4">
      <c r="A4" s="11" t="s">
        <v>396</v>
      </c>
      <c r="B4" s="28">
        <v>13723.0</v>
      </c>
      <c r="C4" s="10">
        <v>6640.0</v>
      </c>
      <c r="D4" s="13">
        <v>2355.0</v>
      </c>
      <c r="E4" s="14">
        <v>-0.008337468</v>
      </c>
      <c r="F4" s="15">
        <v>111.0</v>
      </c>
      <c r="G4" s="15">
        <v>109.0</v>
      </c>
      <c r="H4" s="15">
        <v>116.0</v>
      </c>
      <c r="I4" s="15">
        <v>104.0</v>
      </c>
      <c r="J4" s="15">
        <v>88.0</v>
      </c>
      <c r="K4" s="15">
        <v>106.0</v>
      </c>
      <c r="L4" s="15">
        <v>102.0</v>
      </c>
      <c r="M4" s="15">
        <v>99.0</v>
      </c>
    </row>
    <row r="5">
      <c r="A5" s="11" t="s">
        <v>397</v>
      </c>
      <c r="B5" s="28">
        <v>14553.0</v>
      </c>
      <c r="C5" s="10">
        <v>7128.0</v>
      </c>
      <c r="D5" s="13">
        <v>2520.0</v>
      </c>
      <c r="E5" s="14">
        <v>0.00619049</v>
      </c>
      <c r="F5" s="15">
        <v>102.0</v>
      </c>
      <c r="G5" s="15">
        <v>87.0</v>
      </c>
      <c r="H5" s="15">
        <v>103.0</v>
      </c>
      <c r="I5" s="15">
        <v>87.0</v>
      </c>
      <c r="J5" s="15">
        <v>98.0</v>
      </c>
      <c r="K5" s="15">
        <v>110.0</v>
      </c>
      <c r="L5" s="15">
        <v>103.0</v>
      </c>
      <c r="M5" s="15">
        <v>112.0</v>
      </c>
    </row>
    <row r="6">
      <c r="A6" s="11" t="s">
        <v>398</v>
      </c>
      <c r="B6" s="28">
        <v>14346.0</v>
      </c>
      <c r="C6" s="10">
        <v>6873.0</v>
      </c>
      <c r="D6" s="13">
        <v>2598.0</v>
      </c>
      <c r="E6" s="14">
        <v>-0.007487922</v>
      </c>
      <c r="F6" s="15">
        <v>131.0</v>
      </c>
      <c r="G6" s="15">
        <v>119.0</v>
      </c>
      <c r="H6" s="15">
        <v>106.0</v>
      </c>
      <c r="I6" s="15">
        <v>116.0</v>
      </c>
      <c r="J6" s="15">
        <v>97.0</v>
      </c>
      <c r="K6" s="15">
        <v>116.0</v>
      </c>
      <c r="L6" s="15">
        <v>119.0</v>
      </c>
      <c r="M6" s="15">
        <v>121.0</v>
      </c>
    </row>
    <row r="7">
      <c r="A7" s="11" t="s">
        <v>399</v>
      </c>
      <c r="B7" s="28">
        <v>13827.0</v>
      </c>
      <c r="C7" s="10">
        <v>6547.0</v>
      </c>
      <c r="D7" s="13">
        <v>2362.0</v>
      </c>
      <c r="E7" s="14">
        <v>-0.015368482</v>
      </c>
      <c r="F7" s="15">
        <v>110.0</v>
      </c>
      <c r="G7" s="15">
        <v>114.0</v>
      </c>
      <c r="H7" s="15">
        <v>96.0</v>
      </c>
      <c r="I7" s="15">
        <v>115.0</v>
      </c>
      <c r="J7" s="15">
        <v>83.0</v>
      </c>
      <c r="K7" s="15">
        <v>86.0</v>
      </c>
      <c r="L7" s="15">
        <v>86.0</v>
      </c>
      <c r="M7" s="15">
        <v>72.0</v>
      </c>
    </row>
    <row r="8">
      <c r="A8" s="11" t="s">
        <v>400</v>
      </c>
      <c r="B8" s="28">
        <v>13881.0</v>
      </c>
      <c r="C8" s="10">
        <v>6331.0</v>
      </c>
      <c r="D8" s="13">
        <v>2375.0</v>
      </c>
      <c r="E8" s="14">
        <v>-0.031158655</v>
      </c>
      <c r="F8" s="15">
        <v>89.0</v>
      </c>
      <c r="G8" s="15">
        <v>100.0</v>
      </c>
      <c r="H8" s="15">
        <v>62.0</v>
      </c>
      <c r="I8" s="15">
        <v>112.0</v>
      </c>
      <c r="J8" s="15">
        <v>87.0</v>
      </c>
      <c r="K8" s="15">
        <v>80.0</v>
      </c>
      <c r="L8" s="15">
        <v>78.0</v>
      </c>
      <c r="M8" s="15">
        <v>100.0</v>
      </c>
    </row>
    <row r="9">
      <c r="A9" s="11" t="s">
        <v>401</v>
      </c>
      <c r="B9" s="28">
        <v>13635.0</v>
      </c>
      <c r="C9" s="10">
        <v>6591.0</v>
      </c>
      <c r="D9" s="13">
        <v>2364.0</v>
      </c>
      <c r="E9" s="14">
        <v>0.007344467</v>
      </c>
      <c r="F9" s="15">
        <v>88.0</v>
      </c>
      <c r="G9" s="15">
        <v>86.0</v>
      </c>
      <c r="H9" s="15">
        <v>119.0</v>
      </c>
      <c r="I9" s="15">
        <v>81.0</v>
      </c>
      <c r="J9" s="15">
        <v>97.0</v>
      </c>
      <c r="K9" s="15">
        <v>76.0</v>
      </c>
      <c r="L9" s="15">
        <v>74.0</v>
      </c>
      <c r="M9" s="15">
        <v>77.0</v>
      </c>
    </row>
    <row r="10">
      <c r="A10" s="11" t="s">
        <v>402</v>
      </c>
      <c r="B10" s="28">
        <v>13388.0</v>
      </c>
      <c r="C10" s="10">
        <v>6747.0</v>
      </c>
      <c r="D10" s="13">
        <v>2304.0</v>
      </c>
      <c r="E10" s="14">
        <v>0.017012118</v>
      </c>
      <c r="F10" s="15">
        <v>99.0</v>
      </c>
      <c r="G10" s="15">
        <v>65.0</v>
      </c>
      <c r="H10" s="15">
        <v>91.0</v>
      </c>
      <c r="I10" s="15">
        <v>69.0</v>
      </c>
      <c r="J10" s="15">
        <v>68.0</v>
      </c>
      <c r="K10" s="15">
        <v>93.0</v>
      </c>
      <c r="L10" s="15">
        <v>66.0</v>
      </c>
      <c r="M10" s="15">
        <v>71.0</v>
      </c>
    </row>
    <row r="11">
      <c r="A11" s="11" t="s">
        <v>403</v>
      </c>
      <c r="B11" s="28">
        <v>14289.0</v>
      </c>
      <c r="C11" s="10">
        <v>6842.0</v>
      </c>
      <c r="D11" s="13">
        <v>2456.0</v>
      </c>
      <c r="E11" s="14">
        <v>-0.009116739</v>
      </c>
      <c r="F11" s="15">
        <v>120.0</v>
      </c>
      <c r="G11" s="15">
        <v>119.0</v>
      </c>
      <c r="H11" s="15">
        <v>121.0</v>
      </c>
      <c r="I11" s="15">
        <v>112.0</v>
      </c>
      <c r="J11" s="15">
        <v>84.0</v>
      </c>
      <c r="K11" s="15">
        <v>123.0</v>
      </c>
      <c r="L11" s="15">
        <v>117.0</v>
      </c>
      <c r="M11" s="15">
        <v>115.0</v>
      </c>
    </row>
    <row r="12">
      <c r="A12" s="11" t="s">
        <v>404</v>
      </c>
      <c r="B12" s="28">
        <v>13484.0</v>
      </c>
      <c r="C12" s="10">
        <v>6567.0</v>
      </c>
      <c r="D12" s="13">
        <v>2520.0</v>
      </c>
      <c r="E12" s="14">
        <v>0.010246712</v>
      </c>
      <c r="F12" s="15">
        <v>93.0</v>
      </c>
      <c r="G12" s="15">
        <v>85.0</v>
      </c>
      <c r="H12" s="15">
        <v>101.0</v>
      </c>
      <c r="I12" s="15">
        <v>85.0</v>
      </c>
      <c r="J12" s="15">
        <v>108.0</v>
      </c>
      <c r="K12" s="15">
        <v>98.0</v>
      </c>
      <c r="L12" s="15">
        <v>98.0</v>
      </c>
      <c r="M12" s="15">
        <v>112.0</v>
      </c>
    </row>
    <row r="13">
      <c r="A13" s="11" t="s">
        <v>405</v>
      </c>
      <c r="B13" s="28">
        <v>13386.0</v>
      </c>
      <c r="C13" s="10">
        <v>6495.0</v>
      </c>
      <c r="D13" s="13">
        <v>2611.0</v>
      </c>
      <c r="E13" s="14">
        <v>-0.00201981</v>
      </c>
      <c r="F13" s="15">
        <v>78.0</v>
      </c>
      <c r="G13" s="15">
        <v>80.0</v>
      </c>
      <c r="H13" s="15">
        <v>99.0</v>
      </c>
      <c r="I13" s="15">
        <v>80.0</v>
      </c>
      <c r="J13" s="15">
        <v>132.0</v>
      </c>
      <c r="K13" s="15">
        <v>85.0</v>
      </c>
      <c r="L13" s="15">
        <v>96.0</v>
      </c>
      <c r="M13" s="15">
        <v>82.0</v>
      </c>
    </row>
    <row r="14">
      <c r="A14" s="11" t="s">
        <v>406</v>
      </c>
      <c r="B14" s="28">
        <v>13908.0</v>
      </c>
      <c r="C14" s="10">
        <v>6548.0</v>
      </c>
      <c r="D14" s="13">
        <v>2306.0</v>
      </c>
      <c r="E14" s="14">
        <v>-0.022411255</v>
      </c>
      <c r="F14" s="15">
        <v>108.0</v>
      </c>
      <c r="G14" s="15">
        <v>118.0</v>
      </c>
      <c r="H14" s="15">
        <v>102.0</v>
      </c>
      <c r="I14" s="15">
        <v>117.0</v>
      </c>
      <c r="J14" s="15">
        <v>79.0</v>
      </c>
      <c r="K14" s="15">
        <v>126.0</v>
      </c>
      <c r="L14" s="15">
        <v>117.0</v>
      </c>
      <c r="M14" s="15">
        <v>105.0</v>
      </c>
    </row>
    <row r="15">
      <c r="A15" s="11" t="s">
        <v>407</v>
      </c>
      <c r="B15" s="28">
        <v>14493.0</v>
      </c>
      <c r="C15" s="10">
        <v>6756.0</v>
      </c>
      <c r="D15" s="13">
        <v>2521.0</v>
      </c>
      <c r="E15" s="14">
        <v>-0.019486381</v>
      </c>
      <c r="F15" s="15">
        <v>112.0</v>
      </c>
      <c r="G15" s="15">
        <v>124.0</v>
      </c>
      <c r="H15" s="15">
        <v>103.0</v>
      </c>
      <c r="I15" s="15">
        <v>122.0</v>
      </c>
      <c r="J15" s="15">
        <v>94.0</v>
      </c>
      <c r="K15" s="15">
        <v>127.0</v>
      </c>
      <c r="L15" s="15">
        <v>127.0</v>
      </c>
      <c r="M15" s="15">
        <v>123.0</v>
      </c>
    </row>
    <row r="16">
      <c r="A16" s="11" t="s">
        <v>408</v>
      </c>
      <c r="B16" s="28">
        <v>13426.0</v>
      </c>
      <c r="C16" s="10">
        <v>6500.0</v>
      </c>
      <c r="D16" s="13">
        <v>2518.0</v>
      </c>
      <c r="E16" s="14">
        <v>-0.004886844</v>
      </c>
      <c r="F16" s="15">
        <v>103.0</v>
      </c>
      <c r="G16" s="15">
        <v>97.0</v>
      </c>
      <c r="H16" s="15">
        <v>104.0</v>
      </c>
      <c r="I16" s="15">
        <v>96.0</v>
      </c>
      <c r="J16" s="15">
        <v>113.0</v>
      </c>
      <c r="K16" s="15">
        <v>97.0</v>
      </c>
      <c r="L16" s="15">
        <v>103.0</v>
      </c>
      <c r="M16" s="15">
        <v>97.0</v>
      </c>
    </row>
    <row r="17">
      <c r="A17" s="11" t="s">
        <v>409</v>
      </c>
      <c r="B17" s="28">
        <v>13892.0</v>
      </c>
      <c r="C17" s="10">
        <v>6348.0</v>
      </c>
      <c r="D17" s="13">
        <v>2457.0</v>
      </c>
      <c r="E17" s="14">
        <v>-0.038267889</v>
      </c>
      <c r="F17" s="15">
        <v>90.0</v>
      </c>
      <c r="G17" s="15">
        <v>119.0</v>
      </c>
      <c r="H17" s="15">
        <v>85.0</v>
      </c>
      <c r="I17" s="15">
        <v>124.0</v>
      </c>
      <c r="J17" s="15">
        <v>101.0</v>
      </c>
      <c r="K17" s="15">
        <v>74.0</v>
      </c>
      <c r="L17" s="15">
        <v>86.0</v>
      </c>
      <c r="M17" s="15">
        <v>102.0</v>
      </c>
    </row>
    <row r="18">
      <c r="A18" s="11" t="s">
        <v>410</v>
      </c>
      <c r="B18" s="28">
        <v>13809.0</v>
      </c>
      <c r="C18" s="10">
        <v>6541.0</v>
      </c>
      <c r="D18" s="13">
        <v>2429.0</v>
      </c>
      <c r="E18" s="14">
        <v>-0.009656394</v>
      </c>
      <c r="F18" s="15">
        <v>94.0</v>
      </c>
      <c r="G18" s="15">
        <v>81.0</v>
      </c>
      <c r="H18" s="15">
        <v>81.0</v>
      </c>
      <c r="I18" s="15">
        <v>87.0</v>
      </c>
      <c r="J18" s="15">
        <v>105.0</v>
      </c>
      <c r="K18" s="15">
        <v>97.0</v>
      </c>
      <c r="L18" s="15">
        <v>94.0</v>
      </c>
      <c r="M18" s="15">
        <v>94.0</v>
      </c>
    </row>
    <row r="19">
      <c r="A19" s="11" t="s">
        <v>411</v>
      </c>
      <c r="B19" s="28">
        <v>14376.0</v>
      </c>
      <c r="C19" s="10">
        <v>6767.0</v>
      </c>
      <c r="D19" s="13">
        <v>2487.0</v>
      </c>
      <c r="E19" s="14">
        <v>-0.021048765</v>
      </c>
      <c r="F19" s="15">
        <v>106.0</v>
      </c>
      <c r="G19" s="15">
        <v>116.0</v>
      </c>
      <c r="H19" s="15">
        <v>102.0</v>
      </c>
      <c r="I19" s="15">
        <v>115.0</v>
      </c>
      <c r="J19" s="15">
        <v>107.0</v>
      </c>
      <c r="K19" s="15">
        <v>119.0</v>
      </c>
      <c r="L19" s="15">
        <v>125.0</v>
      </c>
      <c r="M19" s="15">
        <v>110.0</v>
      </c>
    </row>
    <row r="20">
      <c r="A20" s="11" t="s">
        <v>412</v>
      </c>
      <c r="B20" s="28">
        <v>14639.0</v>
      </c>
      <c r="C20" s="10">
        <v>6816.0</v>
      </c>
      <c r="D20" s="13">
        <v>2457.0</v>
      </c>
      <c r="E20" s="14">
        <v>-0.021945892</v>
      </c>
      <c r="F20" s="15">
        <v>118.0</v>
      </c>
      <c r="G20" s="15">
        <v>115.0</v>
      </c>
      <c r="H20" s="15">
        <v>86.0</v>
      </c>
      <c r="I20" s="15">
        <v>119.0</v>
      </c>
      <c r="J20" s="15">
        <v>97.0</v>
      </c>
      <c r="K20" s="15">
        <v>126.0</v>
      </c>
      <c r="L20" s="15">
        <v>124.0</v>
      </c>
      <c r="M20" s="15">
        <v>126.0</v>
      </c>
    </row>
    <row r="21">
      <c r="A21" s="11" t="s">
        <v>413</v>
      </c>
      <c r="B21" s="28">
        <v>13905.0</v>
      </c>
      <c r="C21" s="10">
        <v>6676.0</v>
      </c>
      <c r="D21" s="13">
        <v>2518.0</v>
      </c>
      <c r="E21" s="14">
        <v>0.001851295</v>
      </c>
      <c r="F21" s="15">
        <v>114.0</v>
      </c>
      <c r="G21" s="15">
        <v>97.0</v>
      </c>
      <c r="H21" s="15">
        <v>89.0</v>
      </c>
      <c r="I21" s="15">
        <v>100.0</v>
      </c>
      <c r="J21" s="15">
        <v>94.0</v>
      </c>
      <c r="K21" s="15">
        <v>93.0</v>
      </c>
      <c r="L21" s="15">
        <v>90.0</v>
      </c>
      <c r="M21" s="15">
        <v>105.0</v>
      </c>
    </row>
    <row r="22">
      <c r="A22" s="11" t="s">
        <v>414</v>
      </c>
      <c r="B22" s="28">
        <v>14247.0</v>
      </c>
      <c r="C22" s="10">
        <v>6857.0</v>
      </c>
      <c r="D22" s="13">
        <v>2529.0</v>
      </c>
      <c r="E22" s="14">
        <v>-0.001863253</v>
      </c>
      <c r="F22" s="15">
        <v>96.0</v>
      </c>
      <c r="G22" s="15">
        <v>91.0</v>
      </c>
      <c r="H22" s="15">
        <v>99.0</v>
      </c>
      <c r="I22" s="15">
        <v>91.0</v>
      </c>
      <c r="J22" s="15">
        <v>111.0</v>
      </c>
      <c r="K22" s="15">
        <v>106.0</v>
      </c>
      <c r="L22" s="15">
        <v>107.0</v>
      </c>
      <c r="M22" s="15">
        <v>107.0</v>
      </c>
    </row>
    <row r="23">
      <c r="A23" s="11" t="s">
        <v>415</v>
      </c>
      <c r="B23" s="28">
        <v>13717.0</v>
      </c>
      <c r="C23" s="10">
        <v>6434.0</v>
      </c>
      <c r="D23" s="13">
        <v>2352.0</v>
      </c>
      <c r="E23" s="14">
        <v>-0.02348652</v>
      </c>
      <c r="F23" s="15">
        <v>108.0</v>
      </c>
      <c r="G23" s="15">
        <v>112.0</v>
      </c>
      <c r="H23" s="15">
        <v>70.0</v>
      </c>
      <c r="I23" s="15">
        <v>121.0</v>
      </c>
      <c r="J23" s="15">
        <v>91.0</v>
      </c>
      <c r="K23" s="15">
        <v>96.0</v>
      </c>
      <c r="L23" s="15">
        <v>97.0</v>
      </c>
      <c r="M23" s="15">
        <v>78.0</v>
      </c>
    </row>
    <row r="24">
      <c r="A24" s="11" t="s">
        <v>416</v>
      </c>
      <c r="B24" s="28">
        <v>13558.0</v>
      </c>
      <c r="C24" s="10">
        <v>6419.0</v>
      </c>
      <c r="D24" s="13">
        <v>2549.0</v>
      </c>
      <c r="E24" s="14">
        <v>-0.004368871</v>
      </c>
      <c r="F24" s="15">
        <v>61.0</v>
      </c>
      <c r="G24" s="15">
        <v>87.0</v>
      </c>
      <c r="H24" s="15">
        <v>117.0</v>
      </c>
      <c r="I24" s="15">
        <v>82.0</v>
      </c>
      <c r="J24" s="15">
        <v>128.0</v>
      </c>
      <c r="K24" s="15">
        <v>87.0</v>
      </c>
      <c r="L24" s="15">
        <v>98.0</v>
      </c>
      <c r="M24" s="15">
        <v>91.0</v>
      </c>
    </row>
    <row r="25">
      <c r="A25" s="11" t="s">
        <v>417</v>
      </c>
      <c r="B25" s="28">
        <v>14245.0</v>
      </c>
      <c r="C25" s="10">
        <v>6589.0</v>
      </c>
      <c r="D25" s="13">
        <v>2408.0</v>
      </c>
      <c r="E25" s="14">
        <v>-0.025486043</v>
      </c>
      <c r="F25" s="15">
        <v>104.0</v>
      </c>
      <c r="G25" s="15">
        <v>116.0</v>
      </c>
      <c r="H25" s="15">
        <v>108.0</v>
      </c>
      <c r="I25" s="15">
        <v>114.0</v>
      </c>
      <c r="J25" s="15">
        <v>92.0</v>
      </c>
      <c r="K25" s="15">
        <v>78.0</v>
      </c>
      <c r="L25" s="15">
        <v>84.0</v>
      </c>
      <c r="M25" s="15">
        <v>89.0</v>
      </c>
    </row>
    <row r="26">
      <c r="A26" s="11" t="s">
        <v>418</v>
      </c>
      <c r="B26" s="28">
        <v>14579.0</v>
      </c>
      <c r="C26" s="10">
        <v>6950.0</v>
      </c>
      <c r="D26" s="13">
        <v>2489.0</v>
      </c>
      <c r="E26" s="14">
        <v>-0.009532327</v>
      </c>
      <c r="F26" s="15">
        <v>103.0</v>
      </c>
      <c r="G26" s="15">
        <v>100.0</v>
      </c>
      <c r="H26" s="15">
        <v>111.0</v>
      </c>
      <c r="I26" s="15">
        <v>97.0</v>
      </c>
      <c r="J26" s="15">
        <v>88.0</v>
      </c>
      <c r="K26" s="15">
        <v>107.0</v>
      </c>
      <c r="L26" s="15">
        <v>100.0</v>
      </c>
      <c r="M26" s="15">
        <v>109.0</v>
      </c>
    </row>
    <row r="27">
      <c r="A27" s="11" t="s">
        <v>419</v>
      </c>
      <c r="B27" s="28">
        <v>14209.0</v>
      </c>
      <c r="C27" s="10">
        <v>6657.0</v>
      </c>
      <c r="D27" s="13">
        <v>2559.0</v>
      </c>
      <c r="E27" s="14">
        <v>-0.014100941</v>
      </c>
      <c r="F27" s="15">
        <v>83.0</v>
      </c>
      <c r="G27" s="15">
        <v>89.0</v>
      </c>
      <c r="H27" s="15">
        <v>85.0</v>
      </c>
      <c r="I27" s="15">
        <v>94.0</v>
      </c>
      <c r="J27" s="15">
        <v>113.0</v>
      </c>
      <c r="K27" s="15">
        <v>93.0</v>
      </c>
      <c r="L27" s="15">
        <v>97.0</v>
      </c>
      <c r="M27" s="15">
        <v>103.0</v>
      </c>
    </row>
    <row r="28">
      <c r="A28" s="11" t="s">
        <v>420</v>
      </c>
      <c r="B28" s="28">
        <v>13836.0</v>
      </c>
      <c r="C28" s="10">
        <v>6797.0</v>
      </c>
      <c r="D28" s="13">
        <v>2491.0</v>
      </c>
      <c r="E28" s="14">
        <v>5.25044E-4</v>
      </c>
      <c r="F28" s="15">
        <v>109.0</v>
      </c>
      <c r="G28" s="15">
        <v>102.0</v>
      </c>
      <c r="H28" s="15">
        <v>117.0</v>
      </c>
      <c r="I28" s="15">
        <v>96.0</v>
      </c>
      <c r="J28" s="15">
        <v>98.0</v>
      </c>
      <c r="K28" s="15">
        <v>99.0</v>
      </c>
      <c r="L28" s="15">
        <v>99.0</v>
      </c>
      <c r="M28" s="15">
        <v>107.0</v>
      </c>
    </row>
    <row r="29">
      <c r="A29" s="11" t="s">
        <v>421</v>
      </c>
      <c r="B29" s="28">
        <v>13819.0</v>
      </c>
      <c r="C29" s="10">
        <v>6825.0</v>
      </c>
      <c r="D29" s="13">
        <v>2474.0</v>
      </c>
      <c r="E29" s="14">
        <v>0.013739731</v>
      </c>
      <c r="F29" s="15">
        <v>108.0</v>
      </c>
      <c r="G29" s="15">
        <v>93.0</v>
      </c>
      <c r="H29" s="15">
        <v>123.0</v>
      </c>
      <c r="I29" s="15">
        <v>86.0</v>
      </c>
      <c r="J29" s="15">
        <v>100.0</v>
      </c>
      <c r="K29" s="15">
        <v>91.0</v>
      </c>
      <c r="L29" s="15">
        <v>91.0</v>
      </c>
      <c r="M29" s="15">
        <v>84.0</v>
      </c>
    </row>
    <row r="30">
      <c r="A30" s="11" t="s">
        <v>422</v>
      </c>
      <c r="B30" s="28">
        <v>13806.0</v>
      </c>
      <c r="C30" s="10">
        <v>6629.0</v>
      </c>
      <c r="D30" s="13">
        <v>2644.0</v>
      </c>
      <c r="E30" s="14">
        <v>-5.79196E-4</v>
      </c>
      <c r="F30" s="15">
        <v>94.0</v>
      </c>
      <c r="G30" s="15">
        <v>93.0</v>
      </c>
      <c r="H30" s="15">
        <v>111.0</v>
      </c>
      <c r="I30" s="15">
        <v>90.0</v>
      </c>
      <c r="J30" s="15">
        <v>132.0</v>
      </c>
      <c r="K30" s="15">
        <v>101.0</v>
      </c>
      <c r="L30" s="15">
        <v>114.0</v>
      </c>
      <c r="M30" s="15">
        <v>106.0</v>
      </c>
    </row>
    <row r="31">
      <c r="A31" s="11" t="s">
        <v>423</v>
      </c>
      <c r="B31" s="28">
        <v>13476.0</v>
      </c>
      <c r="C31" s="10">
        <v>6376.0</v>
      </c>
      <c r="D31" s="13">
        <v>2515.0</v>
      </c>
      <c r="E31" s="14">
        <v>-0.010798731</v>
      </c>
      <c r="F31" s="15">
        <v>73.0</v>
      </c>
      <c r="G31" s="15">
        <v>83.0</v>
      </c>
      <c r="H31" s="15">
        <v>84.0</v>
      </c>
      <c r="I31" s="15">
        <v>88.0</v>
      </c>
      <c r="J31" s="15">
        <v>109.0</v>
      </c>
      <c r="K31" s="15">
        <v>96.0</v>
      </c>
      <c r="L31" s="15">
        <v>95.0</v>
      </c>
      <c r="M31" s="15">
        <v>89.0</v>
      </c>
    </row>
  </sheetData>
  <conditionalFormatting sqref="F1:M31">
    <cfRule type="colorScale" priority="1">
      <colorScale>
        <cfvo type="formula" val="60"/>
        <cfvo type="formula" val="100"/>
        <cfvo type="formula" val="140"/>
        <color rgb="FFE67C73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51.88"/>
  </cols>
  <sheetData>
    <row r="1">
      <c r="A1" s="29" t="s">
        <v>424</v>
      </c>
      <c r="B1" s="11" t="s">
        <v>425</v>
      </c>
    </row>
    <row r="2">
      <c r="A2" s="30" t="s">
        <v>5</v>
      </c>
      <c r="B2" s="31" t="s">
        <v>426</v>
      </c>
    </row>
    <row r="3">
      <c r="A3" s="32" t="s">
        <v>391</v>
      </c>
      <c r="B3" s="31" t="s">
        <v>427</v>
      </c>
    </row>
    <row r="4">
      <c r="A4" s="33" t="s">
        <v>428</v>
      </c>
      <c r="B4" s="31" t="s">
        <v>429</v>
      </c>
    </row>
    <row r="5">
      <c r="A5" s="32" t="s">
        <v>430</v>
      </c>
      <c r="B5" s="31" t="s">
        <v>431</v>
      </c>
    </row>
    <row r="6">
      <c r="A6" s="32" t="s">
        <v>432</v>
      </c>
      <c r="B6" s="31" t="s">
        <v>433</v>
      </c>
    </row>
    <row r="7">
      <c r="A7" s="32" t="s">
        <v>434</v>
      </c>
      <c r="B7" s="31" t="s">
        <v>435</v>
      </c>
    </row>
    <row r="8">
      <c r="A8" s="32" t="s">
        <v>436</v>
      </c>
      <c r="B8" s="31" t="s">
        <v>437</v>
      </c>
    </row>
    <row r="9">
      <c r="A9" s="32" t="s">
        <v>13</v>
      </c>
      <c r="B9" s="31" t="s">
        <v>438</v>
      </c>
    </row>
    <row r="10">
      <c r="A10" s="32" t="s">
        <v>439</v>
      </c>
      <c r="B10" s="31" t="s">
        <v>440</v>
      </c>
    </row>
    <row r="11">
      <c r="A11" s="32" t="s">
        <v>441</v>
      </c>
      <c r="B11" s="31" t="s">
        <v>442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22.75"/>
    <col customWidth="1" min="23" max="23" width="33.38"/>
    <col customWidth="1" min="24" max="24" width="23.5"/>
  </cols>
  <sheetData>
    <row r="1">
      <c r="A1" s="17" t="str">
        <f>IFERROR(__xludf.DUMMYFUNCTION("IMPORTHTML(""https://www.fantasypros.com/mlb/projections/ros-hitters.php"",""table"",1)"),"VBR")</f>
        <v>VBR</v>
      </c>
      <c r="B1" s="17" t="str">
        <f>IFERROR(__xludf.DUMMYFUNCTION("""COMPUTED_VALUE"""),"Player")</f>
        <v>Player</v>
      </c>
      <c r="C1" s="17" t="str">
        <f>IFERROR(__xludf.DUMMYFUNCTION("""COMPUTED_VALUE"""),"AB")</f>
        <v>AB</v>
      </c>
      <c r="D1" s="17" t="str">
        <f>IFERROR(__xludf.DUMMYFUNCTION("""COMPUTED_VALUE"""),"R")</f>
        <v>R</v>
      </c>
      <c r="E1" s="17" t="str">
        <f>IFERROR(__xludf.DUMMYFUNCTION("""COMPUTED_VALUE"""),"HR")</f>
        <v>HR</v>
      </c>
      <c r="F1" s="17" t="str">
        <f>IFERROR(__xludf.DUMMYFUNCTION("""COMPUTED_VALUE"""),"RBI")</f>
        <v>RBI</v>
      </c>
      <c r="G1" s="17" t="str">
        <f>IFERROR(__xludf.DUMMYFUNCTION("""COMPUTED_VALUE"""),"SB")</f>
        <v>SB</v>
      </c>
      <c r="H1" s="17" t="str">
        <f>IFERROR(__xludf.DUMMYFUNCTION("""COMPUTED_VALUE"""),"AVG")</f>
        <v>AVG</v>
      </c>
      <c r="I1" s="17" t="str">
        <f>IFERROR(__xludf.DUMMYFUNCTION("""COMPUTED_VALUE"""),"OBP")</f>
        <v>OBP</v>
      </c>
      <c r="J1" s="17" t="str">
        <f>IFERROR(__xludf.DUMMYFUNCTION("""COMPUTED_VALUE"""),"H")</f>
        <v>H</v>
      </c>
      <c r="K1" s="17" t="str">
        <f>IFERROR(__xludf.DUMMYFUNCTION("""COMPUTED_VALUE"""),"2B")</f>
        <v>2B</v>
      </c>
      <c r="L1" s="17" t="str">
        <f>IFERROR(__xludf.DUMMYFUNCTION("""COMPUTED_VALUE"""),"3B")</f>
        <v>3B</v>
      </c>
      <c r="M1" s="17" t="str">
        <f>IFERROR(__xludf.DUMMYFUNCTION("""COMPUTED_VALUE"""),"BB")</f>
        <v>BB</v>
      </c>
      <c r="N1" s="17" t="str">
        <f>IFERROR(__xludf.DUMMYFUNCTION("""COMPUTED_VALUE"""),"SO")</f>
        <v>SO</v>
      </c>
      <c r="O1" s="17" t="str">
        <f>IFERROR(__xludf.DUMMYFUNCTION("""COMPUTED_VALUE"""),"SLG")</f>
        <v>SLG</v>
      </c>
      <c r="P1" s="17" t="str">
        <f>IFERROR(__xludf.DUMMYFUNCTION("""COMPUTED_VALUE"""),"OPS")</f>
        <v>OPS</v>
      </c>
      <c r="Q1" s="17" t="str">
        <f>IFERROR(__xludf.DUMMYFUNCTION("""COMPUTED_VALUE"""),"Rost%")</f>
        <v>Rost%</v>
      </c>
      <c r="R1" s="17"/>
      <c r="S1" s="17"/>
    </row>
    <row r="2">
      <c r="A2" s="17">
        <f>IFERROR(__xludf.DUMMYFUNCTION("""COMPUTED_VALUE"""),1.0)</f>
        <v>1</v>
      </c>
      <c r="B2" s="17" t="str">
        <f>IFERROR(__xludf.DUMMYFUNCTION("""COMPUTED_VALUE"""),"Shohei Ohtani (LAD - SP,DH)")</f>
        <v>Shohei Ohtani (LAD - SP,DH)</v>
      </c>
      <c r="C2" s="17">
        <f>IFERROR(__xludf.DUMMYFUNCTION("""COMPUTED_VALUE"""),464.0)</f>
        <v>464</v>
      </c>
      <c r="D2" s="17">
        <f>IFERROR(__xludf.DUMMYFUNCTION("""COMPUTED_VALUE"""),102.0)</f>
        <v>102</v>
      </c>
      <c r="E2" s="17">
        <f>IFERROR(__xludf.DUMMYFUNCTION("""COMPUTED_VALUE"""),37.0)</f>
        <v>37</v>
      </c>
      <c r="F2" s="17">
        <f>IFERROR(__xludf.DUMMYFUNCTION("""COMPUTED_VALUE"""),91.0)</f>
        <v>91</v>
      </c>
      <c r="G2" s="17">
        <f>IFERROR(__xludf.DUMMYFUNCTION("""COMPUTED_VALUE"""),19.0)</f>
        <v>19</v>
      </c>
      <c r="H2" s="17">
        <f>IFERROR(__xludf.DUMMYFUNCTION("""COMPUTED_VALUE"""),0.28)</f>
        <v>0.28</v>
      </c>
      <c r="I2" s="17">
        <f>IFERROR(__xludf.DUMMYFUNCTION("""COMPUTED_VALUE"""),0.401)</f>
        <v>0.401</v>
      </c>
      <c r="J2" s="17">
        <f>IFERROR(__xludf.DUMMYFUNCTION("""COMPUTED_VALUE"""),130.0)</f>
        <v>130</v>
      </c>
      <c r="K2" s="17">
        <f>IFERROR(__xludf.DUMMYFUNCTION("""COMPUTED_VALUE"""),23.0)</f>
        <v>23</v>
      </c>
      <c r="L2" s="17">
        <f>IFERROR(__xludf.DUMMYFUNCTION("""COMPUTED_VALUE"""),4.0)</f>
        <v>4</v>
      </c>
      <c r="M2" s="17">
        <f>IFERROR(__xludf.DUMMYFUNCTION("""COMPUTED_VALUE"""),80.0)</f>
        <v>80</v>
      </c>
      <c r="N2" s="17">
        <f>IFERROR(__xludf.DUMMYFUNCTION("""COMPUTED_VALUE"""),133.0)</f>
        <v>133</v>
      </c>
      <c r="O2" s="17">
        <f>IFERROR(__xludf.DUMMYFUNCTION("""COMPUTED_VALUE"""),0.583)</f>
        <v>0.583</v>
      </c>
      <c r="P2" s="17">
        <f>IFERROR(__xludf.DUMMYFUNCTION("""COMPUTED_VALUE"""),0.983)</f>
        <v>0.983</v>
      </c>
      <c r="Q2" s="34">
        <f>IFERROR(__xludf.DUMMYFUNCTION("""COMPUTED_VALUE"""),1.0)</f>
        <v>1</v>
      </c>
      <c r="R2" s="17"/>
      <c r="S2" s="34">
        <f>IFERROR(__xludf.DUMMYFUNCTION("""COMPUTED_VALUE"""),1.0)</f>
        <v>1</v>
      </c>
      <c r="T2" s="17" t="str">
        <f t="shared" ref="T2:T600" si="1">trim(left(B2,find("(",B2)-1))</f>
        <v>Shohei Ohtani</v>
      </c>
    </row>
    <row r="3">
      <c r="A3" s="17">
        <f>IFERROR(__xludf.DUMMYFUNCTION("""COMPUTED_VALUE"""),2.0)</f>
        <v>2</v>
      </c>
      <c r="B3" s="17" t="str">
        <f>IFERROR(__xludf.DUMMYFUNCTION("""COMPUTED_VALUE"""),"Aaron Judge (NYY - LF,CF,RF,DH)")</f>
        <v>Aaron Judge (NYY - LF,CF,RF,DH)</v>
      </c>
      <c r="C3" s="17">
        <f>IFERROR(__xludf.DUMMYFUNCTION("""COMPUTED_VALUE"""),422.0)</f>
        <v>422</v>
      </c>
      <c r="D3" s="17">
        <f>IFERROR(__xludf.DUMMYFUNCTION("""COMPUTED_VALUE"""),91.0)</f>
        <v>91</v>
      </c>
      <c r="E3" s="17">
        <f>IFERROR(__xludf.DUMMYFUNCTION("""COMPUTED_VALUE"""),38.0)</f>
        <v>38</v>
      </c>
      <c r="F3" s="17">
        <f>IFERROR(__xludf.DUMMYFUNCTION("""COMPUTED_VALUE"""),94.0)</f>
        <v>94</v>
      </c>
      <c r="G3" s="17">
        <f>IFERROR(__xludf.DUMMYFUNCTION("""COMPUTED_VALUE"""),9.0)</f>
        <v>9</v>
      </c>
      <c r="H3" s="17">
        <f>IFERROR(__xludf.DUMMYFUNCTION("""COMPUTED_VALUE"""),0.285)</f>
        <v>0.285</v>
      </c>
      <c r="I3" s="17">
        <f>IFERROR(__xludf.DUMMYFUNCTION("""COMPUTED_VALUE"""),0.437)</f>
        <v>0.437</v>
      </c>
      <c r="J3" s="17">
        <f>IFERROR(__xludf.DUMMYFUNCTION("""COMPUTED_VALUE"""),120.0)</f>
        <v>120</v>
      </c>
      <c r="K3" s="17">
        <f>IFERROR(__xludf.DUMMYFUNCTION("""COMPUTED_VALUE"""),20.0)</f>
        <v>20</v>
      </c>
      <c r="L3" s="17">
        <f>IFERROR(__xludf.DUMMYFUNCTION("""COMPUTED_VALUE"""),1.0)</f>
        <v>1</v>
      </c>
      <c r="M3" s="17">
        <f>IFERROR(__xludf.DUMMYFUNCTION("""COMPUTED_VALUE"""),95.0)</f>
        <v>95</v>
      </c>
      <c r="N3" s="17">
        <f>IFERROR(__xludf.DUMMYFUNCTION("""COMPUTED_VALUE"""),131.0)</f>
        <v>131</v>
      </c>
      <c r="O3" s="17">
        <f>IFERROR(__xludf.DUMMYFUNCTION("""COMPUTED_VALUE"""),0.608)</f>
        <v>0.608</v>
      </c>
      <c r="P3" s="17">
        <f>IFERROR(__xludf.DUMMYFUNCTION("""COMPUTED_VALUE"""),1.045)</f>
        <v>1.045</v>
      </c>
      <c r="Q3" s="34">
        <f>IFERROR(__xludf.DUMMYFUNCTION("""COMPUTED_VALUE"""),0.99)</f>
        <v>0.99</v>
      </c>
      <c r="R3" s="34">
        <f>IFERROR(__xludf.DUMMYFUNCTION("""COMPUTED_VALUE"""),0.99)</f>
        <v>0.99</v>
      </c>
      <c r="S3" s="34">
        <f>IFERROR(__xludf.DUMMYFUNCTION("""COMPUTED_VALUE"""),1.0)</f>
        <v>1</v>
      </c>
      <c r="T3" s="17" t="str">
        <f t="shared" si="1"/>
        <v>Aaron Judge</v>
      </c>
      <c r="W3" s="35"/>
    </row>
    <row r="4">
      <c r="A4" s="17">
        <f>IFERROR(__xludf.DUMMYFUNCTION("""COMPUTED_VALUE"""),3.0)</f>
        <v>3</v>
      </c>
      <c r="B4" s="17" t="str">
        <f>IFERROR(__xludf.DUMMYFUNCTION("""COMPUTED_VALUE"""),"Bobby Witt Jr. (KC - SS)")</f>
        <v>Bobby Witt Jr. (KC - SS)</v>
      </c>
      <c r="C4" s="17">
        <f>IFERROR(__xludf.DUMMYFUNCTION("""COMPUTED_VALUE"""),496.0)</f>
        <v>496</v>
      </c>
      <c r="D4" s="17">
        <f>IFERROR(__xludf.DUMMYFUNCTION("""COMPUTED_VALUE"""),84.0)</f>
        <v>84</v>
      </c>
      <c r="E4" s="17">
        <f>IFERROR(__xludf.DUMMYFUNCTION("""COMPUTED_VALUE"""),23.0)</f>
        <v>23</v>
      </c>
      <c r="F4" s="17">
        <f>IFERROR(__xludf.DUMMYFUNCTION("""COMPUTED_VALUE"""),77.0)</f>
        <v>77</v>
      </c>
      <c r="G4" s="17">
        <f>IFERROR(__xludf.DUMMYFUNCTION("""COMPUTED_VALUE"""),29.0)</f>
        <v>29</v>
      </c>
      <c r="H4" s="17">
        <f>IFERROR(__xludf.DUMMYFUNCTION("""COMPUTED_VALUE"""),0.291)</f>
        <v>0.291</v>
      </c>
      <c r="I4" s="17">
        <f>IFERROR(__xludf.DUMMYFUNCTION("""COMPUTED_VALUE"""),0.357)</f>
        <v>0.357</v>
      </c>
      <c r="J4" s="17">
        <f>IFERROR(__xludf.DUMMYFUNCTION("""COMPUTED_VALUE"""),144.0)</f>
        <v>144</v>
      </c>
      <c r="K4" s="17">
        <f>IFERROR(__xludf.DUMMYFUNCTION("""COMPUTED_VALUE"""),31.0)</f>
        <v>31</v>
      </c>
      <c r="L4" s="17">
        <f>IFERROR(__xludf.DUMMYFUNCTION("""COMPUTED_VALUE"""),5.0)</f>
        <v>5</v>
      </c>
      <c r="M4" s="17">
        <f>IFERROR(__xludf.DUMMYFUNCTION("""COMPUTED_VALUE"""),44.0)</f>
        <v>44</v>
      </c>
      <c r="N4" s="17">
        <f>IFERROR(__xludf.DUMMYFUNCTION("""COMPUTED_VALUE"""),93.0)</f>
        <v>93</v>
      </c>
      <c r="O4" s="17">
        <f>IFERROR(__xludf.DUMMYFUNCTION("""COMPUTED_VALUE"""),0.512)</f>
        <v>0.512</v>
      </c>
      <c r="P4" s="17">
        <f>IFERROR(__xludf.DUMMYFUNCTION("""COMPUTED_VALUE"""),0.869)</f>
        <v>0.869</v>
      </c>
      <c r="Q4" s="34">
        <f>IFERROR(__xludf.DUMMYFUNCTION("""COMPUTED_VALUE"""),0.99)</f>
        <v>0.99</v>
      </c>
      <c r="R4" s="34">
        <f>IFERROR(__xludf.DUMMYFUNCTION("""COMPUTED_VALUE"""),0.99)</f>
        <v>0.99</v>
      </c>
      <c r="S4" s="34">
        <f>IFERROR(__xludf.DUMMYFUNCTION("""COMPUTED_VALUE"""),1.0)</f>
        <v>1</v>
      </c>
      <c r="T4" s="17" t="str">
        <f t="shared" si="1"/>
        <v>Bobby Witt Jr.</v>
      </c>
      <c r="W4" s="17" t="str">
        <f>IFERROR(__xludf.DUMMYFUNCTION("arrayformula(substitute(substitute(substitute(substitute(substitute(substitute(substitute(substitute(substitute(substitute(substitute(substitute(substitute(substitute(substitute(substitute(substitute(substitute(substitute(substitute(substitute(substitute("&amp;"substitute(substitute(substitute(substitute(substitute(substitute(substitute(substitute(SUBSTITUTE(IMPORTXML(""https://baseballsavant.mlb.com/probable-pitchers/?date=""&amp;text(today()+1,""yyyy-mm-dd""),""//*[@id='homepage-new_probable-pitchers']/div[2]/div["&amp;"1]""),char(10),""""),""Arizona Diamondbacks"",""ARI""),""Atlanta Braves"",""ATL""),""Baltimore Orioles"",""BAL""),""Boston Red Sox"",""BOS""),""Chicago Cubs"",""CHC""),""Chicago White Sox"",""CHW""),""Cincinnati Reds"",""CIN""),""Cleveland Guardians"",""C"&amp;"LE""),""Colorado Rockies"",""COL""),""Detroit Tigers"",""DET""),""Houston Astros"",""HOU""),""Kansas City Royals"",""KCR""),""Los Angeles Angels"",""LAA""),""Los Angeles Dodgers"",""LAD""),""Miami Marlins"",""MIA""),""Milwaukee Brewers"",""MIL""),""Minnes"&amp;"ota Twins"",""MIN""),""New York Mets"",""NYM""),""New York Yankees"",""NYY""),""Oakland Athletics"",""OAK""),""Philadelphia Phillies"",""PHI""),""Pittsburgh Pirates"",""PIT""),""San Diego Padres"",""SDP""),""San Francisco Giants"",""SFG""),""Seattle Marin"&amp;"ers"",""SEA""),""St. Louis Cardinals"",""STL""),""Tampa Bay Rays"",""TBR""),""Texas Rangers"",""TEX""),""Toronto Blue Jays"",""TOR""),""Washington Nationals"",""WSN""))")," Daily matchups for ")</f>
        <v> Daily matchups for </v>
      </c>
      <c r="X4" s="17" t="str">
        <f>IFERROR(__xludf.DUMMYFUNCTION("""COMPUTED_VALUE""")," BAL @ NYY Saturday, May 2nd 2026 1:35 PM ET | Yankee Stadium Preview Matchup  To be announced.  Ryan Weathers #40 Throws: Left @import url('https://fonts.googleapis.com/css?family=Rajdhani:500,700'); .pitcher-stats { font-family: 'Rajdhani'; color: #000;"&amp;" width: 100%; text-align: center; /* Hack to fix FF bug/discrepancy with left border */ margin-left: 1px; } .block { width: 20%; margin: 0; font-family: 'Rajdhani'; font-weight: 700; padding: 5px; text-align: center; } .header { border-bottom: solid 3px #"&amp;"000; } .data { width: 20%; border: solid 1px #000; font-family: 'Rajdhani'; font-weight: 500; padding: 5px; } .hide-mobile { display: inline-block; } @media (max-width: 450px) { .hide-mobile { display: none; } } Career vs Current BAL Roster PA K% BB% AVG "&amp;"wOBA 13 46.2 7.7 .333 .352 Exit Velo Launch Angle xBA xSLG xwOBA 88.4 MPH -0.7 .265 .501 .352 * Statcast data only available back to 2015 ")</f>
        <v> BAL @ NYY Saturday, May 2nd 2026 1:35 PM ET | Yankee Stadium Preview Matchup  To be announced.  Ryan Weathers #40 Throws: Left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BAL Roster PA K% BB% AVG wOBA 13 46.2 7.7 .333 .352 Exit Velo Launch Angle xBA xSLG xwOBA 88.4 MPH -0.7 .265 .501 .352 * Statcast data only available back to 2015 </v>
      </c>
      <c r="Y4" s="17" t="str">
        <f>IFERROR(__xludf.DUMMYFUNCTION("""COMPUTED_VALUE"""),"")</f>
        <v/>
      </c>
      <c r="Z4" s="17" t="str">
        <f>IFERROR(__xludf.DUMMYFUNCTION("""COMPUTED_VALUE""")," TOR @ MIN Saturday, May 2nd 2026 2:10 PM ET | Target Field Preview Matchup  Dylan Cease #84 Throws: Right @import url('https://fonts.googleapis.com/css?family=Rajdhani:500,700'); .pitcher-stats { font-family: 'Rajdhani'; color: #000; width: 100%; text-al"&amp;"ign: center; /* Hack to fix FF bug/discrepancy with left border */ margin-left: 1px; } .block { width: 20%; margin: 0; font-family: 'Rajdhani'; font-weight: 700; padding: 5px; text-align: center; } .header { border-bottom: solid 3px #000; } .data { width:"&amp;" 20%; border: solid 1px #000; font-family: 'Rajdhani'; font-weight: 500; padding: 5px; } .hide-mobile { display: inline-block; } @media (max-width: 450px) { .hide-mobile { display: none; } } Career vs Current MIN Roster PA K% BB% AVG wOBA 73 37.0 11.0 .19"&amp;"0 .246 Exit Velo Launch Angle xBA xSLG xwOBA 88.4 MPH 9.7 .157 .227 .230 * Statcast data only available back to 2015  Connor Prielipp #61 Throws: Left Never Faced Any Players on this Team. ")</f>
        <v> TOR @ MIN Saturday, May 2nd 2026 2:10 PM ET | Target Field Preview Matchup  Dylan Cease #84 Throws: Right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MIN Roster PA K% BB% AVG wOBA 73 37.0 11.0 .190 .246 Exit Velo Launch Angle xBA xSLG xwOBA 88.4 MPH 9.7 .157 .227 .230 * Statcast data only available back to 2015  Connor Prielipp #61 Throws: Left Never Faced Any Players on this Team. </v>
      </c>
      <c r="AA4" s="17" t="str">
        <f>IFERROR(__xludf.DUMMYFUNCTION("""COMPUTED_VALUE"""),"")</f>
        <v/>
      </c>
      <c r="AB4" s="17" t="str">
        <f>IFERROR(__xludf.DUMMYFUNCTION("""COMPUTED_VALUE""")," ARI @ CHC Saturday, May 2nd 2026 2:20 PM ET | Wrigley Field Preview Matchup  Ryne Nelson #19 Throws: Right @import url('https://fonts.googleapis.com/css?family=Rajdhani:500,700'); .pitcher-stats { font-family: 'Rajdhani'; color: #000; width: 100%; text-a"&amp;"lign: center; /* Hack to fix FF bug/discrepancy with left border */ margin-left: 1px; } .block { width: 20%; margin: 0; font-family: 'Rajdhani'; font-weight: 700; padding: 5px; text-align: center; } .header { border-bottom: solid 3px #000; } .data { width"&amp;": 20%; border: solid 1px #000; font-family: 'Rajdhani'; font-weight: 500; padding: 5px; } .hide-mobile { display: inline-block; } @media (max-width: 450px) { .hide-mobile { display: none; } } Career vs Current CHC Roster PA K% BB% AVG wOBA 75 21.3 9.3 .33"&amp;"8 .420 Exit Velo Launch Angle xBA xSLG xwOBA 90.8 MPH 14.1 .283 .494 .363 * Statcast data only available back to 2015  Shota Imanaga #18 Throws: Left @import url('https://fonts.googleapis.com/css?family=Rajdhani:500,700'); .pitcher-stats { font-family: 'R"&amp;"ajdhani'; color: #000; width: 100%; text-align: center; /* Hack to fix FF bug/discrepancy with left border */ margin-left: 1px; } .block { width: 20%; margin: 0; font-family: 'Rajdhani'; font-weight: 700; padding: 5px; text-align: center; } .header { bord"&amp;"er-bottom: solid 3px #000; } .data { width: 20%; border: solid 1px #000; font-family: 'Rajdhani'; font-weight: 500; padding: 5px; } .hide-mobile { display: inline-block; } @media (max-width: 450px) { .hide-mobile { display: none; } } Career vs Current ARI"&amp;" Roster PA K% BB% AVG wOBA 34 20.6 2.9 .129 .156 Exit Velo Launch Angle xBA xSLG xwOBA 87.8 MPH 32.2 .133 .189 .171 * Statcast data only available back to 2015 ")</f>
        <v> ARI @ CHC Saturday, May 2nd 2026 2:20 PM ET | Wrigley Field Preview Matchup  Ryne Nelson #19 Throws: Right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CHC Roster PA K% BB% AVG wOBA 75 21.3 9.3 .338 .420 Exit Velo Launch Angle xBA xSLG xwOBA 90.8 MPH 14.1 .283 .494 .363 * Statcast data only available back to 2015  Shota Imanaga #18 Throws: Left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ARI Roster PA K% BB% AVG wOBA 34 20.6 2.9 .129 .156 Exit Velo Launch Angle xBA xSLG xwOBA 87.8 MPH 32.2 .133 .189 .171 * Statcast data only available back to 2015 </v>
      </c>
      <c r="AC4" s="17" t="str">
        <f>IFERROR(__xludf.DUMMYFUNCTION("""COMPUTED_VALUE"""),"")</f>
        <v/>
      </c>
      <c r="AD4" s="17" t="str">
        <f>IFERROR(__xludf.DUMMYFUNCTION("""COMPUTED_VALUE""")," CLE @ Athletics Saturday, May 2nd 2026 4:05 PM ET | Sutter Health Park Preview Matchup  Slade Cecconi #44 Throws: Right @import url('https://fonts.googleapis.com/css?family=Rajdhani:500,700'); .pitcher-stats { font-family: 'Rajdhani'; color: #000; width:"&amp;" 100%; text-align: center; /* Hack to fix FF bug/discrepancy with left border */ margin-left: 1px; } .block { width: 20%; margin: 0; font-family: 'Rajdhani'; font-weight: 700; padding: 5px; text-align: center; } .header { border-bottom: solid 3px #000; } "&amp;".data { width: 20%; border: solid 1px #000; font-family: 'Rajdhani'; font-weight: 500; padding: 5px; } .hide-mobile { display: inline-block; } @media (max-width: 450px) { .hide-mobile { display: none; } } Career vs Current Athletics Roster PA K% BB% AVG w"&amp;"OBA 54 13.0 1.9 .283 .333 Exit Velo Launch Angle xBA xSLG xwOBA 91.6 MPH 17.6 .268 .486 .326 * Statcast data only available back to 2015  Jacob Lopez #57 Throws: Left @import url('https://fonts.googleapis.com/css?family=Rajdhani:500,700'); .pitcher-stats "&amp;"{ font-family: 'Rajdhani'; color: #000; width: 100%; text-align: center; /* Hack to fix FF bug/discrepancy with left border */ margin-left: 1px; } .block { width: 20%; margin: 0; font-family: 'Rajdhani'; font-weight: 700; padding: 5px; text-align: center;"&amp;" } .header { border-bottom: solid 3px #000; } .data { width: 20%; border: solid 1px #000; font-family: 'Rajdhani'; font-weight: 500; padding: 5px; } .hide-mobile { display: inline-block; } @media (max-width: 450px) { .hide-mobile { display: none; } } Care"&amp;"er vs Current CLE Roster PA K% BB% AVG wOBA 3 0.0 0.0 .000 .240 Exit Velo Launch Angle xBA xSLG xwOBA 95.1 MPH 67.0 .007 .010 .245 * Statcast data only available back to 2015 ")</f>
        <v> CLE @ Athletics Saturday, May 2nd 2026 4:05 PM ET | Sutter Health Park Preview Matchup  Slade Cecconi #44 Throws: Right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Athletics Roster PA K% BB% AVG wOBA 54 13.0 1.9 .283 .333 Exit Velo Launch Angle xBA xSLG xwOBA 91.6 MPH 17.6 .268 .486 .326 * Statcast data only available back to 2015  Jacob Lopez #57 Throws: Left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CLE Roster PA K% BB% AVG wOBA 3 0.0 0.0 .000 .240 Exit Velo Launch Angle xBA xSLG xwOBA 95.1 MPH 67.0 .007 .010 .245 * Statcast data only available back to 2015 </v>
      </c>
      <c r="AE4" s="17" t="str">
        <f>IFERROR(__xludf.DUMMYFUNCTION("""COMPUTED_VALUE"""),"")</f>
        <v/>
      </c>
      <c r="AF4" s="17" t="str">
        <f>IFERROR(__xludf.DUMMYFUNCTION("""COMPUTED_VALUE""")," CIN @ PIT Saturday, May 2nd 2026 4:05 PM ET | PNC Park Preview Matchup  Rhett Lowder #25 Throws: Right @import url('https://fonts.googleapis.com/css?family=Rajdhani:500,700'); .pitcher-stats { font-family: 'Rajdhani'; color: #000; width: 100%; text-align"&amp;": center; /* Hack to fix FF bug/discrepancy with left border */ margin-left: 1px; } .block { width: 20%; margin: 0; font-family: 'Rajdhani'; font-weight: 700; padding: 5px; text-align: center; } .header { border-bottom: solid 3px #000; } .data { width: 20"&amp;"%; border: solid 1px #000; font-family: 'Rajdhani'; font-weight: 500; padding: 5px; } .hide-mobile { display: inline-block; } @media (max-width: 450px) { .hide-mobile { display: none; } } Career vs Current PIT Roster PA K% BB% AVG wOBA 13 7.7 15.4 .182 .2"&amp;"42 Exit Velo Launch Angle xBA xSLG xwOBA 93.0 MPH 26.3 .339 .439 .390 * Statcast data only available back to 2015  Carmen Mlodzinski #50 Throws: Right @import url('https://fonts.googleapis.com/css?family=Rajdhani:500,700'); .pitcher-stats { font-family: '"&amp;"Rajdhani'; color: #000; width: 100%; text-align: center; /* Hack to fix FF bug/discrepancy with left border */ margin-left: 1px; } .block { width: 20%; margin: 0; font-family: 'Rajdhani'; font-weight: 700; padding: 5px; text-align: center; } .header { bor"&amp;"der-bottom: solid 3px #000; } .data { width: 20%; border: solid 1px #000; font-family: 'Rajdhani'; font-weight: 500; padding: 5px; } .hide-mobile { display: inline-block; } @media (max-width: 450px) { .hide-mobile { display: none; } } Career vs Current CI"&amp;"N Roster PA K% BB% AVG wOBA 28 35.7 3.6 .111 .145 Exit Velo Launch Angle xBA xSLG xwOBA 84.3 MPH -5.9 .110 .121 .123 * Statcast data only available back to 2015 ")</f>
        <v> CIN @ PIT Saturday, May 2nd 2026 4:05 PM ET | PNC Park Preview Matchup  Rhett Lowder #25 Throws: Right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PIT Roster PA K% BB% AVG wOBA 13 7.7 15.4 .182 .242 Exit Velo Launch Angle xBA xSLG xwOBA 93.0 MPH 26.3 .339 .439 .390 * Statcast data only available back to 2015  Carmen Mlodzinski #50 Throws: Right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CIN Roster PA K% BB% AVG wOBA 28 35.7 3.6 .111 .145 Exit Velo Launch Angle xBA xSLG xwOBA 84.3 MPH -5.9 .110 .121 .123 * Statcast data only available back to 2015 </v>
      </c>
      <c r="AG4" s="17" t="str">
        <f>IFERROR(__xludf.DUMMYFUNCTION("""COMPUTED_VALUE"""),"")</f>
        <v/>
      </c>
      <c r="AH4" s="17" t="str">
        <f>IFERROR(__xludf.DUMMYFUNCTION("""COMPUTED_VALUE""")," MIL @ WSN Saturday, May 2nd 2026 4:05 PM ET | Nationals Park Preview Matchup  Kyle Harrison #52 Throws: Left @import url('https://fonts.googleapis.com/css?family=Rajdhani:500,700'); .pitcher-stats { font-family: 'Rajdhani'; color: #000; width: 100%; text"&amp;"-align: center; /* Hack to fix FF bug/discrepancy with left border */ margin-left: 1px; } .block { width: 20%; margin: 0; font-family: 'Rajdhani'; font-weight: 700; padding: 5px; text-align: center; } .header { border-bottom: solid 3px #000; } .data { wid"&amp;"th: 20%; border: solid 1px #000; font-family: 'Rajdhani'; font-weight: 500; padding: 5px; } .hide-mobile { display: inline-block; } @media (max-width: 450px) { .hide-mobile { display: none; } } Career vs Current WSN Roster PA K% BB% AVG wOBA 45 11.1 2.2 ."&amp;"366 .406 Exit Velo Launch Angle xBA xSLG xwOBA 84.7 MPH 8.2 .371 .547 .404 * Statcast data only available back to 2015  Foster Griffin #22 Throws: Left @import url('https://fonts.googleapis.com/css?family=Rajdhani:500,700'); .pitcher-stats { font-family: "&amp;"'Rajdhani'; color: #000; width: 100%; text-align: center; /* Hack to fix FF bug/discrepancy with left border */ margin-left: 1px; } .block { width: 20%; margin: 0; font-family: 'Rajdhani'; font-weight: 700; padding: 5px; text-align: center; } .header { bo"&amp;"rder-bottom: solid 3px #000; } .data { width: 20%; border: solid 1px #000; font-family: 'Rajdhani'; font-weight: 500; padding: 5px; } .hide-mobile { display: inline-block; } @media (max-width: 450px) { .hide-mobile { display: none; } } Career vs Current M"&amp;"IL Roster PA K% BB% AVG wOBA 18 5.6 11.1 .063 .129 Exit Velo Launch Angle xBA xSLG xwOBA 85.4 MPH 16.1 .170 .336 .269 * Statcast data only available back to 2015 ")</f>
        <v> MIL @ WSN Saturday, May 2nd 2026 4:05 PM ET | Nationals Park Preview Matchup  Kyle Harrison #52 Throws: Left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WSN Roster PA K% BB% AVG wOBA 45 11.1 2.2 .366 .406 Exit Velo Launch Angle xBA xSLG xwOBA 84.7 MPH 8.2 .371 .547 .404 * Statcast data only available back to 2015  Foster Griffin #22 Throws: Left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MIL Roster PA K% BB% AVG wOBA 18 5.6 11.1 .063 .129 Exit Velo Launch Angle xBA xSLG xwOBA 85.4 MPH 16.1 .170 .336 .269 * Statcast data only available back to 2015 </v>
      </c>
      <c r="AI4" s="17" t="str">
        <f>IFERROR(__xludf.DUMMYFUNCTION("""COMPUTED_VALUE"""),"")</f>
        <v/>
      </c>
      <c r="AJ4" s="17" t="str">
        <f>IFERROR(__xludf.DUMMYFUNCTION("""COMPUTED_VALUE""")," HOU @ BOS Saturday, May 2nd 2026 4:10 PM ET | Fenway Park Preview Matchup  Spencer Arrighetti #41 Throws: Right @import url('https://fonts.googleapis.com/css?family=Rajdhani:500,700'); .pitcher-stats { font-family: 'Rajdhani'; color: #000; width: 100%; t"&amp;"ext-align: center; /* Hack to fix FF bug/discrepancy with left border */ margin-left: 1px; } .block { width: 20%; margin: 0; font-family: 'Rajdhani'; font-weight: 700; padding: 5px; text-align: center; } .header { border-bottom: solid 3px #000; } .data { "&amp;"width: 20%; border: solid 1px #000; font-family: 'Rajdhani'; font-weight: 500; padding: 5px; } .hide-mobile { display: inline-block; } @media (max-width: 450px) { .hide-mobile { display: none; } } Career vs Current BOS Roster PA K% BB% AVG wOBA 28 32.1 14"&amp;".3 .091 .229 Exit Velo Launch Angle xBA xSLG xwOBA 89.8 MPH 30.3 .186 .380 .357 * Statcast data only available back to 2015  Connelly Early #71 Throws: Left Never Faced Any Players on this Team. ")</f>
        <v> HOU @ BOS Saturday, May 2nd 2026 4:10 PM ET | Fenway Park Preview Matchup  Spencer Arrighetti #41 Throws: Right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BOS Roster PA K% BB% AVG wOBA 28 32.1 14.3 .091 .229 Exit Velo Launch Angle xBA xSLG xwOBA 89.8 MPH 30.3 .186 .380 .357 * Statcast data only available back to 2015  Connelly Early #71 Throws: Left Never Faced Any Players on this Team. </v>
      </c>
      <c r="AK4" s="17" t="str">
        <f>IFERROR(__xludf.DUMMYFUNCTION("""COMPUTED_VALUE"""),"")</f>
        <v/>
      </c>
      <c r="AL4" s="17" t="str">
        <f>IFERROR(__xludf.DUMMYFUNCTION("""COMPUTED_VALUE""")," PHI @ MIA Saturday, May 2nd 2026 4:10 PM ET | loanDepot park Preview Matchup  To be announced.  Max Meyer #23 Throws: Right @import url('https://fonts.googleapis.com/css?family=Rajdhani:500,700'); .pitcher-stats { font-family: 'Rajdhani'; color: #000; wi"&amp;"dth: 100%; text-align: center; /* Hack to fix FF bug/discrepancy with left border */ margin-left: 1px; } .block { width: 20%; margin: 0; font-family: 'Rajdhani'; font-weight: 700; padding: 5px; text-align: center; } .header { border-bottom: solid 3px #000"&amp;"; } .data { width: 20%; border: solid 1px #000; font-family: 'Rajdhani'; font-weight: 500; padding: 5px; } .hide-mobile { display: inline-block; } @media (max-width: 450px) { .hide-mobile { display: none; } } Career vs Current PHI Roster PA K% BB% AVG wOB"&amp;"A 7 14.3 0.0 .143 .180 Exit Velo Launch Angle xBA xSLG xwOBA 92.2 MPH 13.2 .115 .282 .169 * Statcast data only available back to 2015 ")</f>
        <v> PHI @ MIA Saturday, May 2nd 2026 4:10 PM ET | loanDepot park Preview Matchup  To be announced.  Max Meyer #23 Throws: Right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PHI Roster PA K% BB% AVG wOBA 7 14.3 0.0 .143 .180 Exit Velo Launch Angle xBA xSLG xwOBA 92.2 MPH 13.2 .115 .282 .169 * Statcast data only available back to 2015 </v>
      </c>
      <c r="AM4" s="17" t="str">
        <f>IFERROR(__xludf.DUMMYFUNCTION("""COMPUTED_VALUE"""),"")</f>
        <v/>
      </c>
      <c r="AN4" s="17" t="str">
        <f>IFERROR(__xludf.DUMMYFUNCTION("""COMPUTED_VALUE""")," SFG @ TBR Saturday, May 2nd 2026 6:10 PM ET | Tropicana Field Preview Matchup  Landen Roupp #65 Throws: Right @import url('https://fonts.googleapis.com/css?family=Rajdhani:500,700'); .pitcher-stats { font-family: 'Rajdhani'; color: #000; width: 100%; tex"&amp;"t-align: center; /* Hack to fix FF bug/discrepancy with left border */ margin-left: 1px; } .block { width: 20%; margin: 0; font-family: 'Rajdhani'; font-weight: 700; padding: 5px; text-align: center; } .header { border-bottom: solid 3px #000; } .data { wi"&amp;"dth: 20%; border: solid 1px #000; font-family: 'Rajdhani'; font-weight: 500; padding: 5px; } .hide-mobile { display: inline-block; } @media (max-width: 450px) { .hide-mobile { display: none; } } Career vs Current TBR Roster PA K% BB% AVG wOBA 12 0.0 8.3 ."&amp;"545 .626 Exit Velo Launch Angle xBA xSLG xwOBA 84.0 MPH 1.6 .380 .592 .442 * Statcast data only available back to 2015  To be announced. ")</f>
        <v> SFG @ TBR Saturday, May 2nd 2026 6:10 PM ET | Tropicana Field Preview Matchup  Landen Roupp #65 Throws: Right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TBR Roster PA K% BB% AVG wOBA 12 0.0 8.3 .545 .626 Exit Velo Launch Angle xBA xSLG xwOBA 84.0 MPH 1.6 .380 .592 .442 * Statcast data only available back to 2015  To be announced. </v>
      </c>
      <c r="AO4" s="17" t="str">
        <f>IFERROR(__xludf.DUMMYFUNCTION("""COMPUTED_VALUE"""),"")</f>
        <v/>
      </c>
      <c r="AP4" s="17" t="str">
        <f>IFERROR(__xludf.DUMMYFUNCTION("""COMPUTED_VALUE""")," LAD @ STL Saturday, May 2nd 2026 7:15 PM ET | Busch Stadium Preview Matchup  Roki Sasaki #11 Throws: Right Never Faced Any Players on this Team.  Michael McGreevy #36 Throws: Right @import url('https://fonts.googleapis.com/css?family=Rajdhani:500,700'); "&amp;".pitcher-stats { font-family: 'Rajdhani'; color: #000; width: 100%; text-align: center; /* Hack to fix FF bug/discrepancy with left border */ margin-left: 1px; } .block { width: 20%; margin: 0; font-family: 'Rajdhani'; font-weight: 700; padding: 5px; text"&amp;"-align: center; } .header { border-bottom: solid 3px #000; } .data { width: 20%; border: solid 1px #000; font-family: 'Rajdhani'; font-weight: 500; padding: 5px; } .hide-mobile { display: inline-block; } @media (max-width: 450px) { .hide-mobile { display:"&amp;" none; } } Career vs Current LAD Roster PA K% BB% AVG wOBA 25 12.0 0.0 .320 .353 Exit Velo Launch Angle xBA xSLG xwOBA 92.4 MPH 18.0 .343 .499 .362 * Statcast data only available back to 2015 ")</f>
        <v> LAD @ STL Saturday, May 2nd 2026 7:15 PM ET | Busch Stadium Preview Matchup  Roki Sasaki #11 Throws: Right Never Faced Any Players on this Team.  Michael McGreevy #36 Throws: Right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LAD Roster PA K% BB% AVG wOBA 25 12.0 0.0 .320 .353 Exit Velo Launch Angle xBA xSLG xwOBA 92.4 MPH 18.0 .343 .499 .362 * Statcast data only available back to 2015 </v>
      </c>
      <c r="AQ4" s="17" t="str">
        <f>IFERROR(__xludf.DUMMYFUNCTION("""COMPUTED_VALUE"""),"")</f>
        <v/>
      </c>
      <c r="AR4" s="17" t="str">
        <f>IFERROR(__xludf.DUMMYFUNCTION("""COMPUTED_VALUE""")," TEX @ DET Saturday, May 2nd 2026 7:15 PM ET | Comerica Park Preview Matchup  Kumar Rocker #80 Throws: Right @import url('https://fonts.googleapis.com/css?family=Rajdhani:500,700'); .pitcher-stats { font-family: 'Rajdhani'; color: #000; width: 100%; text-"&amp;"align: center; /* Hack to fix FF bug/discrepancy with left border */ margin-left: 1px; } .block { width: 20%; margin: 0; font-family: 'Rajdhani'; font-weight: 700; padding: 5px; text-align: center; } .header { border-bottom: solid 3px #000; } .data { widt"&amp;"h: 20%; border: solid 1px #000; font-family: 'Rajdhani'; font-weight: 500; padding: 5px; } .hide-mobile { display: inline-block; } @media (max-width: 450px) { .hide-mobile { display: none; } } Career vs Current DET Roster PA K% BB% AVG wOBA 17 23.5 17.6 ."&amp;"071 .174 Exit Velo Launch Angle xBA xSLG xwOBA 84.5 MPH 13.3 .196 .275 .290 * Statcast data only available back to 2015  Keider Montero #54 Throws: Right @import url('https://fonts.googleapis.com/css?family=Rajdhani:500,700'); .pitcher-stats { font-family"&amp;": 'Rajdhani'; color: #000; width: 100%; text-align: center; /* Hack to fix FF bug/discrepancy with left border */ margin-left: 1px; } .block { width: 20%; margin: 0; font-family: 'Rajdhani'; font-weight: 700; padding: 5px; text-align: center; } .header { "&amp;"border-bottom: solid 3px #000; } .data { width: 20%; border: solid 1px #000; font-family: 'Rajdhani'; font-weight: 500; padding: 5px; } .hide-mobile { display: inline-block; } @media (max-width: 450px) { .hide-mobile { display: none; } } Career vs Current"&amp;" TEX Roster PA K% BB% AVG wOBA 22 13.6 13.6 .263 .400 Exit Velo Launch Angle xBA xSLG xwOBA 93.0 MPH 17.4 .329 .579 .426 * Statcast data only available back to 2015 ")</f>
        <v> TEX @ DET Saturday, May 2nd 2026 7:15 PM ET | Comerica Park Preview Matchup  Kumar Rocker #80 Throws: Right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DET Roster PA K% BB% AVG wOBA 17 23.5 17.6 .071 .174 Exit Velo Launch Angle xBA xSLG xwOBA 84.5 MPH 13.3 .196 .275 .290 * Statcast data only available back to 2015  Keider Montero #54 Throws: Right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TEX Roster PA K% BB% AVG wOBA 22 13.6 13.6 .263 .400 Exit Velo Launch Angle xBA xSLG xwOBA 93.0 MPH 17.4 .329 .579 .426 * Statcast data only available back to 2015 </v>
      </c>
      <c r="AS4" s="17" t="str">
        <f>IFERROR(__xludf.DUMMYFUNCTION("""COMPUTED_VALUE"""),"")</f>
        <v/>
      </c>
      <c r="AT4" s="17" t="str">
        <f>IFERROR(__xludf.DUMMYFUNCTION("""COMPUTED_VALUE""")," ATL @ COL Saturday, May 2nd 2026 8:10 PM ET | Coors Field Preview Matchup  Chris Sale #51 Throws: Left @import url('https://fonts.googleapis.com/css?family=Rajdhani:500,700'); .pitcher-stats { font-family: 'Rajdhani'; color: #000; width: 100%; text-align"&amp;": center; /* Hack to fix FF bug/discrepancy with left border */ margin-left: 1px; } .block { width: 20%; margin: 0; font-family: 'Rajdhani'; font-weight: 700; padding: 5px; text-align: center; } .header { border-bottom: solid 3px #000; } .data { width: 20"&amp;"%; border: solid 1px #000; font-family: 'Rajdhani'; font-weight: 500; padding: 5px; } .hide-mobile { display: inline-block; } @media (max-width: 450px) { .hide-mobile { display: none; } } Career vs Current COL Roster PA K% BB% AVG wOBA 36 41.7 2.8 .257 .3"&amp;"22 Exit Velo Launch Angle xBA xSLG xwOBA 89.7 MPH 17.4 .213 .403 .273 * Statcast data only available back to 2015  To be announced. ")</f>
        <v> ATL @ COL Saturday, May 2nd 2026 8:10 PM ET | Coors Field Preview Matchup  Chris Sale #51 Throws: Left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COL Roster PA K% BB% AVG wOBA 36 41.7 2.8 .257 .322 Exit Velo Launch Angle xBA xSLG xwOBA 89.7 MPH 17.4 .213 .403 .273 * Statcast data only available back to 2015  To be announced. </v>
      </c>
      <c r="AU4" s="17" t="str">
        <f>IFERROR(__xludf.DUMMYFUNCTION("""COMPUTED_VALUE"""),"")</f>
        <v/>
      </c>
      <c r="AV4" s="17" t="str">
        <f>IFERROR(__xludf.DUMMYFUNCTION("""COMPUTED_VALUE""")," CHW @ SDP Saturday, May 2nd 2026 8:40 PM ET | Petco Park Preview Matchup  Sean Burke #59 Throws: Right @import url('https://fonts.googleapis.com/css?family=Rajdhani:500,700'); .pitcher-stats { font-family: 'Rajdhani'; color: #000; width: 100%; text-align"&amp;": center; /* Hack to fix FF bug/discrepancy with left border */ margin-left: 1px; } .block { width: 20%; margin: 0; font-family: 'Rajdhani'; font-weight: 700; padding: 5px; text-align: center; } .header { border-bottom: solid 3px #000; } .data { width: 20"&amp;"%; border: solid 1px #000; font-family: 'Rajdhani'; font-weight: 500; padding: 5px; } .hide-mobile { display: inline-block; } @media (max-width: 450px) { .hide-mobile { display: none; } } Career vs Current SDP Roster PA K% BB% AVG wOBA 30 26.7 3.3 .207 .2"&amp;"38 Exit Velo Launch Angle xBA xSLG xwOBA 82.6 MPH 7.4 .289 .523 .354 * Statcast data only available back to 2015  Michael King #34 Throws: Right @import url('https://fonts.googleapis.com/css?family=Rajdhani:500,700'); .pitcher-stats { font-family: 'Rajdha"&amp;"ni'; color: #000; width: 100%; text-align: center; /* Hack to fix FF bug/discrepancy with left border */ margin-left: 1px; } .block { width: 20%; margin: 0; font-family: 'Rajdhani'; font-weight: 700; padding: 5px; text-align: center; } .header { border-bo"&amp;"ttom: solid 3px #000; } .data { width: 20%; border: solid 1px #000; font-family: 'Rajdhani'; font-weight: 500; padding: 5px; } .hide-mobile { display: inline-block; } @media (max-width: 450px) { .hide-mobile { display: none; } } Career vs Current CHW Rost"&amp;"er PA K% BB% AVG wOBA 28 21.4 14.3 .174 .251 Exit Velo Launch Angle xBA xSLG xwOBA 81.7 MPH 3.6 .260 .332 .336 * Statcast data only available back to 2015 ")</f>
        <v> CHW @ SDP Saturday, May 2nd 2026 8:40 PM ET | Petco Park Preview Matchup  Sean Burke #59 Throws: Right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SDP Roster PA K% BB% AVG wOBA 30 26.7 3.3 .207 .238 Exit Velo Launch Angle xBA xSLG xwOBA 82.6 MPH 7.4 .289 .523 .354 * Statcast data only available back to 2015  Michael King #34 Throws: Right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CHW Roster PA K% BB% AVG wOBA 28 21.4 14.3 .174 .251 Exit Velo Launch Angle xBA xSLG xwOBA 81.7 MPH 3.6 .260 .332 .336 * Statcast data only available back to 2015 </v>
      </c>
      <c r="AW4" s="17" t="str">
        <f>IFERROR(__xludf.DUMMYFUNCTION("""COMPUTED_VALUE"""),"")</f>
        <v/>
      </c>
      <c r="AX4" s="17" t="str">
        <f>IFERROR(__xludf.DUMMYFUNCTION("""COMPUTED_VALUE""")," NYM @ LAA Saturday, May 2nd 2026 9:38 PM ET | Angel Stadium Preview Matchup  Nolan McLean #26 Throws: Right Never Faced Any Players on this Team.  Reid Detmers #48 Throws: Left @import url('https://fonts.googleapis.com/css?family=Rajdhani:500,700'); .pit"&amp;"cher-stats { font-family: 'Rajdhani'; color: #000; width: 100%; text-align: center; /* Hack to fix FF bug/discrepancy with left border */ margin-left: 1px; } .block { width: 20%; margin: 0; font-family: 'Rajdhani'; font-weight: 700; padding: 5px; text-ali"&amp;"gn: center; } .header { border-bottom: solid 3px #000; } .data { width: 20%; border: solid 1px #000; font-family: 'Rajdhani'; font-weight: 500; padding: 5px; } .hide-mobile { display: inline-block; } @media (max-width: 450px) { .hide-mobile { display: non"&amp;"e; } } Career vs Current NYM Roster PA K% BB% AVG wOBA 50 16.0 6.0 .426 .500 Exit Velo Launch Angle xBA xSLG xwOBA 89.4 MPH 17.9 .296 .532 .372 * Statcast data only available back to 2015 ")</f>
        <v> NYM @ LAA Saturday, May 2nd 2026 9:38 PM ET | Angel Stadium Preview Matchup  Nolan McLean #26 Throws: Right Never Faced Any Players on this Team.  Reid Detmers #48 Throws: Left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NYM Roster PA K% BB% AVG wOBA 50 16.0 6.0 .426 .500 Exit Velo Launch Angle xBA xSLG xwOBA 89.4 MPH 17.9 .296 .532 .372 * Statcast data only available back to 2015 </v>
      </c>
      <c r="AY4" s="17" t="str">
        <f>IFERROR(__xludf.DUMMYFUNCTION("""COMPUTED_VALUE"""),"")</f>
        <v/>
      </c>
      <c r="AZ4" s="17" t="str">
        <f>IFERROR(__xludf.DUMMYFUNCTION("""COMPUTED_VALUE""")," KCR @ SEA Saturday, May 2nd 2026 9:40 PM ET | T-Mobile Park Preview Matchup  Seth Lugo #67 Throws: Right @import url('https://fonts.googleapis.com/css?family=Rajdhani:500,700'); .pitcher-stats { font-family: 'Rajdhani'; color: #000; width: 100%; text-ali"&amp;"gn: center; /* Hack to fix FF bug/discrepancy with left border */ margin-left: 1px; } .block { width: 20%; margin: 0; font-family: 'Rajdhani'; font-weight: 700; padding: 5px; text-align: center; } .header { border-bottom: solid 3px #000; } .data { width: "&amp;"20%; border: solid 1px #000; font-family: 'Rajdhani'; font-weight: 500; padding: 5px; } .hide-mobile { display: inline-block; } @media (max-width: 450px) { .hide-mobile { display: none; } } Career vs Current SEA Roster PA K% BB% AVG wOBA 43 25.6 4.7 .171 "&amp;".211 Exit Velo Launch Angle xBA xSLG xwOBA 90.5 MPH 15.5 .207 .422 .284 * Statcast data only available back to 2015  Emerson Hancock #26 Throws: Right @import url('https://fonts.googleapis.com/css?family=Rajdhani:500,700'); .pitcher-stats { font-family: '"&amp;"Rajdhani'; color: #000; width: 100%; text-align: center; /* Hack to fix FF bug/discrepancy with left border */ margin-left: 1px; } .block { width: 20%; margin: 0; font-family: 'Rajdhani'; font-weight: 700; padding: 5px; text-align: center; } .header { bor"&amp;"der-bottom: solid 3px #000; } .data { width: 20%; border: solid 1px #000; font-family: 'Rajdhani'; font-weight: 500; padding: 5px; } .hide-mobile { display: inline-block; } @media (max-width: 450px) { .hide-mobile { display: none; } } Career vs Current KC"&amp;"R Roster PA K% BB% AVG wOBA 45 6.7 6.7 .310 .359 Exit Velo Launch Angle xBA xSLG xwOBA 86.7 MPH 7.6 .318 .562 .394 * Statcast data only available back to 2015 ")</f>
        <v> KCR @ SEA Saturday, May 2nd 2026 9:40 PM ET | T-Mobile Park Preview Matchup  Seth Lugo #67 Throws: Right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SEA Roster PA K% BB% AVG wOBA 43 25.6 4.7 .171 .211 Exit Velo Launch Angle xBA xSLG xwOBA 90.5 MPH 15.5 .207 .422 .284 * Statcast data only available back to 2015  Emerson Hancock #26 Throws: Right @import url('https://fonts.googleapis.com/css?family=Rajdhani:500,700'); .pitcher-stats { font-family: 'Rajdhani'; color: #000; width: 100%; text-align: center; /* Hack to fix FF bug/discrepancy with left border */ margin-left: 1px; } .block { width: 20%; margin: 0; font-family: 'Rajdhani'; font-weight: 700; padding: 5px; text-align: center; } .header { border-bottom: solid 3px #000; } .data { width: 20%; border: solid 1px #000; font-family: 'Rajdhani'; font-weight: 500; padding: 5px; } .hide-mobile { display: inline-block; } @media (max-width: 450px) { .hide-mobile { display: none; } } Career vs Current KCR Roster PA K% BB% AVG wOBA 45 6.7 6.7 .310 .359 Exit Velo Launch Angle xBA xSLG xwOBA 86.7 MPH 7.6 .318 .562 .394 * Statcast data only available back to 2015 </v>
      </c>
      <c r="BA4" s="17" t="str">
        <f>IFERROR(__xludf.DUMMYFUNCTION("""COMPUTED_VALUE"""),"")</f>
        <v/>
      </c>
    </row>
    <row r="5">
      <c r="A5" s="17">
        <f>IFERROR(__xludf.DUMMYFUNCTION("""COMPUTED_VALUE"""),4.0)</f>
        <v>4</v>
      </c>
      <c r="B5" s="17" t="str">
        <f>IFERROR(__xludf.DUMMYFUNCTION("""COMPUTED_VALUE"""),"Juan Soto (NYM - LF,RF,DH)")</f>
        <v>Juan Soto (NYM - LF,RF,DH)</v>
      </c>
      <c r="C5" s="17">
        <f>IFERROR(__xludf.DUMMYFUNCTION("""COMPUTED_VALUE"""),433.0)</f>
        <v>433</v>
      </c>
      <c r="D5" s="17">
        <f>IFERROR(__xludf.DUMMYFUNCTION("""COMPUTED_VALUE"""),88.0)</f>
        <v>88</v>
      </c>
      <c r="E5" s="17">
        <f>IFERROR(__xludf.DUMMYFUNCTION("""COMPUTED_VALUE"""),29.0)</f>
        <v>29</v>
      </c>
      <c r="F5" s="17">
        <f>IFERROR(__xludf.DUMMYFUNCTION("""COMPUTED_VALUE"""),79.0)</f>
        <v>79</v>
      </c>
      <c r="G5" s="17">
        <f>IFERROR(__xludf.DUMMYFUNCTION("""COMPUTED_VALUE"""),16.0)</f>
        <v>16</v>
      </c>
      <c r="H5" s="17">
        <f>IFERROR(__xludf.DUMMYFUNCTION("""COMPUTED_VALUE"""),0.272)</f>
        <v>0.272</v>
      </c>
      <c r="I5" s="17">
        <f>IFERROR(__xludf.DUMMYFUNCTION("""COMPUTED_VALUE"""),0.421)</f>
        <v>0.421</v>
      </c>
      <c r="J5" s="17">
        <f>IFERROR(__xludf.DUMMYFUNCTION("""COMPUTED_VALUE"""),118.0)</f>
        <v>118</v>
      </c>
      <c r="K5" s="17">
        <f>IFERROR(__xludf.DUMMYFUNCTION("""COMPUTED_VALUE"""),20.0)</f>
        <v>20</v>
      </c>
      <c r="L5" s="17">
        <f>IFERROR(__xludf.DUMMYFUNCTION("""COMPUTED_VALUE"""),1.0)</f>
        <v>1</v>
      </c>
      <c r="M5" s="17">
        <f>IFERROR(__xludf.DUMMYFUNCTION("""COMPUTED_VALUE"""),104.0)</f>
        <v>104</v>
      </c>
      <c r="N5" s="17">
        <f>IFERROR(__xludf.DUMMYFUNCTION("""COMPUTED_VALUE"""),95.0)</f>
        <v>95</v>
      </c>
      <c r="O5" s="17">
        <f>IFERROR(__xludf.DUMMYFUNCTION("""COMPUTED_VALUE"""),0.526)</f>
        <v>0.526</v>
      </c>
      <c r="P5" s="17">
        <f>IFERROR(__xludf.DUMMYFUNCTION("""COMPUTED_VALUE"""),0.947)</f>
        <v>0.947</v>
      </c>
      <c r="Q5" s="34">
        <f>IFERROR(__xludf.DUMMYFUNCTION("""COMPUTED_VALUE"""),0.99)</f>
        <v>0.99</v>
      </c>
      <c r="R5" s="34">
        <f>IFERROR(__xludf.DUMMYFUNCTION("""COMPUTED_VALUE"""),0.99)</f>
        <v>0.99</v>
      </c>
      <c r="S5" s="34">
        <f>IFERROR(__xludf.DUMMYFUNCTION("""COMPUTED_VALUE"""),1.0)</f>
        <v>1</v>
      </c>
      <c r="T5" s="17" t="str">
        <f t="shared" si="1"/>
        <v>Juan Soto</v>
      </c>
      <c r="X5" s="11" t="s">
        <v>443</v>
      </c>
      <c r="Y5" s="11" t="s">
        <v>444</v>
      </c>
    </row>
    <row r="6">
      <c r="A6" s="17">
        <f>IFERROR(__xludf.DUMMYFUNCTION("""COMPUTED_VALUE"""),5.0)</f>
        <v>5</v>
      </c>
      <c r="B6" s="17" t="str">
        <f>IFERROR(__xludf.DUMMYFUNCTION("""COMPUTED_VALUE"""),"Jose Ramirez (CLE - 3B,DH)")</f>
        <v>Jose Ramirez (CLE - 3B,DH)</v>
      </c>
      <c r="C6" s="17">
        <f>IFERROR(__xludf.DUMMYFUNCTION("""COMPUTED_VALUE"""),475.0)</f>
        <v>475</v>
      </c>
      <c r="D6" s="17">
        <f>IFERROR(__xludf.DUMMYFUNCTION("""COMPUTED_VALUE"""),77.0)</f>
        <v>77</v>
      </c>
      <c r="E6" s="17">
        <f>IFERROR(__xludf.DUMMYFUNCTION("""COMPUTED_VALUE"""),24.0)</f>
        <v>24</v>
      </c>
      <c r="F6" s="17">
        <f>IFERROR(__xludf.DUMMYFUNCTION("""COMPUTED_VALUE"""),77.0)</f>
        <v>77</v>
      </c>
      <c r="G6" s="17">
        <f>IFERROR(__xludf.DUMMYFUNCTION("""COMPUTED_VALUE"""),28.0)</f>
        <v>28</v>
      </c>
      <c r="H6" s="17">
        <f>IFERROR(__xludf.DUMMYFUNCTION("""COMPUTED_VALUE"""),0.272)</f>
        <v>0.272</v>
      </c>
      <c r="I6" s="17">
        <f>IFERROR(__xludf.DUMMYFUNCTION("""COMPUTED_VALUE"""),0.366)</f>
        <v>0.366</v>
      </c>
      <c r="J6" s="17">
        <f>IFERROR(__xludf.DUMMYFUNCTION("""COMPUTED_VALUE"""),129.0)</f>
        <v>129</v>
      </c>
      <c r="K6" s="17">
        <f>IFERROR(__xludf.DUMMYFUNCTION("""COMPUTED_VALUE"""),28.0)</f>
        <v>28</v>
      </c>
      <c r="L6" s="17">
        <f>IFERROR(__xludf.DUMMYFUNCTION("""COMPUTED_VALUE"""),2.0)</f>
        <v>2</v>
      </c>
      <c r="M6" s="17">
        <f>IFERROR(__xludf.DUMMYFUNCTION("""COMPUTED_VALUE"""),56.0)</f>
        <v>56</v>
      </c>
      <c r="N6" s="17">
        <f>IFERROR(__xludf.DUMMYFUNCTION("""COMPUTED_VALUE"""),64.0)</f>
        <v>64</v>
      </c>
      <c r="O6" s="17">
        <f>IFERROR(__xludf.DUMMYFUNCTION("""COMPUTED_VALUE"""),0.49)</f>
        <v>0.49</v>
      </c>
      <c r="P6" s="17">
        <f>IFERROR(__xludf.DUMMYFUNCTION("""COMPUTED_VALUE"""),0.856)</f>
        <v>0.856</v>
      </c>
      <c r="Q6" s="34">
        <f>IFERROR(__xludf.DUMMYFUNCTION("""COMPUTED_VALUE"""),0.99)</f>
        <v>0.99</v>
      </c>
      <c r="R6" s="34">
        <f>IFERROR(__xludf.DUMMYFUNCTION("""COMPUTED_VALUE"""),0.99)</f>
        <v>0.99</v>
      </c>
      <c r="S6" s="34">
        <f>IFERROR(__xludf.DUMMYFUNCTION("""COMPUTED_VALUE"""),1.0)</f>
        <v>1</v>
      </c>
      <c r="T6" s="17" t="str">
        <f t="shared" si="1"/>
        <v>Jose Ramirez</v>
      </c>
      <c r="W6" s="17">
        <f>IFERROR(__xludf.DUMMYFUNCTION("MAKEARRAY((COLUMNS(IMPORTXML(""https://baseballsavant.mlb.com/probable-pitchers/?date=""&amp;text(today()+1,""yyyy-mm-dd""),""//*[@id='homepage-new_probable-pitchers']/div[2]/div[1]""))-1),1,lambda(row,col,rounddown((row-1)/2)*2+1*col))"),1.0)</f>
        <v>1</v>
      </c>
      <c r="X6" s="17" t="str">
        <f>IFERROR(__xludf.DUMMYFUNCTION("if(left(trim(MID(indirect(""R4C""&amp;W6-1+column($W$4)+1,False),find(""Matchup"",indirect(""R4C""&amp;W6-1+column($W$4)+1,False))+9,find(""Throws"",indirect(""R4C""&amp;W6-1+column($W$4)+1,False))-find(""Matchup"",indirect(""R4C""&amp;W6-1+column($W$4)+1,False))-13)),15"&amp;")=""To be announced"",""TBD ""&amp;index(split(trim(left(indirect(""R4C""&amp;W7-1+column($W$4)+1,False),find(text(today()+1,""DDDD""),indirect(""R4C""&amp;W7-1+column($W$4)+1,False))-1)),""@""),,1),trim(MID(indirect(""R4C""&amp;W6-1+column($W$4)+1,False),find(""Matchup"&amp;""",indirect(""R4C""&amp;W6-1+column($W$4)+1,False))+9,find(""Throws"",indirect(""R4C""&amp;W6-1+column($W$4)+1,False))-find(""Matchup"",indirect(""R4C""&amp;W6-1+column($W$4)+1,False))-13)))"),"TBD BAL ")</f>
        <v>TBD BAL </v>
      </c>
      <c r="Y6" s="17" t="str">
        <f>IFERROR(__xludf.DUMMYFUNCTION("""@""&amp;index(split(trim(left(indirect(""R4C""&amp;W6-1+column($W$4)+1,False),find(text(today()+1,""DDDD""),indirect(""R4C""&amp;W6-1+column($W$4)+1,False))-1)),""@""),,2)"),"@ NYY")</f>
        <v>@ NYY</v>
      </c>
    </row>
    <row r="7">
      <c r="A7" s="17">
        <f>IFERROR(__xludf.DUMMYFUNCTION("""COMPUTED_VALUE"""),6.0)</f>
        <v>6</v>
      </c>
      <c r="B7" s="17" t="str">
        <f>IFERROR(__xludf.DUMMYFUNCTION("""COMPUTED_VALUE"""),"Elly De La Cruz (CIN - SS)")</f>
        <v>Elly De La Cruz (CIN - SS)</v>
      </c>
      <c r="C7" s="17">
        <f>IFERROR(__xludf.DUMMYFUNCTION("""COMPUTED_VALUE"""),483.0)</f>
        <v>483</v>
      </c>
      <c r="D7" s="17">
        <f>IFERROR(__xludf.DUMMYFUNCTION("""COMPUTED_VALUE"""),81.0)</f>
        <v>81</v>
      </c>
      <c r="E7" s="17">
        <f>IFERROR(__xludf.DUMMYFUNCTION("""COMPUTED_VALUE"""),22.0)</f>
        <v>22</v>
      </c>
      <c r="F7" s="17">
        <f>IFERROR(__xludf.DUMMYFUNCTION("""COMPUTED_VALUE"""),74.0)</f>
        <v>74</v>
      </c>
      <c r="G7" s="17">
        <f>IFERROR(__xludf.DUMMYFUNCTION("""COMPUTED_VALUE"""),33.0)</f>
        <v>33</v>
      </c>
      <c r="H7" s="17">
        <f>IFERROR(__xludf.DUMMYFUNCTION("""COMPUTED_VALUE"""),0.265)</f>
        <v>0.265</v>
      </c>
      <c r="I7" s="17">
        <f>IFERROR(__xludf.DUMMYFUNCTION("""COMPUTED_VALUE"""),0.345)</f>
        <v>0.345</v>
      </c>
      <c r="J7" s="17">
        <f>IFERROR(__xludf.DUMMYFUNCTION("""COMPUTED_VALUE"""),128.0)</f>
        <v>128</v>
      </c>
      <c r="K7" s="17">
        <f>IFERROR(__xludf.DUMMYFUNCTION("""COMPUTED_VALUE"""),25.0)</f>
        <v>25</v>
      </c>
      <c r="L7" s="17">
        <f>IFERROR(__xludf.DUMMYFUNCTION("""COMPUTED_VALUE"""),4.0)</f>
        <v>4</v>
      </c>
      <c r="M7" s="17">
        <f>IFERROR(__xludf.DUMMYFUNCTION("""COMPUTED_VALUE"""),54.0)</f>
        <v>54</v>
      </c>
      <c r="N7" s="17">
        <f>IFERROR(__xludf.DUMMYFUNCTION("""COMPUTED_VALUE"""),144.0)</f>
        <v>144</v>
      </c>
      <c r="O7" s="17">
        <f>IFERROR(__xludf.DUMMYFUNCTION("""COMPUTED_VALUE"""),0.475)</f>
        <v>0.475</v>
      </c>
      <c r="P7" s="17">
        <f>IFERROR(__xludf.DUMMYFUNCTION("""COMPUTED_VALUE"""),0.819)</f>
        <v>0.819</v>
      </c>
      <c r="Q7" s="34">
        <f>IFERROR(__xludf.DUMMYFUNCTION("""COMPUTED_VALUE"""),0.99)</f>
        <v>0.99</v>
      </c>
      <c r="R7" s="34">
        <f>IFERROR(__xludf.DUMMYFUNCTION("""COMPUTED_VALUE"""),0.99)</f>
        <v>0.99</v>
      </c>
      <c r="S7" s="34">
        <f>IFERROR(__xludf.DUMMYFUNCTION("""COMPUTED_VALUE"""),1.0)</f>
        <v>1</v>
      </c>
      <c r="T7" s="17" t="str">
        <f t="shared" si="1"/>
        <v>Elly De La Cruz</v>
      </c>
      <c r="W7" s="17">
        <f>IFERROR(__xludf.DUMMYFUNCTION("""COMPUTED_VALUE"""),1.0)</f>
        <v>1</v>
      </c>
      <c r="X7" s="17" t="str">
        <f t="array" ref="X7">iferror(trim(MID(indirect("R4C"&amp;W6-1+column($W$4)+1,False),find("to 2015",indirect("R4C"&amp;W6-1+column($W$4)+1,False))+9,find("Throws",indirect("R4C"&amp;W6-1+column($W$4)+1,False),find("to 2015",indirect("R4C"&amp;W6-1+column($W$4)+1,False)))-find("to 2015",indirect("R4C"&amp;W6-1+column($W$4)+1,False))-13)),iferror(trim(MID(indirect("R4C"&amp;W6-1+column($W$4)+1,False),find("Team.",indirect("R4C"&amp;W6-1+column($W$4)+1,False))+7,find("Throws",indirect("R4C"&amp;W6-1+column($W$4)+1,False),find("Team.",indirect("R4C"&amp;W6-1+column($W$4)+1,False)))-find("Team.",indirect("R4C"&amp;W6-1+column($W$4)+1,False))-11)),trim(MID(indirect("R4C"&amp;W6-1+column($W$4)+1,False),find("nced.",indirect("R4C"&amp;W6-1+column($W$4)+1,False))+7,find("Throws",indirect("R4C"&amp;W6-1+column($W$4)+1,False),find("nced.",indirect("R4C"&amp;W6-1+column($W$4)+1,False)))-find("nced.",indirect("R4C"&amp;W6-1+column($W$4)+1,False))-11))))</f>
        <v>Ryan Weathers</v>
      </c>
      <c r="Y7" s="17" t="str">
        <f>IFERROR(__xludf.DUMMYFUNCTION("""vs. ""&amp;index(split(trim(left(indirect(""R4C""&amp;W7-1+column($W$4)+1,False),find(text(today()+1,""DDDD""),indirect(""R4C""&amp;W7-1+column($W$4)+1,False))-1)),""@""),,1)"),"vs. BAL ")</f>
        <v>vs. BAL </v>
      </c>
    </row>
    <row r="8">
      <c r="A8" s="17">
        <f>IFERROR(__xludf.DUMMYFUNCTION("""COMPUTED_VALUE"""),7.0)</f>
        <v>7</v>
      </c>
      <c r="B8" s="17" t="str">
        <f>IFERROR(__xludf.DUMMYFUNCTION("""COMPUTED_VALUE"""),"Ronald Acuna Jr. (ATL - RF)")</f>
        <v>Ronald Acuna Jr. (ATL - RF)</v>
      </c>
      <c r="C8" s="17">
        <f>IFERROR(__xludf.DUMMYFUNCTION("""COMPUTED_VALUE"""),446.0)</f>
        <v>446</v>
      </c>
      <c r="D8" s="17">
        <f>IFERROR(__xludf.DUMMYFUNCTION("""COMPUTED_VALUE"""),89.0)</f>
        <v>89</v>
      </c>
      <c r="E8" s="17">
        <f>IFERROR(__xludf.DUMMYFUNCTION("""COMPUTED_VALUE"""),23.0)</f>
        <v>23</v>
      </c>
      <c r="F8" s="17">
        <f>IFERROR(__xludf.DUMMYFUNCTION("""COMPUTED_VALUE"""),65.0)</f>
        <v>65</v>
      </c>
      <c r="G8" s="17">
        <f>IFERROR(__xludf.DUMMYFUNCTION("""COMPUTED_VALUE"""),23.0)</f>
        <v>23</v>
      </c>
      <c r="H8" s="17">
        <f>IFERROR(__xludf.DUMMYFUNCTION("""COMPUTED_VALUE"""),0.279)</f>
        <v>0.279</v>
      </c>
      <c r="I8" s="17">
        <f>IFERROR(__xludf.DUMMYFUNCTION("""COMPUTED_VALUE"""),0.392)</f>
        <v>0.392</v>
      </c>
      <c r="J8" s="17">
        <f>IFERROR(__xludf.DUMMYFUNCTION("""COMPUTED_VALUE"""),124.0)</f>
        <v>124</v>
      </c>
      <c r="K8" s="17">
        <f>IFERROR(__xludf.DUMMYFUNCTION("""COMPUTED_VALUE"""),21.0)</f>
        <v>21</v>
      </c>
      <c r="L8" s="17">
        <f>IFERROR(__xludf.DUMMYFUNCTION("""COMPUTED_VALUE"""),2.0)</f>
        <v>2</v>
      </c>
      <c r="M8" s="17">
        <f>IFERROR(__xludf.DUMMYFUNCTION("""COMPUTED_VALUE"""),75.0)</f>
        <v>75</v>
      </c>
      <c r="N8" s="17">
        <f>IFERROR(__xludf.DUMMYFUNCTION("""COMPUTED_VALUE"""),109.0)</f>
        <v>109</v>
      </c>
      <c r="O8" s="17">
        <f>IFERROR(__xludf.DUMMYFUNCTION("""COMPUTED_VALUE"""),0.488)</f>
        <v>0.488</v>
      </c>
      <c r="P8" s="17">
        <f>IFERROR(__xludf.DUMMYFUNCTION("""COMPUTED_VALUE"""),0.88)</f>
        <v>0.88</v>
      </c>
      <c r="Q8" s="34">
        <f>IFERROR(__xludf.DUMMYFUNCTION("""COMPUTED_VALUE"""),0.99)</f>
        <v>0.99</v>
      </c>
      <c r="R8" s="34">
        <f>IFERROR(__xludf.DUMMYFUNCTION("""COMPUTED_VALUE"""),0.99)</f>
        <v>0.99</v>
      </c>
      <c r="S8" s="34">
        <f>IFERROR(__xludf.DUMMYFUNCTION("""COMPUTED_VALUE"""),1.0)</f>
        <v>1</v>
      </c>
      <c r="T8" s="17" t="str">
        <f t="shared" si="1"/>
        <v>Ronald Acuna Jr.</v>
      </c>
      <c r="W8" s="17">
        <f>IFERROR(__xludf.DUMMYFUNCTION("""COMPUTED_VALUE"""),3.0)</f>
        <v>3</v>
      </c>
      <c r="X8" s="17" t="str">
        <f>IFERROR(__xludf.DUMMYFUNCTION("if(left(trim(MID(indirect(""R4C""&amp;W8-1+column($W$4)+1,False),find(""Matchup"",indirect(""R4C""&amp;W8-1+column($W$4)+1,False))+9,find(""Throws"",indirect(""R4C""&amp;W8-1+column($W$4)+1,False))-find(""Matchup"",indirect(""R4C""&amp;W8-1+column($W$4)+1,False))-13)),15"&amp;")=""To be announced"",""TBD ""&amp;index(split(trim(left(indirect(""R4C""&amp;W9-1+column($W$4)+1,False),find(text(today()+1,""DDDD""),indirect(""R4C""&amp;W9-1+column($W$4)+1,False))-1)),""@""),,1),trim(MID(indirect(""R4C""&amp;W8-1+column($W$4)+1,False),find(""Matchup"&amp;""",indirect(""R4C""&amp;W8-1+column($W$4)+1,False))+9,find(""Throws"",indirect(""R4C""&amp;W8-1+column($W$4)+1,False))-find(""Matchup"",indirect(""R4C""&amp;W8-1+column($W$4)+1,False))-13)))"),"Dylan Cease")</f>
        <v>Dylan Cease</v>
      </c>
      <c r="Y8" s="17" t="str">
        <f>IFERROR(__xludf.DUMMYFUNCTION("""@""&amp;index(split(trim(left(indirect(""R4C""&amp;W8-1+column($W$4)+1,False),find(text(today()+1,""DDDD""),indirect(""R4C""&amp;W8-1+column($W$4)+1,False))-1)),""@""),,2)"),"@ MIN")</f>
        <v>@ MIN</v>
      </c>
    </row>
    <row r="9">
      <c r="A9" s="17">
        <f>IFERROR(__xludf.DUMMYFUNCTION("""COMPUTED_VALUE"""),8.0)</f>
        <v>8</v>
      </c>
      <c r="B9" s="17" t="str">
        <f>IFERROR(__xludf.DUMMYFUNCTION("""COMPUTED_VALUE"""),"Junior Caminero (TB - 3B)")</f>
        <v>Junior Caminero (TB - 3B)</v>
      </c>
      <c r="C9" s="17">
        <f>IFERROR(__xludf.DUMMYFUNCTION("""COMPUTED_VALUE"""),496.0)</f>
        <v>496</v>
      </c>
      <c r="D9" s="17">
        <f>IFERROR(__xludf.DUMMYFUNCTION("""COMPUTED_VALUE"""),74.0)</f>
        <v>74</v>
      </c>
      <c r="E9" s="17">
        <f>IFERROR(__xludf.DUMMYFUNCTION("""COMPUTED_VALUE"""),32.0)</f>
        <v>32</v>
      </c>
      <c r="F9" s="17">
        <f>IFERROR(__xludf.DUMMYFUNCTION("""COMPUTED_VALUE"""),92.0)</f>
        <v>92</v>
      </c>
      <c r="G9" s="17">
        <f>IFERROR(__xludf.DUMMYFUNCTION("""COMPUTED_VALUE"""),5.0)</f>
        <v>5</v>
      </c>
      <c r="H9" s="17">
        <f>IFERROR(__xludf.DUMMYFUNCTION("""COMPUTED_VALUE"""),0.27)</f>
        <v>0.27</v>
      </c>
      <c r="I9" s="17">
        <f>IFERROR(__xludf.DUMMYFUNCTION("""COMPUTED_VALUE"""),0.328)</f>
        <v>0.328</v>
      </c>
      <c r="J9" s="17">
        <f>IFERROR(__xludf.DUMMYFUNCTION("""COMPUTED_VALUE"""),134.0)</f>
        <v>134</v>
      </c>
      <c r="K9" s="17">
        <f>IFERROR(__xludf.DUMMYFUNCTION("""COMPUTED_VALUE"""),23.0)</f>
        <v>23</v>
      </c>
      <c r="L9" s="17">
        <f>IFERROR(__xludf.DUMMYFUNCTION("""COMPUTED_VALUE"""),1.0)</f>
        <v>1</v>
      </c>
      <c r="M9" s="17">
        <f>IFERROR(__xludf.DUMMYFUNCTION("""COMPUTED_VALUE"""),40.0)</f>
        <v>40</v>
      </c>
      <c r="N9" s="17">
        <f>IFERROR(__xludf.DUMMYFUNCTION("""COMPUTED_VALUE"""),102.0)</f>
        <v>102</v>
      </c>
      <c r="O9" s="17">
        <f>IFERROR(__xludf.DUMMYFUNCTION("""COMPUTED_VALUE"""),0.515)</f>
        <v>0.515</v>
      </c>
      <c r="P9" s="17">
        <f>IFERROR(__xludf.DUMMYFUNCTION("""COMPUTED_VALUE"""),0.843)</f>
        <v>0.843</v>
      </c>
      <c r="Q9" s="34">
        <f>IFERROR(__xludf.DUMMYFUNCTION("""COMPUTED_VALUE"""),0.99)</f>
        <v>0.99</v>
      </c>
      <c r="R9" s="34">
        <f>IFERROR(__xludf.DUMMYFUNCTION("""COMPUTED_VALUE"""),0.99)</f>
        <v>0.99</v>
      </c>
      <c r="S9" s="34">
        <f>IFERROR(__xludf.DUMMYFUNCTION("""COMPUTED_VALUE"""),1.0)</f>
        <v>1</v>
      </c>
      <c r="T9" s="17" t="str">
        <f t="shared" si="1"/>
        <v>Junior Caminero</v>
      </c>
      <c r="W9" s="17">
        <f>IFERROR(__xludf.DUMMYFUNCTION("""COMPUTED_VALUE"""),3.0)</f>
        <v>3</v>
      </c>
      <c r="X9" s="17" t="str">
        <f t="array" ref="X9">iferror(trim(MID(indirect("R4C"&amp;W8-1+column($W$4)+1,False),find("to 2015",indirect("R4C"&amp;W8-1+column($W$4)+1,False))+9,find("Throws",indirect("R4C"&amp;W8-1+column($W$4)+1,False),find("to 2015",indirect("R4C"&amp;W8-1+column($W$4)+1,False)))-find("to 2015",indirect("R4C"&amp;W8-1+column($W$4)+1,False))-13)),iferror(trim(MID(indirect("R4C"&amp;W8-1+column($W$4)+1,False),find("Team.",indirect("R4C"&amp;W8-1+column($W$4)+1,False))+7,find("Throws",indirect("R4C"&amp;W8-1+column($W$4)+1,False),find("Team.",indirect("R4C"&amp;W8-1+column($W$4)+1,False)))-find("Team.",indirect("R4C"&amp;W8-1+column($W$4)+1,False))-11)),trim(MID(indirect("R4C"&amp;W8-1+column($W$4)+1,False),find("nced.",indirect("R4C"&amp;W8-1+column($W$4)+1,False))+7,find("Throws",indirect("R4C"&amp;W8-1+column($W$4)+1,False),find("nced.",indirect("R4C"&amp;W8-1+column($W$4)+1,False)))-find("nced.",indirect("R4C"&amp;W8-1+column($W$4)+1,False))-11))))</f>
        <v>Connor Prielipp</v>
      </c>
      <c r="Y9" s="17" t="str">
        <f>IFERROR(__xludf.DUMMYFUNCTION("""vs. ""&amp;index(split(trim(left(indirect(""R4C""&amp;W9-1+column($W$4)+1,False),find(text(today()+1,""DDDD""),indirect(""R4C""&amp;W9-1+column($W$4)+1,False))-1)),""@""),,1)"),"vs. TOR ")</f>
        <v>vs. TOR </v>
      </c>
    </row>
    <row r="10">
      <c r="A10" s="17">
        <f>IFERROR(__xludf.DUMMYFUNCTION("""COMPUTED_VALUE"""),9.0)</f>
        <v>9</v>
      </c>
      <c r="B10" s="17" t="str">
        <f>IFERROR(__xludf.DUMMYFUNCTION("""COMPUTED_VALUE"""),"Vladimir Guerrero Jr. (TOR - 1B,DH)")</f>
        <v>Vladimir Guerrero Jr. (TOR - 1B,DH)</v>
      </c>
      <c r="C10" s="17">
        <f>IFERROR(__xludf.DUMMYFUNCTION("""COMPUTED_VALUE"""),476.0)</f>
        <v>476</v>
      </c>
      <c r="D10" s="17">
        <f>IFERROR(__xludf.DUMMYFUNCTION("""COMPUTED_VALUE"""),78.0)</f>
        <v>78</v>
      </c>
      <c r="E10" s="17">
        <f>IFERROR(__xludf.DUMMYFUNCTION("""COMPUTED_VALUE"""),24.0)</f>
        <v>24</v>
      </c>
      <c r="F10" s="17">
        <f>IFERROR(__xludf.DUMMYFUNCTION("""COMPUTED_VALUE"""),81.0)</f>
        <v>81</v>
      </c>
      <c r="G10" s="17">
        <f>IFERROR(__xludf.DUMMYFUNCTION("""COMPUTED_VALUE"""),5.0)</f>
        <v>5</v>
      </c>
      <c r="H10" s="17">
        <f>IFERROR(__xludf.DUMMYFUNCTION("""COMPUTED_VALUE"""),0.296)</f>
        <v>0.296</v>
      </c>
      <c r="I10" s="17">
        <f>IFERROR(__xludf.DUMMYFUNCTION("""COMPUTED_VALUE"""),0.393)</f>
        <v>0.393</v>
      </c>
      <c r="J10" s="17">
        <f>IFERROR(__xludf.DUMMYFUNCTION("""COMPUTED_VALUE"""),141.0)</f>
        <v>141</v>
      </c>
      <c r="K10" s="17">
        <f>IFERROR(__xludf.DUMMYFUNCTION("""COMPUTED_VALUE"""),27.0)</f>
        <v>27</v>
      </c>
      <c r="L10" s="17">
        <f>IFERROR(__xludf.DUMMYFUNCTION("""COMPUTED_VALUE"""),0.0)</f>
        <v>0</v>
      </c>
      <c r="M10" s="17">
        <f>IFERROR(__xludf.DUMMYFUNCTION("""COMPUTED_VALUE"""),65.0)</f>
        <v>65</v>
      </c>
      <c r="N10" s="17">
        <f>IFERROR(__xludf.DUMMYFUNCTION("""COMPUTED_VALUE"""),73.0)</f>
        <v>73</v>
      </c>
      <c r="O10" s="17">
        <f>IFERROR(__xludf.DUMMYFUNCTION("""COMPUTED_VALUE"""),0.505)</f>
        <v>0.505</v>
      </c>
      <c r="P10" s="17">
        <f>IFERROR(__xludf.DUMMYFUNCTION("""COMPUTED_VALUE"""),0.898)</f>
        <v>0.898</v>
      </c>
      <c r="Q10" s="34">
        <f>IFERROR(__xludf.DUMMYFUNCTION("""COMPUTED_VALUE"""),0.99)</f>
        <v>0.99</v>
      </c>
      <c r="R10" s="34">
        <f>IFERROR(__xludf.DUMMYFUNCTION("""COMPUTED_VALUE"""),0.99)</f>
        <v>0.99</v>
      </c>
      <c r="S10" s="34">
        <f>IFERROR(__xludf.DUMMYFUNCTION("""COMPUTED_VALUE"""),1.0)</f>
        <v>1</v>
      </c>
      <c r="T10" s="17" t="str">
        <f t="shared" si="1"/>
        <v>Vladimir Guerrero Jr.</v>
      </c>
      <c r="W10" s="17">
        <f>IFERROR(__xludf.DUMMYFUNCTION("""COMPUTED_VALUE"""),5.0)</f>
        <v>5</v>
      </c>
      <c r="X10" s="17" t="str">
        <f>IFERROR(__xludf.DUMMYFUNCTION("if(left(trim(MID(indirect(""R4C""&amp;W10-1+column($W$4)+1,False),find(""Matchup"",indirect(""R4C""&amp;W10-1+column($W$4)+1,False))+9,find(""Throws"",indirect(""R4C""&amp;W10-1+column($W$4)+1,False))-find(""Matchup"",indirect(""R4C""&amp;W10-1+column($W$4)+1,False))-13)"&amp;"),15)=""To be announced"",""TBD ""&amp;index(split(trim(left(indirect(""R4C""&amp;W11-1+column($W$4)+1,False),find(text(today()+1,""DDDD""),indirect(""R4C""&amp;W11-1+column($W$4)+1,False))-1)),""@""),,1),trim(MID(indirect(""R4C""&amp;W10-1+column($W$4)+1,False),find(""M"&amp;"atchup"",indirect(""R4C""&amp;W10-1+column($W$4)+1,False))+9,find(""Throws"",indirect(""R4C""&amp;W10-1+column($W$4)+1,False))-find(""Matchup"",indirect(""R4C""&amp;W10-1+column($W$4)+1,False))-13)))"),"Ryne Nelson")</f>
        <v>Ryne Nelson</v>
      </c>
      <c r="Y10" s="17" t="str">
        <f>IFERROR(__xludf.DUMMYFUNCTION("""@""&amp;index(split(trim(left(indirect(""R4C""&amp;W10-1+column($W$4)+1,False),find(text(today()+1,""DDDD""),indirect(""R4C""&amp;W10-1+column($W$4)+1,False))-1)),""@""),,2)"),"@ CHC")</f>
        <v>@ CHC</v>
      </c>
    </row>
    <row r="11">
      <c r="A11" s="17">
        <f>IFERROR(__xludf.DUMMYFUNCTION("""COMPUTED_VALUE"""),10.0)</f>
        <v>10</v>
      </c>
      <c r="B11" s="17" t="str">
        <f>IFERROR(__xludf.DUMMYFUNCTION("""COMPUTED_VALUE"""),"Julio Rodriguez (SEA - CF)")</f>
        <v>Julio Rodriguez (SEA - CF)</v>
      </c>
      <c r="C11" s="17">
        <f>IFERROR(__xludf.DUMMYFUNCTION("""COMPUTED_VALUE"""),495.0)</f>
        <v>495</v>
      </c>
      <c r="D11" s="17">
        <f>IFERROR(__xludf.DUMMYFUNCTION("""COMPUTED_VALUE"""),76.0)</f>
        <v>76</v>
      </c>
      <c r="E11" s="17">
        <f>IFERROR(__xludf.DUMMYFUNCTION("""COMPUTED_VALUE"""),23.0)</f>
        <v>23</v>
      </c>
      <c r="F11" s="17">
        <f>IFERROR(__xludf.DUMMYFUNCTION("""COMPUTED_VALUE"""),77.0)</f>
        <v>77</v>
      </c>
      <c r="G11" s="17">
        <f>IFERROR(__xludf.DUMMYFUNCTION("""COMPUTED_VALUE"""),20.0)</f>
        <v>20</v>
      </c>
      <c r="H11" s="17">
        <f>IFERROR(__xludf.DUMMYFUNCTION("""COMPUTED_VALUE"""),0.273)</f>
        <v>0.273</v>
      </c>
      <c r="I11" s="17">
        <f>IFERROR(__xludf.DUMMYFUNCTION("""COMPUTED_VALUE"""),0.341)</f>
        <v>0.341</v>
      </c>
      <c r="J11" s="17">
        <f>IFERROR(__xludf.DUMMYFUNCTION("""COMPUTED_VALUE"""),135.0)</f>
        <v>135</v>
      </c>
      <c r="K11" s="17">
        <f>IFERROR(__xludf.DUMMYFUNCTION("""COMPUTED_VALUE"""),24.0)</f>
        <v>24</v>
      </c>
      <c r="L11" s="17">
        <f>IFERROR(__xludf.DUMMYFUNCTION("""COMPUTED_VALUE"""),2.0)</f>
        <v>2</v>
      </c>
      <c r="M11" s="17">
        <f>IFERROR(__xludf.DUMMYFUNCTION("""COMPUTED_VALUE"""),42.0)</f>
        <v>42</v>
      </c>
      <c r="N11" s="17">
        <f>IFERROR(__xludf.DUMMYFUNCTION("""COMPUTED_VALUE"""),120.0)</f>
        <v>120</v>
      </c>
      <c r="O11" s="17">
        <f>IFERROR(__xludf.DUMMYFUNCTION("""COMPUTED_VALUE"""),0.471)</f>
        <v>0.471</v>
      </c>
      <c r="P11" s="17">
        <f>IFERROR(__xludf.DUMMYFUNCTION("""COMPUTED_VALUE"""),0.812)</f>
        <v>0.812</v>
      </c>
      <c r="Q11" s="34">
        <f>IFERROR(__xludf.DUMMYFUNCTION("""COMPUTED_VALUE"""),0.99)</f>
        <v>0.99</v>
      </c>
      <c r="R11" s="34">
        <f>IFERROR(__xludf.DUMMYFUNCTION("""COMPUTED_VALUE"""),0.99)</f>
        <v>0.99</v>
      </c>
      <c r="S11" s="34">
        <f>IFERROR(__xludf.DUMMYFUNCTION("""COMPUTED_VALUE"""),0.99)</f>
        <v>0.99</v>
      </c>
      <c r="T11" s="17" t="str">
        <f t="shared" si="1"/>
        <v>Julio Rodriguez</v>
      </c>
      <c r="W11" s="17">
        <f>IFERROR(__xludf.DUMMYFUNCTION("""COMPUTED_VALUE"""),5.0)</f>
        <v>5</v>
      </c>
      <c r="X11" s="17" t="str">
        <f t="array" ref="X11">iferror(trim(MID(indirect("R4C"&amp;W10-1+column($W$4)+1,False),find("to 2015",indirect("R4C"&amp;W10-1+column($W$4)+1,False))+9,find("Throws",indirect("R4C"&amp;W10-1+column($W$4)+1,False),find("to 2015",indirect("R4C"&amp;W10-1+column($W$4)+1,False)))-find("to 2015",indirect("R4C"&amp;W10-1+column($W$4)+1,False))-13)),iferror(trim(MID(indirect("R4C"&amp;W10-1+column($W$4)+1,False),find("Team.",indirect("R4C"&amp;W10-1+column($W$4)+1,False))+7,find("Throws",indirect("R4C"&amp;W10-1+column($W$4)+1,False),find("Team.",indirect("R4C"&amp;W10-1+column($W$4)+1,False)))-find("Team.",indirect("R4C"&amp;W10-1+column($W$4)+1,False))-11)),trim(MID(indirect("R4C"&amp;W10-1+column($W$4)+1,False),find("nced.",indirect("R4C"&amp;W10-1+column($W$4)+1,False))+7,find("Throws",indirect("R4C"&amp;W10-1+column($W$4)+1,False),find("nced.",indirect("R4C"&amp;W10-1+column($W$4)+1,False)))-find("nced.",indirect("R4C"&amp;W10-1+column($W$4)+1,False))-11))))</f>
        <v>Shota Imanaga</v>
      </c>
      <c r="Y11" s="17" t="str">
        <f>IFERROR(__xludf.DUMMYFUNCTION("""vs. ""&amp;index(split(trim(left(indirect(""R4C""&amp;W11-1+column($W$4)+1,False),find(text(today()+1,""DDDD""),indirect(""R4C""&amp;W11-1+column($W$4)+1,False))-1)),""@""),,1)"),"vs. ARI ")</f>
        <v>vs. ARI </v>
      </c>
    </row>
    <row r="12">
      <c r="A12" s="17">
        <f>IFERROR(__xludf.DUMMYFUNCTION("""COMPUTED_VALUE"""),11.0)</f>
        <v>11</v>
      </c>
      <c r="B12" s="17" t="str">
        <f>IFERROR(__xludf.DUMMYFUNCTION("""COMPUTED_VALUE"""),"Gunnar Henderson (BAL - SS)")</f>
        <v>Gunnar Henderson (BAL - SS)</v>
      </c>
      <c r="C12" s="17">
        <f>IFERROR(__xludf.DUMMYFUNCTION("""COMPUTED_VALUE"""),485.0)</f>
        <v>485</v>
      </c>
      <c r="D12" s="17">
        <f>IFERROR(__xludf.DUMMYFUNCTION("""COMPUTED_VALUE"""),83.0)</f>
        <v>83</v>
      </c>
      <c r="E12" s="17">
        <f>IFERROR(__xludf.DUMMYFUNCTION("""COMPUTED_VALUE"""),24.0)</f>
        <v>24</v>
      </c>
      <c r="F12" s="17">
        <f>IFERROR(__xludf.DUMMYFUNCTION("""COMPUTED_VALUE"""),71.0)</f>
        <v>71</v>
      </c>
      <c r="G12" s="17">
        <f>IFERROR(__xludf.DUMMYFUNCTION("""COMPUTED_VALUE"""),19.0)</f>
        <v>19</v>
      </c>
      <c r="H12" s="17">
        <f>IFERROR(__xludf.DUMMYFUNCTION("""COMPUTED_VALUE"""),0.267)</f>
        <v>0.267</v>
      </c>
      <c r="I12" s="17">
        <f>IFERROR(__xludf.DUMMYFUNCTION("""COMPUTED_VALUE"""),0.351)</f>
        <v>0.351</v>
      </c>
      <c r="J12" s="17">
        <f>IFERROR(__xludf.DUMMYFUNCTION("""COMPUTED_VALUE"""),130.0)</f>
        <v>130</v>
      </c>
      <c r="K12" s="17">
        <f>IFERROR(__xludf.DUMMYFUNCTION("""COMPUTED_VALUE"""),26.0)</f>
        <v>26</v>
      </c>
      <c r="L12" s="17">
        <f>IFERROR(__xludf.DUMMYFUNCTION("""COMPUTED_VALUE"""),4.0)</f>
        <v>4</v>
      </c>
      <c r="M12" s="17">
        <f>IFERROR(__xludf.DUMMYFUNCTION("""COMPUTED_VALUE"""),57.0)</f>
        <v>57</v>
      </c>
      <c r="N12" s="17">
        <f>IFERROR(__xludf.DUMMYFUNCTION("""COMPUTED_VALUE"""),121.0)</f>
        <v>121</v>
      </c>
      <c r="O12" s="17">
        <f>IFERROR(__xludf.DUMMYFUNCTION("""COMPUTED_VALUE"""),0.484)</f>
        <v>0.484</v>
      </c>
      <c r="P12" s="17">
        <f>IFERROR(__xludf.DUMMYFUNCTION("""COMPUTED_VALUE"""),0.834)</f>
        <v>0.834</v>
      </c>
      <c r="Q12" s="34">
        <f>IFERROR(__xludf.DUMMYFUNCTION("""COMPUTED_VALUE"""),0.99)</f>
        <v>0.99</v>
      </c>
      <c r="R12" s="34">
        <f>IFERROR(__xludf.DUMMYFUNCTION("""COMPUTED_VALUE"""),0.99)</f>
        <v>0.99</v>
      </c>
      <c r="S12" s="34">
        <f>IFERROR(__xludf.DUMMYFUNCTION("""COMPUTED_VALUE"""),0.99)</f>
        <v>0.99</v>
      </c>
      <c r="T12" s="17" t="str">
        <f t="shared" si="1"/>
        <v>Gunnar Henderson</v>
      </c>
      <c r="W12" s="17">
        <f>IFERROR(__xludf.DUMMYFUNCTION("""COMPUTED_VALUE"""),7.0)</f>
        <v>7</v>
      </c>
      <c r="X12" s="17" t="str">
        <f>IFERROR(__xludf.DUMMYFUNCTION("if(left(trim(MID(indirect(""R4C""&amp;W12-1+column($W$4)+1,False),find(""Matchup"",indirect(""R4C""&amp;W12-1+column($W$4)+1,False))+9,find(""Throws"",indirect(""R4C""&amp;W12-1+column($W$4)+1,False))-find(""Matchup"",indirect(""R4C""&amp;W12-1+column($W$4)+1,False))-13)"&amp;"),15)=""To be announced"",""TBD ""&amp;index(split(trim(left(indirect(""R4C""&amp;W13-1+column($W$4)+1,False),find(text(today()+1,""DDDD""),indirect(""R4C""&amp;W13-1+column($W$4)+1,False))-1)),""@""),,1),trim(MID(indirect(""R4C""&amp;W12-1+column($W$4)+1,False),find(""M"&amp;"atchup"",indirect(""R4C""&amp;W12-1+column($W$4)+1,False))+9,find(""Throws"",indirect(""R4C""&amp;W12-1+column($W$4)+1,False))-find(""Matchup"",indirect(""R4C""&amp;W12-1+column($W$4)+1,False))-13)))"),"Slade Cecconi")</f>
        <v>Slade Cecconi</v>
      </c>
      <c r="Y12" s="17" t="str">
        <f>IFERROR(__xludf.DUMMYFUNCTION("""@""&amp;index(split(trim(left(indirect(""R4C""&amp;W12-1+column($W$4)+1,False),find(text(today()+1,""DDDD""),indirect(""R4C""&amp;W12-1+column($W$4)+1,False))-1)),""@""),,2)"),"@ Athletics")</f>
        <v>@ Athletics</v>
      </c>
    </row>
    <row r="13">
      <c r="A13" s="17">
        <f>IFERROR(__xludf.DUMMYFUNCTION("""COMPUTED_VALUE"""),12.0)</f>
        <v>12</v>
      </c>
      <c r="B13" s="17" t="str">
        <f>IFERROR(__xludf.DUMMYFUNCTION("""COMPUTED_VALUE"""),"Fernando Tatis Jr. (SD - 2B,RF)")</f>
        <v>Fernando Tatis Jr. (SD - 2B,RF)</v>
      </c>
      <c r="C13" s="17">
        <f>IFERROR(__xludf.DUMMYFUNCTION("""COMPUTED_VALUE"""),476.0)</f>
        <v>476</v>
      </c>
      <c r="D13" s="17">
        <f>IFERROR(__xludf.DUMMYFUNCTION("""COMPUTED_VALUE"""),82.0)</f>
        <v>82</v>
      </c>
      <c r="E13" s="17">
        <f>IFERROR(__xludf.DUMMYFUNCTION("""COMPUTED_VALUE"""),23.0)</f>
        <v>23</v>
      </c>
      <c r="F13" s="17">
        <f>IFERROR(__xludf.DUMMYFUNCTION("""COMPUTED_VALUE"""),69.0)</f>
        <v>69</v>
      </c>
      <c r="G13" s="17">
        <f>IFERROR(__xludf.DUMMYFUNCTION("""COMPUTED_VALUE"""),21.0)</f>
        <v>21</v>
      </c>
      <c r="H13" s="17">
        <f>IFERROR(__xludf.DUMMYFUNCTION("""COMPUTED_VALUE"""),0.269)</f>
        <v>0.269</v>
      </c>
      <c r="I13" s="17">
        <f>IFERROR(__xludf.DUMMYFUNCTION("""COMPUTED_VALUE"""),0.361)</f>
        <v>0.361</v>
      </c>
      <c r="J13" s="17">
        <f>IFERROR(__xludf.DUMMYFUNCTION("""COMPUTED_VALUE"""),128.0)</f>
        <v>128</v>
      </c>
      <c r="K13" s="17">
        <f>IFERROR(__xludf.DUMMYFUNCTION("""COMPUTED_VALUE"""),24.0)</f>
        <v>24</v>
      </c>
      <c r="L13" s="17">
        <f>IFERROR(__xludf.DUMMYFUNCTION("""COMPUTED_VALUE"""),2.0)</f>
        <v>2</v>
      </c>
      <c r="M13" s="17">
        <f>IFERROR(__xludf.DUMMYFUNCTION("""COMPUTED_VALUE"""),62.0)</f>
        <v>62</v>
      </c>
      <c r="N13" s="17">
        <f>IFERROR(__xludf.DUMMYFUNCTION("""COMPUTED_VALUE"""),110.0)</f>
        <v>110</v>
      </c>
      <c r="O13" s="17">
        <f>IFERROR(__xludf.DUMMYFUNCTION("""COMPUTED_VALUE"""),0.469)</f>
        <v>0.469</v>
      </c>
      <c r="P13" s="17">
        <f>IFERROR(__xludf.DUMMYFUNCTION("""COMPUTED_VALUE"""),0.83)</f>
        <v>0.83</v>
      </c>
      <c r="Q13" s="34">
        <f>IFERROR(__xludf.DUMMYFUNCTION("""COMPUTED_VALUE"""),0.99)</f>
        <v>0.99</v>
      </c>
      <c r="R13" s="34">
        <f>IFERROR(__xludf.DUMMYFUNCTION("""COMPUTED_VALUE"""),0.99)</f>
        <v>0.99</v>
      </c>
      <c r="S13" s="34">
        <f>IFERROR(__xludf.DUMMYFUNCTION("""COMPUTED_VALUE"""),1.0)</f>
        <v>1</v>
      </c>
      <c r="T13" s="17" t="str">
        <f t="shared" si="1"/>
        <v>Fernando Tatis Jr.</v>
      </c>
      <c r="W13" s="17">
        <f>IFERROR(__xludf.DUMMYFUNCTION("""COMPUTED_VALUE"""),7.0)</f>
        <v>7</v>
      </c>
      <c r="X13" s="17" t="str">
        <f t="array" ref="X13">iferror(trim(MID(indirect("R4C"&amp;W12-1+column($W$4)+1,False),find("to 2015",indirect("R4C"&amp;W12-1+column($W$4)+1,False))+9,find("Throws",indirect("R4C"&amp;W12-1+column($W$4)+1,False),find("to 2015",indirect("R4C"&amp;W12-1+column($W$4)+1,False)))-find("to 2015",indirect("R4C"&amp;W12-1+column($W$4)+1,False))-13)),iferror(trim(MID(indirect("R4C"&amp;W12-1+column($W$4)+1,False),find("Team.",indirect("R4C"&amp;W12-1+column($W$4)+1,False))+7,find("Throws",indirect("R4C"&amp;W12-1+column($W$4)+1,False),find("Team.",indirect("R4C"&amp;W12-1+column($W$4)+1,False)))-find("Team.",indirect("R4C"&amp;W12-1+column($W$4)+1,False))-11)),trim(MID(indirect("R4C"&amp;W12-1+column($W$4)+1,False),find("nced.",indirect("R4C"&amp;W12-1+column($W$4)+1,False))+7,find("Throws",indirect("R4C"&amp;W12-1+column($W$4)+1,False),find("nced.",indirect("R4C"&amp;W12-1+column($W$4)+1,False)))-find("nced.",indirect("R4C"&amp;W12-1+column($W$4)+1,False))-11))))</f>
        <v>Jacob Lopez</v>
      </c>
      <c r="Y13" s="17" t="str">
        <f>IFERROR(__xludf.DUMMYFUNCTION("""vs. ""&amp;index(split(trim(left(indirect(""R4C""&amp;W13-1+column($W$4)+1,False),find(text(today()+1,""DDDD""),indirect(""R4C""&amp;W13-1+column($W$4)+1,False))-1)),""@""),,1)"),"vs. CLE ")</f>
        <v>vs. CLE </v>
      </c>
    </row>
    <row r="14">
      <c r="A14" s="17">
        <f>IFERROR(__xludf.DUMMYFUNCTION("""COMPUTED_VALUE"""),13.0)</f>
        <v>13</v>
      </c>
      <c r="B14" s="17" t="str">
        <f>IFERROR(__xludf.DUMMYFUNCTION("""COMPUTED_VALUE"""),"Corbin Carroll (ARI - CF,RF)")</f>
        <v>Corbin Carroll (ARI - CF,RF)</v>
      </c>
      <c r="C14" s="17">
        <f>IFERROR(__xludf.DUMMYFUNCTION("""COMPUTED_VALUE"""),455.0)</f>
        <v>455</v>
      </c>
      <c r="D14" s="17">
        <f>IFERROR(__xludf.DUMMYFUNCTION("""COMPUTED_VALUE"""),83.0)</f>
        <v>83</v>
      </c>
      <c r="E14" s="17">
        <f>IFERROR(__xludf.DUMMYFUNCTION("""COMPUTED_VALUE"""),21.0)</f>
        <v>21</v>
      </c>
      <c r="F14" s="17">
        <f>IFERROR(__xludf.DUMMYFUNCTION("""COMPUTED_VALUE"""),69.0)</f>
        <v>69</v>
      </c>
      <c r="G14" s="17">
        <f>IFERROR(__xludf.DUMMYFUNCTION("""COMPUTED_VALUE"""),27.0)</f>
        <v>27</v>
      </c>
      <c r="H14" s="17">
        <f>IFERROR(__xludf.DUMMYFUNCTION("""COMPUTED_VALUE"""),0.257)</f>
        <v>0.257</v>
      </c>
      <c r="I14" s="17">
        <f>IFERROR(__xludf.DUMMYFUNCTION("""COMPUTED_VALUE"""),0.351)</f>
        <v>0.351</v>
      </c>
      <c r="J14" s="17">
        <f>IFERROR(__xludf.DUMMYFUNCTION("""COMPUTED_VALUE"""),117.0)</f>
        <v>117</v>
      </c>
      <c r="K14" s="17">
        <f>IFERROR(__xludf.DUMMYFUNCTION("""COMPUTED_VALUE"""),22.0)</f>
        <v>22</v>
      </c>
      <c r="L14" s="17">
        <f>IFERROR(__xludf.DUMMYFUNCTION("""COMPUTED_VALUE"""),9.0)</f>
        <v>9</v>
      </c>
      <c r="M14" s="17">
        <f>IFERROR(__xludf.DUMMYFUNCTION("""COMPUTED_VALUE"""),60.0)</f>
        <v>60</v>
      </c>
      <c r="N14" s="17">
        <f>IFERROR(__xludf.DUMMYFUNCTION("""COMPUTED_VALUE"""),113.0)</f>
        <v>113</v>
      </c>
      <c r="O14" s="17">
        <f>IFERROR(__xludf.DUMMYFUNCTION("""COMPUTED_VALUE"""),0.485)</f>
        <v>0.485</v>
      </c>
      <c r="P14" s="17">
        <f>IFERROR(__xludf.DUMMYFUNCTION("""COMPUTED_VALUE"""),0.836)</f>
        <v>0.836</v>
      </c>
      <c r="Q14" s="34">
        <f>IFERROR(__xludf.DUMMYFUNCTION("""COMPUTED_VALUE"""),0.99)</f>
        <v>0.99</v>
      </c>
      <c r="R14" s="34">
        <f>IFERROR(__xludf.DUMMYFUNCTION("""COMPUTED_VALUE"""),0.99)</f>
        <v>0.99</v>
      </c>
      <c r="S14" s="34">
        <f>IFERROR(__xludf.DUMMYFUNCTION("""COMPUTED_VALUE"""),1.0)</f>
        <v>1</v>
      </c>
      <c r="T14" s="17" t="str">
        <f t="shared" si="1"/>
        <v>Corbin Carroll</v>
      </c>
      <c r="W14" s="17">
        <f>IFERROR(__xludf.DUMMYFUNCTION("""COMPUTED_VALUE"""),9.0)</f>
        <v>9</v>
      </c>
      <c r="X14" s="17" t="str">
        <f>IFERROR(__xludf.DUMMYFUNCTION("if(left(trim(MID(indirect(""R4C""&amp;W14-1+column($W$4)+1,False),find(""Matchup"",indirect(""R4C""&amp;W14-1+column($W$4)+1,False))+9,find(""Throws"",indirect(""R4C""&amp;W14-1+column($W$4)+1,False))-find(""Matchup"",indirect(""R4C""&amp;W14-1+column($W$4)+1,False))-13)"&amp;"),15)=""To be announced"",""TBD ""&amp;index(split(trim(left(indirect(""R4C""&amp;W15-1+column($W$4)+1,False),find(text(today()+1,""DDDD""),indirect(""R4C""&amp;W15-1+column($W$4)+1,False))-1)),""@""),,1),trim(MID(indirect(""R4C""&amp;W14-1+column($W$4)+1,False),find(""M"&amp;"atchup"",indirect(""R4C""&amp;W14-1+column($W$4)+1,False))+9,find(""Throws"",indirect(""R4C""&amp;W14-1+column($W$4)+1,False))-find(""Matchup"",indirect(""R4C""&amp;W14-1+column($W$4)+1,False))-13)))"),"Rhett Lowder")</f>
        <v>Rhett Lowder</v>
      </c>
      <c r="Y14" s="17" t="str">
        <f>IFERROR(__xludf.DUMMYFUNCTION("""@""&amp;index(split(trim(left(indirect(""R4C""&amp;W14-1+column($W$4)+1,False),find(text(today()+1,""DDDD""),indirect(""R4C""&amp;W14-1+column($W$4)+1,False))-1)),""@""),,2)"),"@ PIT")</f>
        <v>@ PIT</v>
      </c>
    </row>
    <row r="15">
      <c r="A15" s="17">
        <f>IFERROR(__xludf.DUMMYFUNCTION("""COMPUTED_VALUE"""),14.0)</f>
        <v>14</v>
      </c>
      <c r="B15" s="17" t="str">
        <f>IFERROR(__xludf.DUMMYFUNCTION("""COMPUTED_VALUE"""),"Kyle Tucker (LAD - RF,DH)")</f>
        <v>Kyle Tucker (LAD - RF,DH)</v>
      </c>
      <c r="C15" s="17">
        <f>IFERROR(__xludf.DUMMYFUNCTION("""COMPUTED_VALUE"""),446.0)</f>
        <v>446</v>
      </c>
      <c r="D15" s="17">
        <f>IFERROR(__xludf.DUMMYFUNCTION("""COMPUTED_VALUE"""),79.0)</f>
        <v>79</v>
      </c>
      <c r="E15" s="17">
        <f>IFERROR(__xludf.DUMMYFUNCTION("""COMPUTED_VALUE"""),24.0)</f>
        <v>24</v>
      </c>
      <c r="F15" s="17">
        <f>IFERROR(__xludf.DUMMYFUNCTION("""COMPUTED_VALUE"""),75.0)</f>
        <v>75</v>
      </c>
      <c r="G15" s="17">
        <f>IFERROR(__xludf.DUMMYFUNCTION("""COMPUTED_VALUE"""),16.0)</f>
        <v>16</v>
      </c>
      <c r="H15" s="17">
        <f>IFERROR(__xludf.DUMMYFUNCTION("""COMPUTED_VALUE"""),0.263)</f>
        <v>0.263</v>
      </c>
      <c r="I15" s="17">
        <f>IFERROR(__xludf.DUMMYFUNCTION("""COMPUTED_VALUE"""),0.371)</f>
        <v>0.371</v>
      </c>
      <c r="J15" s="17">
        <f>IFERROR(__xludf.DUMMYFUNCTION("""COMPUTED_VALUE"""),117.0)</f>
        <v>117</v>
      </c>
      <c r="K15" s="17">
        <f>IFERROR(__xludf.DUMMYFUNCTION("""COMPUTED_VALUE"""),23.0)</f>
        <v>23</v>
      </c>
      <c r="L15" s="17">
        <f>IFERROR(__xludf.DUMMYFUNCTION("""COMPUTED_VALUE"""),2.0)</f>
        <v>2</v>
      </c>
      <c r="M15" s="17">
        <f>IFERROR(__xludf.DUMMYFUNCTION("""COMPUTED_VALUE"""),72.0)</f>
        <v>72</v>
      </c>
      <c r="N15" s="17">
        <f>IFERROR(__xludf.DUMMYFUNCTION("""COMPUTED_VALUE"""),82.0)</f>
        <v>82</v>
      </c>
      <c r="O15" s="17">
        <f>IFERROR(__xludf.DUMMYFUNCTION("""COMPUTED_VALUE"""),0.481)</f>
        <v>0.481</v>
      </c>
      <c r="P15" s="17">
        <f>IFERROR(__xludf.DUMMYFUNCTION("""COMPUTED_VALUE"""),0.851)</f>
        <v>0.851</v>
      </c>
      <c r="Q15" s="34">
        <f>IFERROR(__xludf.DUMMYFUNCTION("""COMPUTED_VALUE"""),0.99)</f>
        <v>0.99</v>
      </c>
      <c r="R15" s="34">
        <f>IFERROR(__xludf.DUMMYFUNCTION("""COMPUTED_VALUE"""),0.99)</f>
        <v>0.99</v>
      </c>
      <c r="S15" s="34">
        <f>IFERROR(__xludf.DUMMYFUNCTION("""COMPUTED_VALUE"""),1.0)</f>
        <v>1</v>
      </c>
      <c r="T15" s="17" t="str">
        <f t="shared" si="1"/>
        <v>Kyle Tucker</v>
      </c>
      <c r="W15" s="17">
        <f>IFERROR(__xludf.DUMMYFUNCTION("""COMPUTED_VALUE"""),9.0)</f>
        <v>9</v>
      </c>
      <c r="X15" s="17" t="str">
        <f t="array" ref="X15">iferror(trim(MID(indirect("R4C"&amp;W14-1+column($W$4)+1,False),find("to 2015",indirect("R4C"&amp;W14-1+column($W$4)+1,False))+9,find("Throws",indirect("R4C"&amp;W14-1+column($W$4)+1,False),find("to 2015",indirect("R4C"&amp;W14-1+column($W$4)+1,False)))-find("to 2015",indirect("R4C"&amp;W14-1+column($W$4)+1,False))-13)),iferror(trim(MID(indirect("R4C"&amp;W14-1+column($W$4)+1,False),find("Team.",indirect("R4C"&amp;W14-1+column($W$4)+1,False))+7,find("Throws",indirect("R4C"&amp;W14-1+column($W$4)+1,False),find("Team.",indirect("R4C"&amp;W14-1+column($W$4)+1,False)))-find("Team.",indirect("R4C"&amp;W14-1+column($W$4)+1,False))-11)),trim(MID(indirect("R4C"&amp;W14-1+column($W$4)+1,False),find("nced.",indirect("R4C"&amp;W14-1+column($W$4)+1,False))+7,find("Throws",indirect("R4C"&amp;W14-1+column($W$4)+1,False),find("nced.",indirect("R4C"&amp;W14-1+column($W$4)+1,False)))-find("nced.",indirect("R4C"&amp;W14-1+column($W$4)+1,False))-11))))</f>
        <v>Carmen Mlodzinski</v>
      </c>
      <c r="Y15" s="17" t="str">
        <f>IFERROR(__xludf.DUMMYFUNCTION("""vs. ""&amp;index(split(trim(left(indirect(""R4C""&amp;W15-1+column($W$4)+1,False),find(text(today()+1,""DDDD""),indirect(""R4C""&amp;W15-1+column($W$4)+1,False))-1)),""@""),,1)"),"vs. CIN ")</f>
        <v>vs. CIN </v>
      </c>
    </row>
    <row r="16">
      <c r="A16" s="17">
        <f>IFERROR(__xludf.DUMMYFUNCTION("""COMPUTED_VALUE"""),15.0)</f>
        <v>15</v>
      </c>
      <c r="B16" s="17" t="str">
        <f>IFERROR(__xludf.DUMMYFUNCTION("""COMPUTED_VALUE"""),"Nick Kurtz (ATH - 1B)")</f>
        <v>Nick Kurtz (ATH - 1B)</v>
      </c>
      <c r="C16" s="17">
        <f>IFERROR(__xludf.DUMMYFUNCTION("""COMPUTED_VALUE"""),442.0)</f>
        <v>442</v>
      </c>
      <c r="D16" s="17">
        <f>IFERROR(__xludf.DUMMYFUNCTION("""COMPUTED_VALUE"""),83.0)</f>
        <v>83</v>
      </c>
      <c r="E16" s="17">
        <f>IFERROR(__xludf.DUMMYFUNCTION("""COMPUTED_VALUE"""),30.0)</f>
        <v>30</v>
      </c>
      <c r="F16" s="17">
        <f>IFERROR(__xludf.DUMMYFUNCTION("""COMPUTED_VALUE"""),81.0)</f>
        <v>81</v>
      </c>
      <c r="G16" s="17">
        <f>IFERROR(__xludf.DUMMYFUNCTION("""COMPUTED_VALUE"""),4.0)</f>
        <v>4</v>
      </c>
      <c r="H16" s="17">
        <f>IFERROR(__xludf.DUMMYFUNCTION("""COMPUTED_VALUE"""),0.257)</f>
        <v>0.257</v>
      </c>
      <c r="I16" s="17">
        <f>IFERROR(__xludf.DUMMYFUNCTION("""COMPUTED_VALUE"""),0.366)</f>
        <v>0.366</v>
      </c>
      <c r="J16" s="17">
        <f>IFERROR(__xludf.DUMMYFUNCTION("""COMPUTED_VALUE"""),114.0)</f>
        <v>114</v>
      </c>
      <c r="K16" s="17">
        <f>IFERROR(__xludf.DUMMYFUNCTION("""COMPUTED_VALUE"""),22.0)</f>
        <v>22</v>
      </c>
      <c r="L16" s="17">
        <f>IFERROR(__xludf.DUMMYFUNCTION("""COMPUTED_VALUE"""),1.0)</f>
        <v>1</v>
      </c>
      <c r="M16" s="17">
        <f>IFERROR(__xludf.DUMMYFUNCTION("""COMPUTED_VALUE"""),71.0)</f>
        <v>71</v>
      </c>
      <c r="N16" s="17">
        <f>IFERROR(__xludf.DUMMYFUNCTION("""COMPUTED_VALUE"""),152.0)</f>
        <v>152</v>
      </c>
      <c r="O16" s="17">
        <f>IFERROR(__xludf.DUMMYFUNCTION("""COMPUTED_VALUE"""),0.519)</f>
        <v>0.519</v>
      </c>
      <c r="P16" s="17">
        <f>IFERROR(__xludf.DUMMYFUNCTION("""COMPUTED_VALUE"""),0.885)</f>
        <v>0.885</v>
      </c>
      <c r="Q16" s="34">
        <f>IFERROR(__xludf.DUMMYFUNCTION("""COMPUTED_VALUE"""),0.98)</f>
        <v>0.98</v>
      </c>
      <c r="R16" s="34">
        <f>IFERROR(__xludf.DUMMYFUNCTION("""COMPUTED_VALUE"""),0.99)</f>
        <v>0.99</v>
      </c>
      <c r="S16" s="34">
        <f>IFERROR(__xludf.DUMMYFUNCTION("""COMPUTED_VALUE"""),0.97)</f>
        <v>0.97</v>
      </c>
      <c r="T16" s="17" t="str">
        <f t="shared" si="1"/>
        <v>Nick Kurtz</v>
      </c>
      <c r="W16" s="17">
        <f>IFERROR(__xludf.DUMMYFUNCTION("""COMPUTED_VALUE"""),11.0)</f>
        <v>11</v>
      </c>
      <c r="X16" s="17" t="str">
        <f>IFERROR(__xludf.DUMMYFUNCTION("if(left(trim(MID(indirect(""R4C""&amp;W16-1+column($W$4)+1,False),find(""Matchup"",indirect(""R4C""&amp;W16-1+column($W$4)+1,False))+9,find(""Throws"",indirect(""R4C""&amp;W16-1+column($W$4)+1,False))-find(""Matchup"",indirect(""R4C""&amp;W16-1+column($W$4)+1,False))-13)"&amp;"),15)=""To be announced"",""TBD ""&amp;index(split(trim(left(indirect(""R4C""&amp;W17-1+column($W$4)+1,False),find(text(today()+1,""DDDD""),indirect(""R4C""&amp;W17-1+column($W$4)+1,False))-1)),""@""),,1),trim(MID(indirect(""R4C""&amp;W16-1+column($W$4)+1,False),find(""M"&amp;"atchup"",indirect(""R4C""&amp;W16-1+column($W$4)+1,False))+9,find(""Throws"",indirect(""R4C""&amp;W16-1+column($W$4)+1,False))-find(""Matchup"",indirect(""R4C""&amp;W16-1+column($W$4)+1,False))-13)))"),"Kyle Harrison")</f>
        <v>Kyle Harrison</v>
      </c>
      <c r="Y16" s="17" t="str">
        <f>IFERROR(__xludf.DUMMYFUNCTION("""@""&amp;index(split(trim(left(indirect(""R4C""&amp;W16-1+column($W$4)+1,False),find(text(today()+1,""DDDD""),indirect(""R4C""&amp;W16-1+column($W$4)+1,False))-1)),""@""),,2)"),"@ WSN")</f>
        <v>@ WSN</v>
      </c>
    </row>
    <row r="17">
      <c r="A17" s="17">
        <f>IFERROR(__xludf.DUMMYFUNCTION("""COMPUTED_VALUE"""),16.0)</f>
        <v>16</v>
      </c>
      <c r="B17" s="17" t="str">
        <f>IFERROR(__xludf.DUMMYFUNCTION("""COMPUTED_VALUE"""),"Bryce Harper (PHI - 1B)")</f>
        <v>Bryce Harper (PHI - 1B)</v>
      </c>
      <c r="C17" s="17">
        <f>IFERROR(__xludf.DUMMYFUNCTION("""COMPUTED_VALUE"""),461.0)</f>
        <v>461</v>
      </c>
      <c r="D17" s="17">
        <f>IFERROR(__xludf.DUMMYFUNCTION("""COMPUTED_VALUE"""),74.0)</f>
        <v>74</v>
      </c>
      <c r="E17" s="17">
        <f>IFERROR(__xludf.DUMMYFUNCTION("""COMPUTED_VALUE"""),23.0)</f>
        <v>23</v>
      </c>
      <c r="F17" s="17">
        <f>IFERROR(__xludf.DUMMYFUNCTION("""COMPUTED_VALUE"""),77.0)</f>
        <v>77</v>
      </c>
      <c r="G17" s="17">
        <f>IFERROR(__xludf.DUMMYFUNCTION("""COMPUTED_VALUE"""),8.0)</f>
        <v>8</v>
      </c>
      <c r="H17" s="17">
        <f>IFERROR(__xludf.DUMMYFUNCTION("""COMPUTED_VALUE"""),0.273)</f>
        <v>0.273</v>
      </c>
      <c r="I17" s="17">
        <f>IFERROR(__xludf.DUMMYFUNCTION("""COMPUTED_VALUE"""),0.374)</f>
        <v>0.374</v>
      </c>
      <c r="J17" s="17">
        <f>IFERROR(__xludf.DUMMYFUNCTION("""COMPUTED_VALUE"""),126.0)</f>
        <v>126</v>
      </c>
      <c r="K17" s="17">
        <f>IFERROR(__xludf.DUMMYFUNCTION("""COMPUTED_VALUE"""),28.0)</f>
        <v>28</v>
      </c>
      <c r="L17" s="17">
        <f>IFERROR(__xludf.DUMMYFUNCTION("""COMPUTED_VALUE"""),1.0)</f>
        <v>1</v>
      </c>
      <c r="M17" s="17">
        <f>IFERROR(__xludf.DUMMYFUNCTION("""COMPUTED_VALUE"""),67.0)</f>
        <v>67</v>
      </c>
      <c r="N17" s="17">
        <f>IFERROR(__xludf.DUMMYFUNCTION("""COMPUTED_VALUE"""),111.0)</f>
        <v>111</v>
      </c>
      <c r="O17" s="17">
        <f>IFERROR(__xludf.DUMMYFUNCTION("""COMPUTED_VALUE"""),0.489)</f>
        <v>0.489</v>
      </c>
      <c r="P17" s="17">
        <f>IFERROR(__xludf.DUMMYFUNCTION("""COMPUTED_VALUE"""),0.864)</f>
        <v>0.864</v>
      </c>
      <c r="Q17" s="34">
        <f>IFERROR(__xludf.DUMMYFUNCTION("""COMPUTED_VALUE"""),0.97)</f>
        <v>0.97</v>
      </c>
      <c r="R17" s="34">
        <f>IFERROR(__xludf.DUMMYFUNCTION("""COMPUTED_VALUE"""),0.99)</f>
        <v>0.99</v>
      </c>
      <c r="S17" s="34">
        <f>IFERROR(__xludf.DUMMYFUNCTION("""COMPUTED_VALUE"""),0.96)</f>
        <v>0.96</v>
      </c>
      <c r="T17" s="17" t="str">
        <f t="shared" si="1"/>
        <v>Bryce Harper</v>
      </c>
      <c r="W17" s="17">
        <f>IFERROR(__xludf.DUMMYFUNCTION("""COMPUTED_VALUE"""),11.0)</f>
        <v>11</v>
      </c>
      <c r="X17" s="17" t="str">
        <f t="array" ref="X17">iferror(trim(MID(indirect("R4C"&amp;W16-1+column($W$4)+1,False),find("to 2015",indirect("R4C"&amp;W16-1+column($W$4)+1,False))+9,find("Throws",indirect("R4C"&amp;W16-1+column($W$4)+1,False),find("to 2015",indirect("R4C"&amp;W16-1+column($W$4)+1,False)))-find("to 2015",indirect("R4C"&amp;W16-1+column($W$4)+1,False))-13)),iferror(trim(MID(indirect("R4C"&amp;W16-1+column($W$4)+1,False),find("Team.",indirect("R4C"&amp;W16-1+column($W$4)+1,False))+7,find("Throws",indirect("R4C"&amp;W16-1+column($W$4)+1,False),find("Team.",indirect("R4C"&amp;W16-1+column($W$4)+1,False)))-find("Team.",indirect("R4C"&amp;W16-1+column($W$4)+1,False))-11)),trim(MID(indirect("R4C"&amp;W16-1+column($W$4)+1,False),find("nced.",indirect("R4C"&amp;W16-1+column($W$4)+1,False))+7,find("Throws",indirect("R4C"&amp;W16-1+column($W$4)+1,False),find("nced.",indirect("R4C"&amp;W16-1+column($W$4)+1,False)))-find("nced.",indirect("R4C"&amp;W16-1+column($W$4)+1,False))-11))))</f>
        <v>Foster Griffin</v>
      </c>
      <c r="Y17" s="17" t="str">
        <f>IFERROR(__xludf.DUMMYFUNCTION("""vs. ""&amp;index(split(trim(left(indirect(""R4C""&amp;W17-1+column($W$4)+1,False),find(text(today()+1,""DDDD""),indirect(""R4C""&amp;W17-1+column($W$4)+1,False))-1)),""@""),,1)"),"vs. MIL ")</f>
        <v>vs. MIL </v>
      </c>
    </row>
    <row r="18">
      <c r="A18" s="17">
        <f>IFERROR(__xludf.DUMMYFUNCTION("""COMPUTED_VALUE"""),17.0)</f>
        <v>17</v>
      </c>
      <c r="B18" s="17" t="str">
        <f>IFERROR(__xludf.DUMMYFUNCTION("""COMPUTED_VALUE"""),"Yordan Alvarez (HOU - LF,DH)")</f>
        <v>Yordan Alvarez (HOU - LF,DH)</v>
      </c>
      <c r="C18" s="17">
        <f>IFERROR(__xludf.DUMMYFUNCTION("""COMPUTED_VALUE"""),369.0)</f>
        <v>369</v>
      </c>
      <c r="D18" s="17">
        <f>IFERROR(__xludf.DUMMYFUNCTION("""COMPUTED_VALUE"""),68.0)</f>
        <v>68</v>
      </c>
      <c r="E18" s="17">
        <f>IFERROR(__xludf.DUMMYFUNCTION("""COMPUTED_VALUE"""),25.0)</f>
        <v>25</v>
      </c>
      <c r="F18" s="17">
        <f>IFERROR(__xludf.DUMMYFUNCTION("""COMPUTED_VALUE"""),71.0)</f>
        <v>71</v>
      </c>
      <c r="G18" s="17">
        <f>IFERROR(__xludf.DUMMYFUNCTION("""COMPUTED_VALUE"""),3.0)</f>
        <v>3</v>
      </c>
      <c r="H18" s="17">
        <f>IFERROR(__xludf.DUMMYFUNCTION("""COMPUTED_VALUE"""),0.301)</f>
        <v>0.301</v>
      </c>
      <c r="I18" s="17">
        <f>IFERROR(__xludf.DUMMYFUNCTION("""COMPUTED_VALUE"""),0.413)</f>
        <v>0.413</v>
      </c>
      <c r="J18" s="17">
        <f>IFERROR(__xludf.DUMMYFUNCTION("""COMPUTED_VALUE"""),111.0)</f>
        <v>111</v>
      </c>
      <c r="K18" s="17">
        <f>IFERROR(__xludf.DUMMYFUNCTION("""COMPUTED_VALUE"""),22.0)</f>
        <v>22</v>
      </c>
      <c r="L18" s="17">
        <f>IFERROR(__xludf.DUMMYFUNCTION("""COMPUTED_VALUE"""),1.0)</f>
        <v>1</v>
      </c>
      <c r="M18" s="17">
        <f>IFERROR(__xludf.DUMMYFUNCTION("""COMPUTED_VALUE"""),58.0)</f>
        <v>58</v>
      </c>
      <c r="N18" s="17">
        <f>IFERROR(__xludf.DUMMYFUNCTION("""COMPUTED_VALUE"""),68.0)</f>
        <v>68</v>
      </c>
      <c r="O18" s="17">
        <f>IFERROR(__xludf.DUMMYFUNCTION("""COMPUTED_VALUE"""),0.574)</f>
        <v>0.574</v>
      </c>
      <c r="P18" s="17">
        <f>IFERROR(__xludf.DUMMYFUNCTION("""COMPUTED_VALUE"""),0.987)</f>
        <v>0.987</v>
      </c>
      <c r="Q18" s="34">
        <f>IFERROR(__xludf.DUMMYFUNCTION("""COMPUTED_VALUE"""),0.99)</f>
        <v>0.99</v>
      </c>
      <c r="R18" s="34">
        <f>IFERROR(__xludf.DUMMYFUNCTION("""COMPUTED_VALUE"""),0.99)</f>
        <v>0.99</v>
      </c>
      <c r="S18" s="34">
        <f>IFERROR(__xludf.DUMMYFUNCTION("""COMPUTED_VALUE"""),1.0)</f>
        <v>1</v>
      </c>
      <c r="T18" s="17" t="str">
        <f t="shared" si="1"/>
        <v>Yordan Alvarez</v>
      </c>
      <c r="W18" s="17">
        <f>IFERROR(__xludf.DUMMYFUNCTION("""COMPUTED_VALUE"""),13.0)</f>
        <v>13</v>
      </c>
      <c r="X18" s="17" t="str">
        <f>IFERROR(__xludf.DUMMYFUNCTION("if(left(trim(MID(indirect(""R4C""&amp;W18-1+column($W$4)+1,False),find(""Matchup"",indirect(""R4C""&amp;W18-1+column($W$4)+1,False))+9,find(""Throws"",indirect(""R4C""&amp;W18-1+column($W$4)+1,False))-find(""Matchup"",indirect(""R4C""&amp;W18-1+column($W$4)+1,False))-13)"&amp;"),15)=""To be announced"",""TBD ""&amp;index(split(trim(left(indirect(""R4C""&amp;W19-1+column($W$4)+1,False),find(text(today()+1,""DDDD""),indirect(""R4C""&amp;W19-1+column($W$4)+1,False))-1)),""@""),,1),trim(MID(indirect(""R4C""&amp;W18-1+column($W$4)+1,False),find(""M"&amp;"atchup"",indirect(""R4C""&amp;W18-1+column($W$4)+1,False))+9,find(""Throws"",indirect(""R4C""&amp;W18-1+column($W$4)+1,False))-find(""Matchup"",indirect(""R4C""&amp;W18-1+column($W$4)+1,False))-13)))"),"Spencer Arrighetti")</f>
        <v>Spencer Arrighetti</v>
      </c>
      <c r="Y18" s="17" t="str">
        <f>IFERROR(__xludf.DUMMYFUNCTION("""@""&amp;index(split(trim(left(indirect(""R4C""&amp;W18-1+column($W$4)+1,False),find(text(today()+1,""DDDD""),indirect(""R4C""&amp;W18-1+column($W$4)+1,False))-1)),""@""),,2)"),"@ BOS")</f>
        <v>@ BOS</v>
      </c>
    </row>
    <row r="19">
      <c r="A19" s="17">
        <f>IFERROR(__xludf.DUMMYFUNCTION("""COMPUTED_VALUE"""),18.0)</f>
        <v>18</v>
      </c>
      <c r="B19" s="17" t="str">
        <f>IFERROR(__xludf.DUMMYFUNCTION("""COMPUTED_VALUE"""),"Brent Rooker (ATH - LF,RF,DH)")</f>
        <v>Brent Rooker (ATH - LF,RF,DH)</v>
      </c>
      <c r="C19" s="17">
        <f>IFERROR(__xludf.DUMMYFUNCTION("""COMPUTED_VALUE"""),454.0)</f>
        <v>454</v>
      </c>
      <c r="D19" s="17">
        <f>IFERROR(__xludf.DUMMYFUNCTION("""COMPUTED_VALUE"""),71.0)</f>
        <v>71</v>
      </c>
      <c r="E19" s="17">
        <f>IFERROR(__xludf.DUMMYFUNCTION("""COMPUTED_VALUE"""),27.0)</f>
        <v>27</v>
      </c>
      <c r="F19" s="17">
        <f>IFERROR(__xludf.DUMMYFUNCTION("""COMPUTED_VALUE"""),81.0)</f>
        <v>81</v>
      </c>
      <c r="G19" s="17">
        <f>IFERROR(__xludf.DUMMYFUNCTION("""COMPUTED_VALUE"""),6.0)</f>
        <v>6</v>
      </c>
      <c r="H19" s="17">
        <f>IFERROR(__xludf.DUMMYFUNCTION("""COMPUTED_VALUE"""),0.263)</f>
        <v>0.263</v>
      </c>
      <c r="I19" s="17">
        <f>IFERROR(__xludf.DUMMYFUNCTION("""COMPUTED_VALUE"""),0.346)</f>
        <v>0.346</v>
      </c>
      <c r="J19" s="17">
        <f>IFERROR(__xludf.DUMMYFUNCTION("""COMPUTED_VALUE"""),120.0)</f>
        <v>120</v>
      </c>
      <c r="K19" s="17">
        <f>IFERROR(__xludf.DUMMYFUNCTION("""COMPUTED_VALUE"""),24.0)</f>
        <v>24</v>
      </c>
      <c r="L19" s="17">
        <f>IFERROR(__xludf.DUMMYFUNCTION("""COMPUTED_VALUE"""),2.0)</f>
        <v>2</v>
      </c>
      <c r="M19" s="17">
        <f>IFERROR(__xludf.DUMMYFUNCTION("""COMPUTED_VALUE"""),52.0)</f>
        <v>52</v>
      </c>
      <c r="N19" s="17">
        <f>IFERROR(__xludf.DUMMYFUNCTION("""COMPUTED_VALUE"""),131.0)</f>
        <v>131</v>
      </c>
      <c r="O19" s="17">
        <f>IFERROR(__xludf.DUMMYFUNCTION("""COMPUTED_VALUE"""),0.5)</f>
        <v>0.5</v>
      </c>
      <c r="P19" s="17">
        <f>IFERROR(__xludf.DUMMYFUNCTION("""COMPUTED_VALUE"""),0.847)</f>
        <v>0.847</v>
      </c>
      <c r="Q19" s="34">
        <f>IFERROR(__xludf.DUMMYFUNCTION("""COMPUTED_VALUE"""),0.87)</f>
        <v>0.87</v>
      </c>
      <c r="R19" s="34">
        <f>IFERROR(__xludf.DUMMYFUNCTION("""COMPUTED_VALUE"""),0.94)</f>
        <v>0.94</v>
      </c>
      <c r="S19" s="34">
        <f>IFERROR(__xludf.DUMMYFUNCTION("""COMPUTED_VALUE"""),0.8)</f>
        <v>0.8</v>
      </c>
      <c r="T19" s="17" t="str">
        <f t="shared" si="1"/>
        <v>Brent Rooker</v>
      </c>
      <c r="W19" s="17">
        <f>IFERROR(__xludf.DUMMYFUNCTION("""COMPUTED_VALUE"""),13.0)</f>
        <v>13</v>
      </c>
      <c r="X19" s="17" t="str">
        <f t="array" ref="X19">iferror(trim(MID(indirect("R4C"&amp;W18-1+column($W$4)+1,False),find("to 2015",indirect("R4C"&amp;W18-1+column($W$4)+1,False))+9,find("Throws",indirect("R4C"&amp;W18-1+column($W$4)+1,False),find("to 2015",indirect("R4C"&amp;W18-1+column($W$4)+1,False)))-find("to 2015",indirect("R4C"&amp;W18-1+column($W$4)+1,False))-13)),iferror(trim(MID(indirect("R4C"&amp;W18-1+column($W$4)+1,False),find("Team.",indirect("R4C"&amp;W18-1+column($W$4)+1,False))+7,find("Throws",indirect("R4C"&amp;W18-1+column($W$4)+1,False),find("Team.",indirect("R4C"&amp;W18-1+column($W$4)+1,False)))-find("Team.",indirect("R4C"&amp;W18-1+column($W$4)+1,False))-11)),trim(MID(indirect("R4C"&amp;W18-1+column($W$4)+1,False),find("nced.",indirect("R4C"&amp;W18-1+column($W$4)+1,False))+7,find("Throws",indirect("R4C"&amp;W18-1+column($W$4)+1,False),find("nced.",indirect("R4C"&amp;W18-1+column($W$4)+1,False)))-find("nced.",indirect("R4C"&amp;W18-1+column($W$4)+1,False))-11))))</f>
        <v>Connelly Early</v>
      </c>
      <c r="Y19" s="17" t="str">
        <f>IFERROR(__xludf.DUMMYFUNCTION("""vs. ""&amp;index(split(trim(left(indirect(""R4C""&amp;W19-1+column($W$4)+1,False),find(text(today()+1,""DDDD""),indirect(""R4C""&amp;W19-1+column($W$4)+1,False))-1)),""@""),,1)"),"vs. HOU ")</f>
        <v>vs. HOU </v>
      </c>
    </row>
    <row r="20">
      <c r="A20" s="17">
        <f>IFERROR(__xludf.DUMMYFUNCTION("""COMPUTED_VALUE"""),19.0)</f>
        <v>19</v>
      </c>
      <c r="B20" s="17" t="str">
        <f>IFERROR(__xludf.DUMMYFUNCTION("""COMPUTED_VALUE"""),"Kyle Schwarber (PHI - LF,DH)")</f>
        <v>Kyle Schwarber (PHI - LF,DH)</v>
      </c>
      <c r="C20" s="17">
        <f>IFERROR(__xludf.DUMMYFUNCTION("""COMPUTED_VALUE"""),460.0)</f>
        <v>460</v>
      </c>
      <c r="D20" s="17">
        <f>IFERROR(__xludf.DUMMYFUNCTION("""COMPUTED_VALUE"""),83.0)</f>
        <v>83</v>
      </c>
      <c r="E20" s="17">
        <f>IFERROR(__xludf.DUMMYFUNCTION("""COMPUTED_VALUE"""),35.0)</f>
        <v>35</v>
      </c>
      <c r="F20" s="17">
        <f>IFERROR(__xludf.DUMMYFUNCTION("""COMPUTED_VALUE"""),85.0)</f>
        <v>85</v>
      </c>
      <c r="G20" s="17">
        <f>IFERROR(__xludf.DUMMYFUNCTION("""COMPUTED_VALUE"""),5.0)</f>
        <v>5</v>
      </c>
      <c r="H20" s="17">
        <f>IFERROR(__xludf.DUMMYFUNCTION("""COMPUTED_VALUE"""),0.225)</f>
        <v>0.225</v>
      </c>
      <c r="I20" s="17">
        <f>IFERROR(__xludf.DUMMYFUNCTION("""COMPUTED_VALUE"""),0.357)</f>
        <v>0.357</v>
      </c>
      <c r="J20" s="17">
        <f>IFERROR(__xludf.DUMMYFUNCTION("""COMPUTED_VALUE"""),103.0)</f>
        <v>103</v>
      </c>
      <c r="K20" s="17">
        <f>IFERROR(__xludf.DUMMYFUNCTION("""COMPUTED_VALUE"""),17.0)</f>
        <v>17</v>
      </c>
      <c r="L20" s="17">
        <f>IFERROR(__xludf.DUMMYFUNCTION("""COMPUTED_VALUE"""),1.0)</f>
        <v>1</v>
      </c>
      <c r="M20" s="17">
        <f>IFERROR(__xludf.DUMMYFUNCTION("""COMPUTED_VALUE"""),86.0)</f>
        <v>86</v>
      </c>
      <c r="N20" s="17">
        <f>IFERROR(__xludf.DUMMYFUNCTION("""COMPUTED_VALUE"""),157.0)</f>
        <v>157</v>
      </c>
      <c r="O20" s="17">
        <f>IFERROR(__xludf.DUMMYFUNCTION("""COMPUTED_VALUE"""),0.491)</f>
        <v>0.491</v>
      </c>
      <c r="P20" s="17">
        <f>IFERROR(__xludf.DUMMYFUNCTION("""COMPUTED_VALUE"""),0.848)</f>
        <v>0.848</v>
      </c>
      <c r="Q20" s="34">
        <f>IFERROR(__xludf.DUMMYFUNCTION("""COMPUTED_VALUE"""),0.99)</f>
        <v>0.99</v>
      </c>
      <c r="R20" s="34">
        <f>IFERROR(__xludf.DUMMYFUNCTION("""COMPUTED_VALUE"""),0.99)</f>
        <v>0.99</v>
      </c>
      <c r="S20" s="34">
        <f>IFERROR(__xludf.DUMMYFUNCTION("""COMPUTED_VALUE"""),1.0)</f>
        <v>1</v>
      </c>
      <c r="T20" s="17" t="str">
        <f t="shared" si="1"/>
        <v>Kyle Schwarber</v>
      </c>
      <c r="W20" s="17">
        <f>IFERROR(__xludf.DUMMYFUNCTION("""COMPUTED_VALUE"""),15.0)</f>
        <v>15</v>
      </c>
      <c r="X20" s="17" t="str">
        <f>IFERROR(__xludf.DUMMYFUNCTION("if(left(trim(MID(indirect(""R4C""&amp;W20-1+column($W$4)+1,False),find(""Matchup"",indirect(""R4C""&amp;W20-1+column($W$4)+1,False))+9,find(""Throws"",indirect(""R4C""&amp;W20-1+column($W$4)+1,False))-find(""Matchup"",indirect(""R4C""&amp;W20-1+column($W$4)+1,False))-13)"&amp;"),15)=""To be announced"",""TBD ""&amp;index(split(trim(left(indirect(""R4C""&amp;W21-1+column($W$4)+1,False),find(text(today()+1,""DDDD""),indirect(""R4C""&amp;W21-1+column($W$4)+1,False))-1)),""@""),,1),trim(MID(indirect(""R4C""&amp;W20-1+column($W$4)+1,False),find(""M"&amp;"atchup"",indirect(""R4C""&amp;W20-1+column($W$4)+1,False))+9,find(""Throws"",indirect(""R4C""&amp;W20-1+column($W$4)+1,False))-find(""Matchup"",indirect(""R4C""&amp;W20-1+column($W$4)+1,False))-13)))"),"TBD PHI ")</f>
        <v>TBD PHI </v>
      </c>
      <c r="Y20" s="17" t="str">
        <f>IFERROR(__xludf.DUMMYFUNCTION("""@""&amp;index(split(trim(left(indirect(""R4C""&amp;W20-1+column($W$4)+1,False),find(text(today()+1,""DDDD""),indirect(""R4C""&amp;W20-1+column($W$4)+1,False))-1)),""@""),,2)"),"@ MIA")</f>
        <v>@ MIA</v>
      </c>
    </row>
    <row r="21">
      <c r="A21" s="17">
        <f>IFERROR(__xludf.DUMMYFUNCTION("""COMPUTED_VALUE"""),20.0)</f>
        <v>20</v>
      </c>
      <c r="B21" s="17" t="str">
        <f>IFERROR(__xludf.DUMMYFUNCTION("""COMPUTED_VALUE"""),"James Wood (WSH - LF,RF,DH)")</f>
        <v>James Wood (WSH - LF,RF,DH)</v>
      </c>
      <c r="C21" s="17">
        <f>IFERROR(__xludf.DUMMYFUNCTION("""COMPUTED_VALUE"""),447.0)</f>
        <v>447</v>
      </c>
      <c r="D21" s="17">
        <f>IFERROR(__xludf.DUMMYFUNCTION("""COMPUTED_VALUE"""),76.0)</f>
        <v>76</v>
      </c>
      <c r="E21" s="17">
        <f>IFERROR(__xludf.DUMMYFUNCTION("""COMPUTED_VALUE"""),24.0)</f>
        <v>24</v>
      </c>
      <c r="F21" s="17">
        <f>IFERROR(__xludf.DUMMYFUNCTION("""COMPUTED_VALUE"""),70.0)</f>
        <v>70</v>
      </c>
      <c r="G21" s="17">
        <f>IFERROR(__xludf.DUMMYFUNCTION("""COMPUTED_VALUE"""),14.0)</f>
        <v>14</v>
      </c>
      <c r="H21" s="17">
        <f>IFERROR(__xludf.DUMMYFUNCTION("""COMPUTED_VALUE"""),0.261)</f>
        <v>0.261</v>
      </c>
      <c r="I21" s="17">
        <f>IFERROR(__xludf.DUMMYFUNCTION("""COMPUTED_VALUE"""),0.367)</f>
        <v>0.367</v>
      </c>
      <c r="J21" s="17">
        <f>IFERROR(__xludf.DUMMYFUNCTION("""COMPUTED_VALUE"""),117.0)</f>
        <v>117</v>
      </c>
      <c r="K21" s="17">
        <f>IFERROR(__xludf.DUMMYFUNCTION("""COMPUTED_VALUE"""),25.0)</f>
        <v>25</v>
      </c>
      <c r="L21" s="17">
        <f>IFERROR(__xludf.DUMMYFUNCTION("""COMPUTED_VALUE"""),2.0)</f>
        <v>2</v>
      </c>
      <c r="M21" s="17">
        <f>IFERROR(__xludf.DUMMYFUNCTION("""COMPUTED_VALUE"""),69.0)</f>
        <v>69</v>
      </c>
      <c r="N21" s="17">
        <f>IFERROR(__xludf.DUMMYFUNCTION("""COMPUTED_VALUE"""),153.0)</f>
        <v>153</v>
      </c>
      <c r="O21" s="17">
        <f>IFERROR(__xludf.DUMMYFUNCTION("""COMPUTED_VALUE"""),0.482)</f>
        <v>0.482</v>
      </c>
      <c r="P21" s="17">
        <f>IFERROR(__xludf.DUMMYFUNCTION("""COMPUTED_VALUE"""),0.849)</f>
        <v>0.849</v>
      </c>
      <c r="Q21" s="34">
        <f>IFERROR(__xludf.DUMMYFUNCTION("""COMPUTED_VALUE"""),0.98)</f>
        <v>0.98</v>
      </c>
      <c r="R21" s="34">
        <f>IFERROR(__xludf.DUMMYFUNCTION("""COMPUTED_VALUE"""),0.99)</f>
        <v>0.99</v>
      </c>
      <c r="S21" s="34">
        <f>IFERROR(__xludf.DUMMYFUNCTION("""COMPUTED_VALUE"""),0.96)</f>
        <v>0.96</v>
      </c>
      <c r="T21" s="17" t="str">
        <f t="shared" si="1"/>
        <v>James Wood</v>
      </c>
      <c r="W21" s="17">
        <f>IFERROR(__xludf.DUMMYFUNCTION("""COMPUTED_VALUE"""),15.0)</f>
        <v>15</v>
      </c>
      <c r="X21" s="17" t="str">
        <f t="array" ref="X21">iferror(trim(MID(indirect("R4C"&amp;W20-1+column($W$4)+1,False),find("to 2015",indirect("R4C"&amp;W20-1+column($W$4)+1,False))+9,find("Throws",indirect("R4C"&amp;W20-1+column($W$4)+1,False),find("to 2015",indirect("R4C"&amp;W20-1+column($W$4)+1,False)))-find("to 2015",indirect("R4C"&amp;W20-1+column($W$4)+1,False))-13)),iferror(trim(MID(indirect("R4C"&amp;W20-1+column($W$4)+1,False),find("Team.",indirect("R4C"&amp;W20-1+column($W$4)+1,False))+7,find("Throws",indirect("R4C"&amp;W20-1+column($W$4)+1,False),find("Team.",indirect("R4C"&amp;W20-1+column($W$4)+1,False)))-find("Team.",indirect("R4C"&amp;W20-1+column($W$4)+1,False))-11)),trim(MID(indirect("R4C"&amp;W20-1+column($W$4)+1,False),find("nced.",indirect("R4C"&amp;W20-1+column($W$4)+1,False))+7,find("Throws",indirect("R4C"&amp;W20-1+column($W$4)+1,False),find("nced.",indirect("R4C"&amp;W20-1+column($W$4)+1,False)))-find("nced.",indirect("R4C"&amp;W20-1+column($W$4)+1,False))-11))))</f>
        <v>Max Meyer</v>
      </c>
      <c r="Y21" s="17" t="str">
        <f>IFERROR(__xludf.DUMMYFUNCTION("""vs. ""&amp;index(split(trim(left(indirect(""R4C""&amp;W21-1+column($W$4)+1,False),find(text(today()+1,""DDDD""),indirect(""R4C""&amp;W21-1+column($W$4)+1,False))-1)),""@""),,1)"),"vs. PHI ")</f>
        <v>vs. PHI </v>
      </c>
    </row>
    <row r="22">
      <c r="A22" s="17">
        <f>IFERROR(__xludf.DUMMYFUNCTION("""COMPUTED_VALUE"""),21.0)</f>
        <v>21</v>
      </c>
      <c r="B22" s="17" t="str">
        <f>IFERROR(__xludf.DUMMYFUNCTION("""COMPUTED_VALUE"""),"Trea Turner (PHI - SS)")</f>
        <v>Trea Turner (PHI - SS)</v>
      </c>
      <c r="C22" s="17">
        <f>IFERROR(__xludf.DUMMYFUNCTION("""COMPUTED_VALUE"""),487.0)</f>
        <v>487</v>
      </c>
      <c r="D22" s="17">
        <f>IFERROR(__xludf.DUMMYFUNCTION("""COMPUTED_VALUE"""),74.0)</f>
        <v>74</v>
      </c>
      <c r="E22" s="17">
        <f>IFERROR(__xludf.DUMMYFUNCTION("""COMPUTED_VALUE"""),15.0)</f>
        <v>15</v>
      </c>
      <c r="F22" s="17">
        <f>IFERROR(__xludf.DUMMYFUNCTION("""COMPUTED_VALUE"""),59.0)</f>
        <v>59</v>
      </c>
      <c r="G22" s="17">
        <f>IFERROR(__xludf.DUMMYFUNCTION("""COMPUTED_VALUE"""),21.0)</f>
        <v>21</v>
      </c>
      <c r="H22" s="17">
        <f>IFERROR(__xludf.DUMMYFUNCTION("""COMPUTED_VALUE"""),0.279)</f>
        <v>0.279</v>
      </c>
      <c r="I22" s="17">
        <f>IFERROR(__xludf.DUMMYFUNCTION("""COMPUTED_VALUE"""),0.334)</f>
        <v>0.334</v>
      </c>
      <c r="J22" s="17">
        <f>IFERROR(__xludf.DUMMYFUNCTION("""COMPUTED_VALUE"""),136.0)</f>
        <v>136</v>
      </c>
      <c r="K22" s="17">
        <f>IFERROR(__xludf.DUMMYFUNCTION("""COMPUTED_VALUE"""),25.0)</f>
        <v>25</v>
      </c>
      <c r="L22" s="17">
        <f>IFERROR(__xludf.DUMMYFUNCTION("""COMPUTED_VALUE"""),3.0)</f>
        <v>3</v>
      </c>
      <c r="M22" s="17">
        <f>IFERROR(__xludf.DUMMYFUNCTION("""COMPUTED_VALUE"""),37.0)</f>
        <v>37</v>
      </c>
      <c r="N22" s="17">
        <f>IFERROR(__xludf.DUMMYFUNCTION("""COMPUTED_VALUE"""),97.0)</f>
        <v>97</v>
      </c>
      <c r="O22" s="17">
        <f>IFERROR(__xludf.DUMMYFUNCTION("""COMPUTED_VALUE"""),0.434)</f>
        <v>0.434</v>
      </c>
      <c r="P22" s="17">
        <f>IFERROR(__xludf.DUMMYFUNCTION("""COMPUTED_VALUE"""),0.767)</f>
        <v>0.767</v>
      </c>
      <c r="Q22" s="34">
        <f>IFERROR(__xludf.DUMMYFUNCTION("""COMPUTED_VALUE"""),0.95)</f>
        <v>0.95</v>
      </c>
      <c r="R22" s="34">
        <f>IFERROR(__xludf.DUMMYFUNCTION("""COMPUTED_VALUE"""),0.99)</f>
        <v>0.99</v>
      </c>
      <c r="S22" s="34">
        <f>IFERROR(__xludf.DUMMYFUNCTION("""COMPUTED_VALUE"""),0.92)</f>
        <v>0.92</v>
      </c>
      <c r="T22" s="17" t="str">
        <f t="shared" si="1"/>
        <v>Trea Turner</v>
      </c>
      <c r="W22" s="17">
        <f>IFERROR(__xludf.DUMMYFUNCTION("""COMPUTED_VALUE"""),17.0)</f>
        <v>17</v>
      </c>
      <c r="X22" s="17" t="str">
        <f>IFERROR(__xludf.DUMMYFUNCTION("if(left(trim(MID(indirect(""R4C""&amp;W22-1+column($W$4)+1,False),find(""Matchup"",indirect(""R4C""&amp;W22-1+column($W$4)+1,False))+9,find(""Throws"",indirect(""R4C""&amp;W22-1+column($W$4)+1,False))-find(""Matchup"",indirect(""R4C""&amp;W22-1+column($W$4)+1,False))-13)"&amp;"),15)=""To be announced"",""TBD ""&amp;index(split(trim(left(indirect(""R4C""&amp;W23-1+column($W$4)+1,False),find(text(today()+1,""DDDD""),indirect(""R4C""&amp;W23-1+column($W$4)+1,False))-1)),""@""),,1),trim(MID(indirect(""R4C""&amp;W22-1+column($W$4)+1,False),find(""M"&amp;"atchup"",indirect(""R4C""&amp;W22-1+column($W$4)+1,False))+9,find(""Throws"",indirect(""R4C""&amp;W22-1+column($W$4)+1,False))-find(""Matchup"",indirect(""R4C""&amp;W22-1+column($W$4)+1,False))-13)))"),"Landen Roupp")</f>
        <v>Landen Roupp</v>
      </c>
      <c r="Y22" s="17" t="str">
        <f>IFERROR(__xludf.DUMMYFUNCTION("""@""&amp;index(split(trim(left(indirect(""R4C""&amp;W22-1+column($W$4)+1,False),find(text(today()+1,""DDDD""),indirect(""R4C""&amp;W22-1+column($W$4)+1,False))-1)),""@""),,2)"),"@ TBR")</f>
        <v>@ TBR</v>
      </c>
    </row>
    <row r="23">
      <c r="A23" s="17">
        <f>IFERROR(__xludf.DUMMYFUNCTION("""COMPUTED_VALUE"""),22.0)</f>
        <v>22</v>
      </c>
      <c r="B23" s="17" t="str">
        <f>IFERROR(__xludf.DUMMYFUNCTION("""COMPUTED_VALUE"""),"Pete Alonso (BAL - 1B)")</f>
        <v>Pete Alonso (BAL - 1B)</v>
      </c>
      <c r="C23" s="17">
        <f>IFERROR(__xludf.DUMMYFUNCTION("""COMPUTED_VALUE"""),477.0)</f>
        <v>477</v>
      </c>
      <c r="D23" s="17">
        <f>IFERROR(__xludf.DUMMYFUNCTION("""COMPUTED_VALUE"""),72.0)</f>
        <v>72</v>
      </c>
      <c r="E23" s="17">
        <f>IFERROR(__xludf.DUMMYFUNCTION("""COMPUTED_VALUE"""),29.0)</f>
        <v>29</v>
      </c>
      <c r="F23" s="17">
        <f>IFERROR(__xludf.DUMMYFUNCTION("""COMPUTED_VALUE"""),84.0)</f>
        <v>84</v>
      </c>
      <c r="G23" s="17">
        <f>IFERROR(__xludf.DUMMYFUNCTION("""COMPUTED_VALUE"""),2.0)</f>
        <v>2</v>
      </c>
      <c r="H23" s="17">
        <f>IFERROR(__xludf.DUMMYFUNCTION("""COMPUTED_VALUE"""),0.254)</f>
        <v>0.254</v>
      </c>
      <c r="I23" s="17">
        <f>IFERROR(__xludf.DUMMYFUNCTION("""COMPUTED_VALUE"""),0.344)</f>
        <v>0.344</v>
      </c>
      <c r="J23" s="17">
        <f>IFERROR(__xludf.DUMMYFUNCTION("""COMPUTED_VALUE"""),121.0)</f>
        <v>121</v>
      </c>
      <c r="K23" s="17">
        <f>IFERROR(__xludf.DUMMYFUNCTION("""COMPUTED_VALUE"""),24.0)</f>
        <v>24</v>
      </c>
      <c r="L23" s="17">
        <f>IFERROR(__xludf.DUMMYFUNCTION("""COMPUTED_VALUE"""),1.0)</f>
        <v>1</v>
      </c>
      <c r="M23" s="17">
        <f>IFERROR(__xludf.DUMMYFUNCTION("""COMPUTED_VALUE"""),53.0)</f>
        <v>53</v>
      </c>
      <c r="N23" s="17">
        <f>IFERROR(__xludf.DUMMYFUNCTION("""COMPUTED_VALUE"""),124.0)</f>
        <v>124</v>
      </c>
      <c r="O23" s="17">
        <f>IFERROR(__xludf.DUMMYFUNCTION("""COMPUTED_VALUE"""),0.491)</f>
        <v>0.491</v>
      </c>
      <c r="P23" s="17">
        <f>IFERROR(__xludf.DUMMYFUNCTION("""COMPUTED_VALUE"""),0.835)</f>
        <v>0.835</v>
      </c>
      <c r="Q23" s="34">
        <f>IFERROR(__xludf.DUMMYFUNCTION("""COMPUTED_VALUE"""),0.99)</f>
        <v>0.99</v>
      </c>
      <c r="R23" s="34">
        <f>IFERROR(__xludf.DUMMYFUNCTION("""COMPUTED_VALUE"""),0.99)</f>
        <v>0.99</v>
      </c>
      <c r="S23" s="34">
        <f>IFERROR(__xludf.DUMMYFUNCTION("""COMPUTED_VALUE"""),0.98)</f>
        <v>0.98</v>
      </c>
      <c r="T23" s="17" t="str">
        <f t="shared" si="1"/>
        <v>Pete Alonso</v>
      </c>
      <c r="W23" s="17">
        <f>IFERROR(__xludf.DUMMYFUNCTION("""COMPUTED_VALUE"""),17.0)</f>
        <v>17</v>
      </c>
      <c r="X23" s="17" t="str">
        <f t="array" ref="X23">iferror(trim(MID(indirect("R4C"&amp;W22-1+column($W$4)+1,False),find("to 2015",indirect("R4C"&amp;W22-1+column($W$4)+1,False))+9,find("Throws",indirect("R4C"&amp;W22-1+column($W$4)+1,False),find("to 2015",indirect("R4C"&amp;W22-1+column($W$4)+1,False)))-find("to 2015",indirect("R4C"&amp;W22-1+column($W$4)+1,False))-13)),iferror(trim(MID(indirect("R4C"&amp;W22-1+column($W$4)+1,False),find("Team.",indirect("R4C"&amp;W22-1+column($W$4)+1,False))+7,find("Throws",indirect("R4C"&amp;W22-1+column($W$4)+1,False),find("Team.",indirect("R4C"&amp;W22-1+column($W$4)+1,False)))-find("Team.",indirect("R4C"&amp;W22-1+column($W$4)+1,False))-11)),trim(MID(indirect("R4C"&amp;W22-1+column($W$4)+1,False),find("nced.",indirect("R4C"&amp;W22-1+column($W$4)+1,False))+7,find("Throws",indirect("R4C"&amp;W22-1+column($W$4)+1,False),find("nced.",indirect("R4C"&amp;W22-1+column($W$4)+1,False)))-find("nced.",indirect("R4C"&amp;W22-1+column($W$4)+1,False))-11))))</f>
        <v>#VALUE!</v>
      </c>
      <c r="Y23" s="17" t="str">
        <f>IFERROR(__xludf.DUMMYFUNCTION("""vs. ""&amp;index(split(trim(left(indirect(""R4C""&amp;W23-1+column($W$4)+1,False),find(text(today()+1,""DDDD""),indirect(""R4C""&amp;W23-1+column($W$4)+1,False))-1)),""@""),,1)"),"vs. SFG ")</f>
        <v>vs. SFG </v>
      </c>
    </row>
    <row r="24">
      <c r="A24" s="17">
        <f>IFERROR(__xludf.DUMMYFUNCTION("""COMPUTED_VALUE"""),23.0)</f>
        <v>23</v>
      </c>
      <c r="B24" s="17" t="str">
        <f>IFERROR(__xludf.DUMMYFUNCTION("""COMPUTED_VALUE"""),"Sal Stewart (CIN - 1B,3B)")</f>
        <v>Sal Stewart (CIN - 1B,3B)</v>
      </c>
      <c r="C24" s="17">
        <f>IFERROR(__xludf.DUMMYFUNCTION("""COMPUTED_VALUE"""),451.0)</f>
        <v>451</v>
      </c>
      <c r="D24" s="17">
        <f>IFERROR(__xludf.DUMMYFUNCTION("""COMPUTED_VALUE"""),68.0)</f>
        <v>68</v>
      </c>
      <c r="E24" s="17">
        <f>IFERROR(__xludf.DUMMYFUNCTION("""COMPUTED_VALUE"""),22.0)</f>
        <v>22</v>
      </c>
      <c r="F24" s="17">
        <f>IFERROR(__xludf.DUMMYFUNCTION("""COMPUTED_VALUE"""),75.0)</f>
        <v>75</v>
      </c>
      <c r="G24" s="17">
        <f>IFERROR(__xludf.DUMMYFUNCTION("""COMPUTED_VALUE"""),10.0)</f>
        <v>10</v>
      </c>
      <c r="H24" s="17">
        <f>IFERROR(__xludf.DUMMYFUNCTION("""COMPUTED_VALUE"""),0.271)</f>
        <v>0.271</v>
      </c>
      <c r="I24" s="17">
        <f>IFERROR(__xludf.DUMMYFUNCTION("""COMPUTED_VALUE"""),0.342)</f>
        <v>0.342</v>
      </c>
      <c r="J24" s="17">
        <f>IFERROR(__xludf.DUMMYFUNCTION("""COMPUTED_VALUE"""),122.0)</f>
        <v>122</v>
      </c>
      <c r="K24" s="17">
        <f>IFERROR(__xludf.DUMMYFUNCTION("""COMPUTED_VALUE"""),25.0)</f>
        <v>25</v>
      </c>
      <c r="L24" s="17">
        <f>IFERROR(__xludf.DUMMYFUNCTION("""COMPUTED_VALUE"""),1.0)</f>
        <v>1</v>
      </c>
      <c r="M24" s="17">
        <f>IFERROR(__xludf.DUMMYFUNCTION("""COMPUTED_VALUE"""),45.0)</f>
        <v>45</v>
      </c>
      <c r="N24" s="17">
        <f>IFERROR(__xludf.DUMMYFUNCTION("""COMPUTED_VALUE"""),95.0)</f>
        <v>95</v>
      </c>
      <c r="O24" s="17">
        <f>IFERROR(__xludf.DUMMYFUNCTION("""COMPUTED_VALUE"""),0.474)</f>
        <v>0.474</v>
      </c>
      <c r="P24" s="17">
        <f>IFERROR(__xludf.DUMMYFUNCTION("""COMPUTED_VALUE"""),0.816)</f>
        <v>0.816</v>
      </c>
      <c r="Q24" s="34">
        <f>IFERROR(__xludf.DUMMYFUNCTION("""COMPUTED_VALUE"""),0.93)</f>
        <v>0.93</v>
      </c>
      <c r="R24" s="34">
        <f>IFERROR(__xludf.DUMMYFUNCTION("""COMPUTED_VALUE"""),0.92)</f>
        <v>0.92</v>
      </c>
      <c r="S24" s="34">
        <f>IFERROR(__xludf.DUMMYFUNCTION("""COMPUTED_VALUE"""),0.93)</f>
        <v>0.93</v>
      </c>
      <c r="T24" s="17" t="str">
        <f t="shared" si="1"/>
        <v>Sal Stewart</v>
      </c>
      <c r="W24" s="17">
        <f>IFERROR(__xludf.DUMMYFUNCTION("""COMPUTED_VALUE"""),19.0)</f>
        <v>19</v>
      </c>
      <c r="X24" s="17" t="str">
        <f>IFERROR(__xludf.DUMMYFUNCTION("if(left(trim(MID(indirect(""R4C""&amp;W24-1+column($W$4)+1,False),find(""Matchup"",indirect(""R4C""&amp;W24-1+column($W$4)+1,False))+9,find(""Throws"",indirect(""R4C""&amp;W24-1+column($W$4)+1,False))-find(""Matchup"",indirect(""R4C""&amp;W24-1+column($W$4)+1,False))-13)"&amp;"),15)=""To be announced"",""TBD ""&amp;index(split(trim(left(indirect(""R4C""&amp;W25-1+column($W$4)+1,False),find(text(today()+1,""DDDD""),indirect(""R4C""&amp;W25-1+column($W$4)+1,False))-1)),""@""),,1),trim(MID(indirect(""R4C""&amp;W24-1+column($W$4)+1,False),find(""M"&amp;"atchup"",indirect(""R4C""&amp;W24-1+column($W$4)+1,False))+9,find(""Throws"",indirect(""R4C""&amp;W24-1+column($W$4)+1,False))-find(""Matchup"",indirect(""R4C""&amp;W24-1+column($W$4)+1,False))-13)))"),"Roki Sasaki")</f>
        <v>Roki Sasaki</v>
      </c>
      <c r="Y24" s="17" t="str">
        <f>IFERROR(__xludf.DUMMYFUNCTION("""@""&amp;index(split(trim(left(indirect(""R4C""&amp;W24-1+column($W$4)+1,False),find(text(today()+1,""DDDD""),indirect(""R4C""&amp;W24-1+column($W$4)+1,False))-1)),""@""),,2)"),"@ STL")</f>
        <v>@ STL</v>
      </c>
    </row>
    <row r="25">
      <c r="A25" s="17">
        <f>IFERROR(__xludf.DUMMYFUNCTION("""COMPUTED_VALUE"""),24.0)</f>
        <v>24</v>
      </c>
      <c r="B25" s="17" t="str">
        <f>IFERROR(__xludf.DUMMYFUNCTION("""COMPUTED_VALUE"""),"Freddie Freeman (LAD - 1B)")</f>
        <v>Freddie Freeman (LAD - 1B)</v>
      </c>
      <c r="C25" s="17">
        <f>IFERROR(__xludf.DUMMYFUNCTION("""COMPUTED_VALUE"""),463.0)</f>
        <v>463</v>
      </c>
      <c r="D25" s="17">
        <f>IFERROR(__xludf.DUMMYFUNCTION("""COMPUTED_VALUE"""),73.0)</f>
        <v>73</v>
      </c>
      <c r="E25" s="17">
        <f>IFERROR(__xludf.DUMMYFUNCTION("""COMPUTED_VALUE"""),19.0)</f>
        <v>19</v>
      </c>
      <c r="F25" s="17">
        <f>IFERROR(__xludf.DUMMYFUNCTION("""COMPUTED_VALUE"""),71.0)</f>
        <v>71</v>
      </c>
      <c r="G25" s="17">
        <f>IFERROR(__xludf.DUMMYFUNCTION("""COMPUTED_VALUE"""),6.0)</f>
        <v>6</v>
      </c>
      <c r="H25" s="17">
        <f>IFERROR(__xludf.DUMMYFUNCTION("""COMPUTED_VALUE"""),0.281)</f>
        <v>0.281</v>
      </c>
      <c r="I25" s="17">
        <f>IFERROR(__xludf.DUMMYFUNCTION("""COMPUTED_VALUE"""),0.372)</f>
        <v>0.372</v>
      </c>
      <c r="J25" s="17">
        <f>IFERROR(__xludf.DUMMYFUNCTION("""COMPUTED_VALUE"""),130.0)</f>
        <v>130</v>
      </c>
      <c r="K25" s="17">
        <f>IFERROR(__xludf.DUMMYFUNCTION("""COMPUTED_VALUE"""),29.0)</f>
        <v>29</v>
      </c>
      <c r="L25" s="17">
        <f>IFERROR(__xludf.DUMMYFUNCTION("""COMPUTED_VALUE"""),2.0)</f>
        <v>2</v>
      </c>
      <c r="M25" s="17">
        <f>IFERROR(__xludf.DUMMYFUNCTION("""COMPUTED_VALUE"""),56.0)</f>
        <v>56</v>
      </c>
      <c r="N25" s="17">
        <f>IFERROR(__xludf.DUMMYFUNCTION("""COMPUTED_VALUE"""),94.0)</f>
        <v>94</v>
      </c>
      <c r="O25" s="17">
        <f>IFERROR(__xludf.DUMMYFUNCTION("""COMPUTED_VALUE"""),0.472)</f>
        <v>0.472</v>
      </c>
      <c r="P25" s="17">
        <f>IFERROR(__xludf.DUMMYFUNCTION("""COMPUTED_VALUE"""),0.844)</f>
        <v>0.844</v>
      </c>
      <c r="Q25" s="34">
        <f>IFERROR(__xludf.DUMMYFUNCTION("""COMPUTED_VALUE"""),0.98)</f>
        <v>0.98</v>
      </c>
      <c r="R25" s="34">
        <f>IFERROR(__xludf.DUMMYFUNCTION("""COMPUTED_VALUE"""),0.99)</f>
        <v>0.99</v>
      </c>
      <c r="S25" s="34">
        <f>IFERROR(__xludf.DUMMYFUNCTION("""COMPUTED_VALUE"""),0.96)</f>
        <v>0.96</v>
      </c>
      <c r="T25" s="17" t="str">
        <f t="shared" si="1"/>
        <v>Freddie Freeman</v>
      </c>
      <c r="W25" s="17">
        <f>IFERROR(__xludf.DUMMYFUNCTION("""COMPUTED_VALUE"""),19.0)</f>
        <v>19</v>
      </c>
      <c r="X25" s="17" t="str">
        <f t="array" ref="X25">iferror(trim(MID(indirect("R4C"&amp;W24-1+column($W$4)+1,False),find("to 2015",indirect("R4C"&amp;W24-1+column($W$4)+1,False))+9,find("Throws",indirect("R4C"&amp;W24-1+column($W$4)+1,False),find("to 2015",indirect("R4C"&amp;W24-1+column($W$4)+1,False)))-find("to 2015",indirect("R4C"&amp;W24-1+column($W$4)+1,False))-13)),iferror(trim(MID(indirect("R4C"&amp;W24-1+column($W$4)+1,False),find("Team.",indirect("R4C"&amp;W24-1+column($W$4)+1,False))+7,find("Throws",indirect("R4C"&amp;W24-1+column($W$4)+1,False),find("Team.",indirect("R4C"&amp;W24-1+column($W$4)+1,False)))-find("Team.",indirect("R4C"&amp;W24-1+column($W$4)+1,False))-11)),trim(MID(indirect("R4C"&amp;W24-1+column($W$4)+1,False),find("nced.",indirect("R4C"&amp;W24-1+column($W$4)+1,False))+7,find("Throws",indirect("R4C"&amp;W24-1+column($W$4)+1,False),find("nced.",indirect("R4C"&amp;W24-1+column($W$4)+1,False)))-find("nced.",indirect("R4C"&amp;W24-1+column($W$4)+1,False))-11))))</f>
        <v>Michael McGreevy</v>
      </c>
      <c r="Y25" s="17" t="str">
        <f>IFERROR(__xludf.DUMMYFUNCTION("""vs. ""&amp;index(split(trim(left(indirect(""R4C""&amp;W25-1+column($W$4)+1,False),find(text(today()+1,""DDDD""),indirect(""R4C""&amp;W25-1+column($W$4)+1,False))-1)),""@""),,1)"),"vs. LAD ")</f>
        <v>vs. LAD </v>
      </c>
    </row>
    <row r="26">
      <c r="A26" s="17">
        <f>IFERROR(__xludf.DUMMYFUNCTION("""COMPUTED_VALUE"""),25.0)</f>
        <v>25</v>
      </c>
      <c r="B26" s="17" t="str">
        <f>IFERROR(__xludf.DUMMYFUNCTION("""COMPUTED_VALUE"""),"Ketel Marte (ARI - 2B,DH)")</f>
        <v>Ketel Marte (ARI - 2B,DH)</v>
      </c>
      <c r="C26" s="17">
        <f>IFERROR(__xludf.DUMMYFUNCTION("""COMPUTED_VALUE"""),455.0)</f>
        <v>455</v>
      </c>
      <c r="D26" s="17">
        <f>IFERROR(__xludf.DUMMYFUNCTION("""COMPUTED_VALUE"""),76.0)</f>
        <v>76</v>
      </c>
      <c r="E26" s="17">
        <f>IFERROR(__xludf.DUMMYFUNCTION("""COMPUTED_VALUE"""),22.0)</f>
        <v>22</v>
      </c>
      <c r="F26" s="17">
        <f>IFERROR(__xludf.DUMMYFUNCTION("""COMPUTED_VALUE"""),71.0)</f>
        <v>71</v>
      </c>
      <c r="G26" s="17">
        <f>IFERROR(__xludf.DUMMYFUNCTION("""COMPUTED_VALUE"""),4.0)</f>
        <v>4</v>
      </c>
      <c r="H26" s="17">
        <f>IFERROR(__xludf.DUMMYFUNCTION("""COMPUTED_VALUE"""),0.272)</f>
        <v>0.272</v>
      </c>
      <c r="I26" s="17">
        <f>IFERROR(__xludf.DUMMYFUNCTION("""COMPUTED_VALUE"""),0.363)</f>
        <v>0.363</v>
      </c>
      <c r="J26" s="17">
        <f>IFERROR(__xludf.DUMMYFUNCTION("""COMPUTED_VALUE"""),124.0)</f>
        <v>124</v>
      </c>
      <c r="K26" s="17">
        <f>IFERROR(__xludf.DUMMYFUNCTION("""COMPUTED_VALUE"""),25.0)</f>
        <v>25</v>
      </c>
      <c r="L26" s="17">
        <f>IFERROR(__xludf.DUMMYFUNCTION("""COMPUTED_VALUE"""),2.0)</f>
        <v>2</v>
      </c>
      <c r="M26" s="17">
        <f>IFERROR(__xludf.DUMMYFUNCTION("""COMPUTED_VALUE"""),58.0)</f>
        <v>58</v>
      </c>
      <c r="N26" s="17">
        <f>IFERROR(__xludf.DUMMYFUNCTION("""COMPUTED_VALUE"""),85.0)</f>
        <v>85</v>
      </c>
      <c r="O26" s="17">
        <f>IFERROR(__xludf.DUMMYFUNCTION("""COMPUTED_VALUE"""),0.482)</f>
        <v>0.482</v>
      </c>
      <c r="P26" s="17">
        <f>IFERROR(__xludf.DUMMYFUNCTION("""COMPUTED_VALUE"""),0.844)</f>
        <v>0.844</v>
      </c>
      <c r="Q26" s="34">
        <f>IFERROR(__xludf.DUMMYFUNCTION("""COMPUTED_VALUE"""),0.99)</f>
        <v>0.99</v>
      </c>
      <c r="R26" s="34">
        <f>IFERROR(__xludf.DUMMYFUNCTION("""COMPUTED_VALUE"""),0.99)</f>
        <v>0.99</v>
      </c>
      <c r="S26" s="34">
        <f>IFERROR(__xludf.DUMMYFUNCTION("""COMPUTED_VALUE"""),1.0)</f>
        <v>1</v>
      </c>
      <c r="T26" s="17" t="str">
        <f t="shared" si="1"/>
        <v>Ketel Marte</v>
      </c>
      <c r="W26" s="17">
        <f>IFERROR(__xludf.DUMMYFUNCTION("""COMPUTED_VALUE"""),21.0)</f>
        <v>21</v>
      </c>
      <c r="X26" s="17" t="str">
        <f>IFERROR(__xludf.DUMMYFUNCTION("if(left(trim(MID(indirect(""R4C""&amp;W26-1+column($W$4)+1,False),find(""Matchup"",indirect(""R4C""&amp;W26-1+column($W$4)+1,False))+9,find(""Throws"",indirect(""R4C""&amp;W26-1+column($W$4)+1,False))-find(""Matchup"",indirect(""R4C""&amp;W26-1+column($W$4)+1,False))-13)"&amp;"),15)=""To be announced"",""TBD ""&amp;index(split(trim(left(indirect(""R4C""&amp;W27-1+column($W$4)+1,False),find(text(today()+1,""DDDD""),indirect(""R4C""&amp;W27-1+column($W$4)+1,False))-1)),""@""),,1),trim(MID(indirect(""R4C""&amp;W26-1+column($W$4)+1,False),find(""M"&amp;"atchup"",indirect(""R4C""&amp;W26-1+column($W$4)+1,False))+9,find(""Throws"",indirect(""R4C""&amp;W26-1+column($W$4)+1,False))-find(""Matchup"",indirect(""R4C""&amp;W26-1+column($W$4)+1,False))-13)))"),"Kumar Rocker")</f>
        <v>Kumar Rocker</v>
      </c>
      <c r="Y26" s="17" t="str">
        <f>IFERROR(__xludf.DUMMYFUNCTION("""@""&amp;index(split(trim(left(indirect(""R4C""&amp;W26-1+column($W$4)+1,False),find(text(today()+1,""DDDD""),indirect(""R4C""&amp;W26-1+column($W$4)+1,False))-1)),""@""),,2)"),"@ DET")</f>
        <v>@ DET</v>
      </c>
    </row>
    <row r="27">
      <c r="A27" s="17">
        <f>IFERROR(__xludf.DUMMYFUNCTION("""COMPUTED_VALUE"""),26.0)</f>
        <v>26</v>
      </c>
      <c r="B27" s="17" t="str">
        <f>IFERROR(__xludf.DUMMYFUNCTION("""COMPUTED_VALUE"""),"Pete Crow-Armstrong (CHC - CF)")</f>
        <v>Pete Crow-Armstrong (CHC - CF)</v>
      </c>
      <c r="C27" s="17">
        <f>IFERROR(__xludf.DUMMYFUNCTION("""COMPUTED_VALUE"""),465.0)</f>
        <v>465</v>
      </c>
      <c r="D27" s="17">
        <f>IFERROR(__xludf.DUMMYFUNCTION("""COMPUTED_VALUE"""),70.0)</f>
        <v>70</v>
      </c>
      <c r="E27" s="17">
        <f>IFERROR(__xludf.DUMMYFUNCTION("""COMPUTED_VALUE"""),19.0)</f>
        <v>19</v>
      </c>
      <c r="F27" s="17">
        <f>IFERROR(__xludf.DUMMYFUNCTION("""COMPUTED_VALUE"""),65.0)</f>
        <v>65</v>
      </c>
      <c r="G27" s="17">
        <f>IFERROR(__xludf.DUMMYFUNCTION("""COMPUTED_VALUE"""),27.0)</f>
        <v>27</v>
      </c>
      <c r="H27" s="17">
        <f>IFERROR(__xludf.DUMMYFUNCTION("""COMPUTED_VALUE"""),0.25)</f>
        <v>0.25</v>
      </c>
      <c r="I27" s="17">
        <f>IFERROR(__xludf.DUMMYFUNCTION("""COMPUTED_VALUE"""),0.301)</f>
        <v>0.301</v>
      </c>
      <c r="J27" s="17">
        <f>IFERROR(__xludf.DUMMYFUNCTION("""COMPUTED_VALUE"""),116.0)</f>
        <v>116</v>
      </c>
      <c r="K27" s="17">
        <f>IFERROR(__xludf.DUMMYFUNCTION("""COMPUTED_VALUE"""),23.0)</f>
        <v>23</v>
      </c>
      <c r="L27" s="17">
        <f>IFERROR(__xludf.DUMMYFUNCTION("""COMPUTED_VALUE"""),4.0)</f>
        <v>4</v>
      </c>
      <c r="M27" s="17">
        <f>IFERROR(__xludf.DUMMYFUNCTION("""COMPUTED_VALUE"""),30.0)</f>
        <v>30</v>
      </c>
      <c r="N27" s="17">
        <f>IFERROR(__xludf.DUMMYFUNCTION("""COMPUTED_VALUE"""),125.0)</f>
        <v>125</v>
      </c>
      <c r="O27" s="17">
        <f>IFERROR(__xludf.DUMMYFUNCTION("""COMPUTED_VALUE"""),0.439)</f>
        <v>0.439</v>
      </c>
      <c r="P27" s="17">
        <f>IFERROR(__xludf.DUMMYFUNCTION("""COMPUTED_VALUE"""),0.74)</f>
        <v>0.74</v>
      </c>
      <c r="Q27" s="34">
        <f>IFERROR(__xludf.DUMMYFUNCTION("""COMPUTED_VALUE"""),0.95)</f>
        <v>0.95</v>
      </c>
      <c r="R27" s="34">
        <f>IFERROR(__xludf.DUMMYFUNCTION("""COMPUTED_VALUE"""),0.98)</f>
        <v>0.98</v>
      </c>
      <c r="S27" s="34">
        <f>IFERROR(__xludf.DUMMYFUNCTION("""COMPUTED_VALUE"""),0.93)</f>
        <v>0.93</v>
      </c>
      <c r="T27" s="17" t="str">
        <f t="shared" si="1"/>
        <v>Pete Crow-Armstrong</v>
      </c>
      <c r="W27" s="17">
        <f>IFERROR(__xludf.DUMMYFUNCTION("""COMPUTED_VALUE"""),21.0)</f>
        <v>21</v>
      </c>
      <c r="X27" s="17" t="str">
        <f t="array" ref="X27">iferror(trim(MID(indirect("R4C"&amp;W26-1+column($W$4)+1,False),find("to 2015",indirect("R4C"&amp;W26-1+column($W$4)+1,False))+9,find("Throws",indirect("R4C"&amp;W26-1+column($W$4)+1,False),find("to 2015",indirect("R4C"&amp;W26-1+column($W$4)+1,False)))-find("to 2015",indirect("R4C"&amp;W26-1+column($W$4)+1,False))-13)),iferror(trim(MID(indirect("R4C"&amp;W26-1+column($W$4)+1,False),find("Team.",indirect("R4C"&amp;W26-1+column($W$4)+1,False))+7,find("Throws",indirect("R4C"&amp;W26-1+column($W$4)+1,False),find("Team.",indirect("R4C"&amp;W26-1+column($W$4)+1,False)))-find("Team.",indirect("R4C"&amp;W26-1+column($W$4)+1,False))-11)),trim(MID(indirect("R4C"&amp;W26-1+column($W$4)+1,False),find("nced.",indirect("R4C"&amp;W26-1+column($W$4)+1,False))+7,find("Throws",indirect("R4C"&amp;W26-1+column($W$4)+1,False),find("nced.",indirect("R4C"&amp;W26-1+column($W$4)+1,False)))-find("nced.",indirect("R4C"&amp;W26-1+column($W$4)+1,False))-11))))</f>
        <v>Keider Montero</v>
      </c>
      <c r="Y27" s="17" t="str">
        <f>IFERROR(__xludf.DUMMYFUNCTION("""vs. ""&amp;index(split(trim(left(indirect(""R4C""&amp;W27-1+column($W$4)+1,False),find(text(today()+1,""DDDD""),indirect(""R4C""&amp;W27-1+column($W$4)+1,False))-1)),""@""),,1)"),"vs. TEX ")</f>
        <v>vs. TEX </v>
      </c>
    </row>
    <row r="28">
      <c r="A28" s="17">
        <f>IFERROR(__xludf.DUMMYFUNCTION("""COMPUTED_VALUE"""),27.0)</f>
        <v>27</v>
      </c>
      <c r="B28" s="17" t="str">
        <f>IFERROR(__xludf.DUMMYFUNCTION("""COMPUTED_VALUE"""),"Zach Neto (LAA - SS)")</f>
        <v>Zach Neto (LAA - SS)</v>
      </c>
      <c r="C28" s="17">
        <f>IFERROR(__xludf.DUMMYFUNCTION("""COMPUTED_VALUE"""),472.0)</f>
        <v>472</v>
      </c>
      <c r="D28" s="17">
        <f>IFERROR(__xludf.DUMMYFUNCTION("""COMPUTED_VALUE"""),74.0)</f>
        <v>74</v>
      </c>
      <c r="E28" s="17">
        <f>IFERROR(__xludf.DUMMYFUNCTION("""COMPUTED_VALUE"""),22.0)</f>
        <v>22</v>
      </c>
      <c r="F28" s="17">
        <f>IFERROR(__xludf.DUMMYFUNCTION("""COMPUTED_VALUE"""),64.0)</f>
        <v>64</v>
      </c>
      <c r="G28" s="17">
        <f>IFERROR(__xludf.DUMMYFUNCTION("""COMPUTED_VALUE"""),22.0)</f>
        <v>22</v>
      </c>
      <c r="H28" s="17">
        <f>IFERROR(__xludf.DUMMYFUNCTION("""COMPUTED_VALUE"""),0.248)</f>
        <v>0.248</v>
      </c>
      <c r="I28" s="17">
        <f>IFERROR(__xludf.DUMMYFUNCTION("""COMPUTED_VALUE"""),0.328)</f>
        <v>0.328</v>
      </c>
      <c r="J28" s="17">
        <f>IFERROR(__xludf.DUMMYFUNCTION("""COMPUTED_VALUE"""),117.0)</f>
        <v>117</v>
      </c>
      <c r="K28" s="17">
        <f>IFERROR(__xludf.DUMMYFUNCTION("""COMPUTED_VALUE"""),26.0)</f>
        <v>26</v>
      </c>
      <c r="L28" s="17">
        <f>IFERROR(__xludf.DUMMYFUNCTION("""COMPUTED_VALUE"""),1.0)</f>
        <v>1</v>
      </c>
      <c r="M28" s="17">
        <f>IFERROR(__xludf.DUMMYFUNCTION("""COMPUTED_VALUE"""),43.0)</f>
        <v>43</v>
      </c>
      <c r="N28" s="17">
        <f>IFERROR(__xludf.DUMMYFUNCTION("""COMPUTED_VALUE"""),133.0)</f>
        <v>133</v>
      </c>
      <c r="O28" s="17">
        <f>IFERROR(__xludf.DUMMYFUNCTION("""COMPUTED_VALUE"""),0.445)</f>
        <v>0.445</v>
      </c>
      <c r="P28" s="17">
        <f>IFERROR(__xludf.DUMMYFUNCTION("""COMPUTED_VALUE"""),0.774)</f>
        <v>0.774</v>
      </c>
      <c r="Q28" s="34">
        <f>IFERROR(__xludf.DUMMYFUNCTION("""COMPUTED_VALUE"""),0.85)</f>
        <v>0.85</v>
      </c>
      <c r="R28" s="34">
        <f>IFERROR(__xludf.DUMMYFUNCTION("""COMPUTED_VALUE"""),0.98)</f>
        <v>0.98</v>
      </c>
      <c r="S28" s="34">
        <f>IFERROR(__xludf.DUMMYFUNCTION("""COMPUTED_VALUE"""),0.72)</f>
        <v>0.72</v>
      </c>
      <c r="T28" s="17" t="str">
        <f t="shared" si="1"/>
        <v>Zach Neto</v>
      </c>
      <c r="W28" s="17">
        <f>IFERROR(__xludf.DUMMYFUNCTION("""COMPUTED_VALUE"""),23.0)</f>
        <v>23</v>
      </c>
      <c r="X28" s="17" t="str">
        <f>IFERROR(__xludf.DUMMYFUNCTION("if(left(trim(MID(indirect(""R4C""&amp;W28-1+column($W$4)+1,False),find(""Matchup"",indirect(""R4C""&amp;W28-1+column($W$4)+1,False))+9,find(""Throws"",indirect(""R4C""&amp;W28-1+column($W$4)+1,False))-find(""Matchup"",indirect(""R4C""&amp;W28-1+column($W$4)+1,False))-13)"&amp;"),15)=""To be announced"",""TBD ""&amp;index(split(trim(left(indirect(""R4C""&amp;W29-1+column($W$4)+1,False),find(text(today()+1,""DDDD""),indirect(""R4C""&amp;W29-1+column($W$4)+1,False))-1)),""@""),,1),trim(MID(indirect(""R4C""&amp;W28-1+column($W$4)+1,False),find(""M"&amp;"atchup"",indirect(""R4C""&amp;W28-1+column($W$4)+1,False))+9,find(""Throws"",indirect(""R4C""&amp;W28-1+column($W$4)+1,False))-find(""Matchup"",indirect(""R4C""&amp;W28-1+column($W$4)+1,False))-13)))"),"Chris Sale")</f>
        <v>Chris Sale</v>
      </c>
      <c r="Y28" s="17" t="str">
        <f>IFERROR(__xludf.DUMMYFUNCTION("""@""&amp;index(split(trim(left(indirect(""R4C""&amp;W28-1+column($W$4)+1,False),find(text(today()+1,""DDDD""),indirect(""R4C""&amp;W28-1+column($W$4)+1,False))-1)),""@""),,2)"),"@ COL")</f>
        <v>@ COL</v>
      </c>
    </row>
    <row r="29">
      <c r="A29" s="17">
        <f>IFERROR(__xludf.DUMMYFUNCTION("""COMPUTED_VALUE"""),28.0)</f>
        <v>28</v>
      </c>
      <c r="B29" s="17" t="str">
        <f>IFERROR(__xludf.DUMMYFUNCTION("""COMPUTED_VALUE"""),"Cal Raleigh (SEA - C,DH)")</f>
        <v>Cal Raleigh (SEA - C,DH)</v>
      </c>
      <c r="C29" s="17">
        <f>IFERROR(__xludf.DUMMYFUNCTION("""COMPUTED_VALUE"""),443.0)</f>
        <v>443</v>
      </c>
      <c r="D29" s="17">
        <f>IFERROR(__xludf.DUMMYFUNCTION("""COMPUTED_VALUE"""),72.0)</f>
        <v>72</v>
      </c>
      <c r="E29" s="17">
        <f>IFERROR(__xludf.DUMMYFUNCTION("""COMPUTED_VALUE"""),32.0)</f>
        <v>32</v>
      </c>
      <c r="F29" s="17">
        <f>IFERROR(__xludf.DUMMYFUNCTION("""COMPUTED_VALUE"""),82.0)</f>
        <v>82</v>
      </c>
      <c r="G29" s="17">
        <f>IFERROR(__xludf.DUMMYFUNCTION("""COMPUTED_VALUE"""),6.0)</f>
        <v>6</v>
      </c>
      <c r="H29" s="17">
        <f>IFERROR(__xludf.DUMMYFUNCTION("""COMPUTED_VALUE"""),0.229)</f>
        <v>0.229</v>
      </c>
      <c r="I29" s="17">
        <f>IFERROR(__xludf.DUMMYFUNCTION("""COMPUTED_VALUE"""),0.338)</f>
        <v>0.338</v>
      </c>
      <c r="J29" s="17">
        <f>IFERROR(__xludf.DUMMYFUNCTION("""COMPUTED_VALUE"""),101.0)</f>
        <v>101</v>
      </c>
      <c r="K29" s="17">
        <f>IFERROR(__xludf.DUMMYFUNCTION("""COMPUTED_VALUE"""),19.0)</f>
        <v>19</v>
      </c>
      <c r="L29" s="17">
        <f>IFERROR(__xludf.DUMMYFUNCTION("""COMPUTED_VALUE"""),0.0)</f>
        <v>0</v>
      </c>
      <c r="M29" s="17">
        <f>IFERROR(__xludf.DUMMYFUNCTION("""COMPUTED_VALUE"""),64.0)</f>
        <v>64</v>
      </c>
      <c r="N29" s="17">
        <f>IFERROR(__xludf.DUMMYFUNCTION("""COMPUTED_VALUE"""),140.0)</f>
        <v>140</v>
      </c>
      <c r="O29" s="17">
        <f>IFERROR(__xludf.DUMMYFUNCTION("""COMPUTED_VALUE"""),0.489)</f>
        <v>0.489</v>
      </c>
      <c r="P29" s="17">
        <f>IFERROR(__xludf.DUMMYFUNCTION("""COMPUTED_VALUE"""),0.827)</f>
        <v>0.827</v>
      </c>
      <c r="Q29" s="34">
        <f>IFERROR(__xludf.DUMMYFUNCTION("""COMPUTED_VALUE"""),0.99)</f>
        <v>0.99</v>
      </c>
      <c r="R29" s="34">
        <f>IFERROR(__xludf.DUMMYFUNCTION("""COMPUTED_VALUE"""),0.99)</f>
        <v>0.99</v>
      </c>
      <c r="S29" s="34">
        <f>IFERROR(__xludf.DUMMYFUNCTION("""COMPUTED_VALUE"""),1.0)</f>
        <v>1</v>
      </c>
      <c r="T29" s="17" t="str">
        <f t="shared" si="1"/>
        <v>Cal Raleigh</v>
      </c>
      <c r="W29" s="17">
        <f>IFERROR(__xludf.DUMMYFUNCTION("""COMPUTED_VALUE"""),23.0)</f>
        <v>23</v>
      </c>
      <c r="X29" s="17" t="str">
        <f t="array" ref="X29">iferror(trim(MID(indirect("R4C"&amp;W28-1+column($W$4)+1,False),find("to 2015",indirect("R4C"&amp;W28-1+column($W$4)+1,False))+9,find("Throws",indirect("R4C"&amp;W28-1+column($W$4)+1,False),find("to 2015",indirect("R4C"&amp;W28-1+column($W$4)+1,False)))-find("to 2015",indirect("R4C"&amp;W28-1+column($W$4)+1,False))-13)),iferror(trim(MID(indirect("R4C"&amp;W28-1+column($W$4)+1,False),find("Team.",indirect("R4C"&amp;W28-1+column($W$4)+1,False))+7,find("Throws",indirect("R4C"&amp;W28-1+column($W$4)+1,False),find("Team.",indirect("R4C"&amp;W28-1+column($W$4)+1,False)))-find("Team.",indirect("R4C"&amp;W28-1+column($W$4)+1,False))-11)),trim(MID(indirect("R4C"&amp;W28-1+column($W$4)+1,False),find("nced.",indirect("R4C"&amp;W28-1+column($W$4)+1,False))+7,find("Throws",indirect("R4C"&amp;W28-1+column($W$4)+1,False),find("nced.",indirect("R4C"&amp;W28-1+column($W$4)+1,False)))-find("nced.",indirect("R4C"&amp;W28-1+column($W$4)+1,False))-11))))</f>
        <v>#VALUE!</v>
      </c>
      <c r="Y29" s="17" t="str">
        <f>IFERROR(__xludf.DUMMYFUNCTION("""vs. ""&amp;index(split(trim(left(indirect(""R4C""&amp;W29-1+column($W$4)+1,False),find(text(today()+1,""DDDD""),indirect(""R4C""&amp;W29-1+column($W$4)+1,False))-1)),""@""),,1)"),"vs. ATL ")</f>
        <v>vs. ATL </v>
      </c>
    </row>
    <row r="30">
      <c r="A30" s="17">
        <f>IFERROR(__xludf.DUMMYFUNCTION("""COMPUTED_VALUE"""),29.0)</f>
        <v>29</v>
      </c>
      <c r="B30" s="17" t="str">
        <f>IFERROR(__xludf.DUMMYFUNCTION("""COMPUTED_VALUE"""),"Matt Olson (ATL - 1B)")</f>
        <v>Matt Olson (ATL - 1B)</v>
      </c>
      <c r="C30" s="17">
        <f>IFERROR(__xludf.DUMMYFUNCTION("""COMPUTED_VALUE"""),475.0)</f>
        <v>475</v>
      </c>
      <c r="D30" s="17">
        <f>IFERROR(__xludf.DUMMYFUNCTION("""COMPUTED_VALUE"""),74.0)</f>
        <v>74</v>
      </c>
      <c r="E30" s="17">
        <f>IFERROR(__xludf.DUMMYFUNCTION("""COMPUTED_VALUE"""),25.0)</f>
        <v>25</v>
      </c>
      <c r="F30" s="17">
        <f>IFERROR(__xludf.DUMMYFUNCTION("""COMPUTED_VALUE"""),79.0)</f>
        <v>79</v>
      </c>
      <c r="G30" s="17">
        <f>IFERROR(__xludf.DUMMYFUNCTION("""COMPUTED_VALUE"""),1.0)</f>
        <v>1</v>
      </c>
      <c r="H30" s="17">
        <f>IFERROR(__xludf.DUMMYFUNCTION("""COMPUTED_VALUE"""),0.253)</f>
        <v>0.253</v>
      </c>
      <c r="I30" s="17">
        <f>IFERROR(__xludf.DUMMYFUNCTION("""COMPUTED_VALUE"""),0.352)</f>
        <v>0.352</v>
      </c>
      <c r="J30" s="17">
        <f>IFERROR(__xludf.DUMMYFUNCTION("""COMPUTED_VALUE"""),120.0)</f>
        <v>120</v>
      </c>
      <c r="K30" s="17">
        <f>IFERROR(__xludf.DUMMYFUNCTION("""COMPUTED_VALUE"""),26.0)</f>
        <v>26</v>
      </c>
      <c r="L30" s="17">
        <f>IFERROR(__xludf.DUMMYFUNCTION("""COMPUTED_VALUE"""),1.0)</f>
        <v>1</v>
      </c>
      <c r="M30" s="17">
        <f>IFERROR(__xludf.DUMMYFUNCTION("""COMPUTED_VALUE"""),68.0)</f>
        <v>68</v>
      </c>
      <c r="N30" s="17">
        <f>IFERROR(__xludf.DUMMYFUNCTION("""COMPUTED_VALUE"""),131.0)</f>
        <v>131</v>
      </c>
      <c r="O30" s="17">
        <f>IFERROR(__xludf.DUMMYFUNCTION("""COMPUTED_VALUE"""),0.472)</f>
        <v>0.472</v>
      </c>
      <c r="P30" s="17">
        <f>IFERROR(__xludf.DUMMYFUNCTION("""COMPUTED_VALUE"""),0.824)</f>
        <v>0.824</v>
      </c>
      <c r="Q30" s="34">
        <f>IFERROR(__xludf.DUMMYFUNCTION("""COMPUTED_VALUE"""),0.99)</f>
        <v>0.99</v>
      </c>
      <c r="R30" s="34">
        <f>IFERROR(__xludf.DUMMYFUNCTION("""COMPUTED_VALUE"""),0.99)</f>
        <v>0.99</v>
      </c>
      <c r="S30" s="34">
        <f>IFERROR(__xludf.DUMMYFUNCTION("""COMPUTED_VALUE"""),0.99)</f>
        <v>0.99</v>
      </c>
      <c r="T30" s="17" t="str">
        <f t="shared" si="1"/>
        <v>Matt Olson</v>
      </c>
      <c r="W30" s="17">
        <f>IFERROR(__xludf.DUMMYFUNCTION("""COMPUTED_VALUE"""),25.0)</f>
        <v>25</v>
      </c>
      <c r="X30" s="17" t="str">
        <f>IFERROR(__xludf.DUMMYFUNCTION("if(left(trim(MID(indirect(""R4C""&amp;W30-1+column($W$4)+1,False),find(""Matchup"",indirect(""R4C""&amp;W30-1+column($W$4)+1,False))+9,find(""Throws"",indirect(""R4C""&amp;W30-1+column($W$4)+1,False))-find(""Matchup"",indirect(""R4C""&amp;W30-1+column($W$4)+1,False))-13)"&amp;"),15)=""To be announced"",""TBD ""&amp;index(split(trim(left(indirect(""R4C""&amp;W31-1+column($W$4)+1,False),find(text(today()+1,""DDDD""),indirect(""R4C""&amp;W31-1+column($W$4)+1,False))-1)),""@""),,1),trim(MID(indirect(""R4C""&amp;W30-1+column($W$4)+1,False),find(""M"&amp;"atchup"",indirect(""R4C""&amp;W30-1+column($W$4)+1,False))+9,find(""Throws"",indirect(""R4C""&amp;W30-1+column($W$4)+1,False))-find(""Matchup"",indirect(""R4C""&amp;W30-1+column($W$4)+1,False))-13)))"),"Sean Burke")</f>
        <v>Sean Burke</v>
      </c>
      <c r="Y30" s="17" t="str">
        <f>IFERROR(__xludf.DUMMYFUNCTION("""@""&amp;index(split(trim(left(indirect(""R4C""&amp;W30-1+column($W$4)+1,False),find(text(today()+1,""DDDD""),indirect(""R4C""&amp;W30-1+column($W$4)+1,False))-1)),""@""),,2)"),"@ SDP")</f>
        <v>@ SDP</v>
      </c>
    </row>
    <row r="31">
      <c r="A31" s="17">
        <f>IFERROR(__xludf.DUMMYFUNCTION("""COMPUTED_VALUE"""),30.0)</f>
        <v>30</v>
      </c>
      <c r="B31" s="17" t="str">
        <f>IFERROR(__xludf.DUMMYFUNCTION("""COMPUTED_VALUE"""),"CJ Abrams (WSH - SS)")</f>
        <v>CJ Abrams (WSH - SS)</v>
      </c>
      <c r="C31" s="17">
        <f>IFERROR(__xludf.DUMMYFUNCTION("""COMPUTED_VALUE"""),462.0)</f>
        <v>462</v>
      </c>
      <c r="D31" s="17">
        <f>IFERROR(__xludf.DUMMYFUNCTION("""COMPUTED_VALUE"""),67.0)</f>
        <v>67</v>
      </c>
      <c r="E31" s="17">
        <f>IFERROR(__xludf.DUMMYFUNCTION("""COMPUTED_VALUE"""),17.0)</f>
        <v>17</v>
      </c>
      <c r="F31" s="17">
        <f>IFERROR(__xludf.DUMMYFUNCTION("""COMPUTED_VALUE"""),62.0)</f>
        <v>62</v>
      </c>
      <c r="G31" s="17">
        <f>IFERROR(__xludf.DUMMYFUNCTION("""COMPUTED_VALUE"""),24.0)</f>
        <v>24</v>
      </c>
      <c r="H31" s="17">
        <f>IFERROR(__xludf.DUMMYFUNCTION("""COMPUTED_VALUE"""),0.255)</f>
        <v>0.255</v>
      </c>
      <c r="I31" s="17">
        <f>IFERROR(__xludf.DUMMYFUNCTION("""COMPUTED_VALUE"""),0.323)</f>
        <v>0.323</v>
      </c>
      <c r="J31" s="17">
        <f>IFERROR(__xludf.DUMMYFUNCTION("""COMPUTED_VALUE"""),118.0)</f>
        <v>118</v>
      </c>
      <c r="K31" s="17">
        <f>IFERROR(__xludf.DUMMYFUNCTION("""COMPUTED_VALUE"""),24.0)</f>
        <v>24</v>
      </c>
      <c r="L31" s="17">
        <f>IFERROR(__xludf.DUMMYFUNCTION("""COMPUTED_VALUE"""),3.0)</f>
        <v>3</v>
      </c>
      <c r="M31" s="17">
        <f>IFERROR(__xludf.DUMMYFUNCTION("""COMPUTED_VALUE"""),35.0)</f>
        <v>35</v>
      </c>
      <c r="N31" s="17">
        <f>IFERROR(__xludf.DUMMYFUNCTION("""COMPUTED_VALUE"""),96.0)</f>
        <v>96</v>
      </c>
      <c r="O31" s="17">
        <f>IFERROR(__xludf.DUMMYFUNCTION("""COMPUTED_VALUE"""),0.432)</f>
        <v>0.432</v>
      </c>
      <c r="P31" s="17">
        <f>IFERROR(__xludf.DUMMYFUNCTION("""COMPUTED_VALUE"""),0.755)</f>
        <v>0.755</v>
      </c>
      <c r="Q31" s="34">
        <f>IFERROR(__xludf.DUMMYFUNCTION("""COMPUTED_VALUE"""),0.95)</f>
        <v>0.95</v>
      </c>
      <c r="R31" s="34">
        <f>IFERROR(__xludf.DUMMYFUNCTION("""COMPUTED_VALUE"""),0.97)</f>
        <v>0.97</v>
      </c>
      <c r="S31" s="34">
        <f>IFERROR(__xludf.DUMMYFUNCTION("""COMPUTED_VALUE"""),0.93)</f>
        <v>0.93</v>
      </c>
      <c r="T31" s="17" t="str">
        <f t="shared" si="1"/>
        <v>CJ Abrams</v>
      </c>
      <c r="W31" s="17">
        <f>IFERROR(__xludf.DUMMYFUNCTION("""COMPUTED_VALUE"""),25.0)</f>
        <v>25</v>
      </c>
      <c r="X31" s="17" t="str">
        <f t="array" ref="X31">iferror(trim(MID(indirect("R4C"&amp;W30-1+column($W$4)+1,False),find("to 2015",indirect("R4C"&amp;W30-1+column($W$4)+1,False))+9,find("Throws",indirect("R4C"&amp;W30-1+column($W$4)+1,False),find("to 2015",indirect("R4C"&amp;W30-1+column($W$4)+1,False)))-find("to 2015",indirect("R4C"&amp;W30-1+column($W$4)+1,False))-13)),iferror(trim(MID(indirect("R4C"&amp;W30-1+column($W$4)+1,False),find("Team.",indirect("R4C"&amp;W30-1+column($W$4)+1,False))+7,find("Throws",indirect("R4C"&amp;W30-1+column($W$4)+1,False),find("Team.",indirect("R4C"&amp;W30-1+column($W$4)+1,False)))-find("Team.",indirect("R4C"&amp;W30-1+column($W$4)+1,False))-11)),trim(MID(indirect("R4C"&amp;W30-1+column($W$4)+1,False),find("nced.",indirect("R4C"&amp;W30-1+column($W$4)+1,False))+7,find("Throws",indirect("R4C"&amp;W30-1+column($W$4)+1,False),find("nced.",indirect("R4C"&amp;W30-1+column($W$4)+1,False)))-find("nced.",indirect("R4C"&amp;W30-1+column($W$4)+1,False))-11))))</f>
        <v>Michael King</v>
      </c>
      <c r="Y31" s="17" t="str">
        <f>IFERROR(__xludf.DUMMYFUNCTION("""vs. ""&amp;index(split(trim(left(indirect(""R4C""&amp;W31-1+column($W$4)+1,False),find(text(today()+1,""DDDD""),indirect(""R4C""&amp;W31-1+column($W$4)+1,False))-1)),""@""),,1)"),"vs. CHW ")</f>
        <v>vs. CHW </v>
      </c>
    </row>
    <row r="32">
      <c r="A32" s="17">
        <f>IFERROR(__xludf.DUMMYFUNCTION("""COMPUTED_VALUE"""),31.0)</f>
        <v>31</v>
      </c>
      <c r="B32" s="17" t="str">
        <f>IFERROR(__xludf.DUMMYFUNCTION("""COMPUTED_VALUE"""),"Oneil Cruz (PIT - CF)")</f>
        <v>Oneil Cruz (PIT - CF)</v>
      </c>
      <c r="C32" s="17">
        <f>IFERROR(__xludf.DUMMYFUNCTION("""COMPUTED_VALUE"""),411.0)</f>
        <v>411</v>
      </c>
      <c r="D32" s="17">
        <f>IFERROR(__xludf.DUMMYFUNCTION("""COMPUTED_VALUE"""),67.0)</f>
        <v>67</v>
      </c>
      <c r="E32" s="17">
        <f>IFERROR(__xludf.DUMMYFUNCTION("""COMPUTED_VALUE"""),21.0)</f>
        <v>21</v>
      </c>
      <c r="F32" s="17">
        <f>IFERROR(__xludf.DUMMYFUNCTION("""COMPUTED_VALUE"""),60.0)</f>
        <v>60</v>
      </c>
      <c r="G32" s="17">
        <f>IFERROR(__xludf.DUMMYFUNCTION("""COMPUTED_VALUE"""),26.0)</f>
        <v>26</v>
      </c>
      <c r="H32" s="17">
        <f>IFERROR(__xludf.DUMMYFUNCTION("""COMPUTED_VALUE"""),0.242)</f>
        <v>0.242</v>
      </c>
      <c r="I32" s="17">
        <f>IFERROR(__xludf.DUMMYFUNCTION("""COMPUTED_VALUE"""),0.331)</f>
        <v>0.331</v>
      </c>
      <c r="J32" s="17">
        <f>IFERROR(__xludf.DUMMYFUNCTION("""COMPUTED_VALUE"""),99.0)</f>
        <v>99</v>
      </c>
      <c r="K32" s="17">
        <f>IFERROR(__xludf.DUMMYFUNCTION("""COMPUTED_VALUE"""),19.0)</f>
        <v>19</v>
      </c>
      <c r="L32" s="17">
        <f>IFERROR(__xludf.DUMMYFUNCTION("""COMPUTED_VALUE"""),2.0)</f>
        <v>2</v>
      </c>
      <c r="M32" s="17">
        <f>IFERROR(__xludf.DUMMYFUNCTION("""COMPUTED_VALUE"""),50.0)</f>
        <v>50</v>
      </c>
      <c r="N32" s="17">
        <f>IFERROR(__xludf.DUMMYFUNCTION("""COMPUTED_VALUE"""),142.0)</f>
        <v>142</v>
      </c>
      <c r="O32" s="17">
        <f>IFERROR(__xludf.DUMMYFUNCTION("""COMPUTED_VALUE"""),0.455)</f>
        <v>0.455</v>
      </c>
      <c r="P32" s="17">
        <f>IFERROR(__xludf.DUMMYFUNCTION("""COMPUTED_VALUE"""),0.786)</f>
        <v>0.786</v>
      </c>
      <c r="Q32" s="34">
        <f>IFERROR(__xludf.DUMMYFUNCTION("""COMPUTED_VALUE"""),0.95)</f>
        <v>0.95</v>
      </c>
      <c r="R32" s="34">
        <f>IFERROR(__xludf.DUMMYFUNCTION("""COMPUTED_VALUE"""),0.98)</f>
        <v>0.98</v>
      </c>
      <c r="S32" s="34">
        <f>IFERROR(__xludf.DUMMYFUNCTION("""COMPUTED_VALUE"""),0.91)</f>
        <v>0.91</v>
      </c>
      <c r="T32" s="17" t="str">
        <f t="shared" si="1"/>
        <v>Oneil Cruz</v>
      </c>
      <c r="W32" s="17">
        <f>IFERROR(__xludf.DUMMYFUNCTION("""COMPUTED_VALUE"""),27.0)</f>
        <v>27</v>
      </c>
      <c r="X32" s="17" t="str">
        <f>IFERROR(__xludf.DUMMYFUNCTION("if(left(trim(MID(indirect(""R4C""&amp;W32-1+column($W$4)+1,False),find(""Matchup"",indirect(""R4C""&amp;W32-1+column($W$4)+1,False))+9,find(""Throws"",indirect(""R4C""&amp;W32-1+column($W$4)+1,False))-find(""Matchup"",indirect(""R4C""&amp;W32-1+column($W$4)+1,False))-13)"&amp;"),15)=""To be announced"",""TBD ""&amp;index(split(trim(left(indirect(""R4C""&amp;W33-1+column($W$4)+1,False),find(text(today()+1,""DDDD""),indirect(""R4C""&amp;W33-1+column($W$4)+1,False))-1)),""@""),,1),trim(MID(indirect(""R4C""&amp;W32-1+column($W$4)+1,False),find(""M"&amp;"atchup"",indirect(""R4C""&amp;W32-1+column($W$4)+1,False))+9,find(""Throws"",indirect(""R4C""&amp;W32-1+column($W$4)+1,False))-find(""Matchup"",indirect(""R4C""&amp;W32-1+column($W$4)+1,False))-13)))"),"Nolan McLean")</f>
        <v>Nolan McLean</v>
      </c>
      <c r="Y32" s="17" t="str">
        <f>IFERROR(__xludf.DUMMYFUNCTION("""@""&amp;index(split(trim(left(indirect(""R4C""&amp;W32-1+column($W$4)+1,False),find(text(today()+1,""DDDD""),indirect(""R4C""&amp;W32-1+column($W$4)+1,False))-1)),""@""),,2)"),"@ LAA")</f>
        <v>@ LAA</v>
      </c>
    </row>
    <row r="33">
      <c r="A33" s="17">
        <f>IFERROR(__xludf.DUMMYFUNCTION("""COMPUTED_VALUE"""),32.0)</f>
        <v>32</v>
      </c>
      <c r="B33" s="17" t="str">
        <f>IFERROR(__xludf.DUMMYFUNCTION("""COMPUTED_VALUE"""),"Jazz Chisholm Jr. (NYY - 2B,3B)")</f>
        <v>Jazz Chisholm Jr. (NYY - 2B,3B)</v>
      </c>
      <c r="C33" s="17">
        <f>IFERROR(__xludf.DUMMYFUNCTION("""COMPUTED_VALUE"""),424.0)</f>
        <v>424</v>
      </c>
      <c r="D33" s="17">
        <f>IFERROR(__xludf.DUMMYFUNCTION("""COMPUTED_VALUE"""),65.0)</f>
        <v>65</v>
      </c>
      <c r="E33" s="17">
        <f>IFERROR(__xludf.DUMMYFUNCTION("""COMPUTED_VALUE"""),22.0)</f>
        <v>22</v>
      </c>
      <c r="F33" s="17">
        <f>IFERROR(__xludf.DUMMYFUNCTION("""COMPUTED_VALUE"""),64.0)</f>
        <v>64</v>
      </c>
      <c r="G33" s="17">
        <f>IFERROR(__xludf.DUMMYFUNCTION("""COMPUTED_VALUE"""),26.0)</f>
        <v>26</v>
      </c>
      <c r="H33" s="17">
        <f>IFERROR(__xludf.DUMMYFUNCTION("""COMPUTED_VALUE"""),0.236)</f>
        <v>0.236</v>
      </c>
      <c r="I33" s="17">
        <f>IFERROR(__xludf.DUMMYFUNCTION("""COMPUTED_VALUE"""),0.32)</f>
        <v>0.32</v>
      </c>
      <c r="J33" s="17">
        <f>IFERROR(__xludf.DUMMYFUNCTION("""COMPUTED_VALUE"""),100.0)</f>
        <v>100</v>
      </c>
      <c r="K33" s="17">
        <f>IFERROR(__xludf.DUMMYFUNCTION("""COMPUTED_VALUE"""),16.0)</f>
        <v>16</v>
      </c>
      <c r="L33" s="17">
        <f>IFERROR(__xludf.DUMMYFUNCTION("""COMPUTED_VALUE"""),2.0)</f>
        <v>2</v>
      </c>
      <c r="M33" s="17">
        <f>IFERROR(__xludf.DUMMYFUNCTION("""COMPUTED_VALUE"""),48.0)</f>
        <v>48</v>
      </c>
      <c r="N33" s="17">
        <f>IFERROR(__xludf.DUMMYFUNCTION("""COMPUTED_VALUE"""),128.0)</f>
        <v>128</v>
      </c>
      <c r="O33" s="17">
        <f>IFERROR(__xludf.DUMMYFUNCTION("""COMPUTED_VALUE"""),0.437)</f>
        <v>0.437</v>
      </c>
      <c r="P33" s="17">
        <f>IFERROR(__xludf.DUMMYFUNCTION("""COMPUTED_VALUE"""),0.757)</f>
        <v>0.757</v>
      </c>
      <c r="Q33" s="34">
        <f>IFERROR(__xludf.DUMMYFUNCTION("""COMPUTED_VALUE"""),0.94)</f>
        <v>0.94</v>
      </c>
      <c r="R33" s="34">
        <f>IFERROR(__xludf.DUMMYFUNCTION("""COMPUTED_VALUE"""),0.99)</f>
        <v>0.99</v>
      </c>
      <c r="S33" s="34">
        <f>IFERROR(__xludf.DUMMYFUNCTION("""COMPUTED_VALUE"""),0.88)</f>
        <v>0.88</v>
      </c>
      <c r="T33" s="17" t="str">
        <f t="shared" si="1"/>
        <v>Jazz Chisholm Jr.</v>
      </c>
      <c r="W33" s="17">
        <f>IFERROR(__xludf.DUMMYFUNCTION("""COMPUTED_VALUE"""),27.0)</f>
        <v>27</v>
      </c>
      <c r="X33" s="17" t="str">
        <f t="array" ref="X33">iferror(trim(MID(indirect("R4C"&amp;W32-1+column($W$4)+1,False),find("to 2015",indirect("R4C"&amp;W32-1+column($W$4)+1,False))+9,find("Throws",indirect("R4C"&amp;W32-1+column($W$4)+1,False),find("to 2015",indirect("R4C"&amp;W32-1+column($W$4)+1,False)))-find("to 2015",indirect("R4C"&amp;W32-1+column($W$4)+1,False))-13)),iferror(trim(MID(indirect("R4C"&amp;W32-1+column($W$4)+1,False),find("Team.",indirect("R4C"&amp;W32-1+column($W$4)+1,False))+7,find("Throws",indirect("R4C"&amp;W32-1+column($W$4)+1,False),find("Team.",indirect("R4C"&amp;W32-1+column($W$4)+1,False)))-find("Team.",indirect("R4C"&amp;W32-1+column($W$4)+1,False))-11)),trim(MID(indirect("R4C"&amp;W32-1+column($W$4)+1,False),find("nced.",indirect("R4C"&amp;W32-1+column($W$4)+1,False))+7,find("Throws",indirect("R4C"&amp;W32-1+column($W$4)+1,False),find("nced.",indirect("R4C"&amp;W32-1+column($W$4)+1,False)))-find("nced.",indirect("R4C"&amp;W32-1+column($W$4)+1,False))-11))))</f>
        <v>Reid Detmers</v>
      </c>
      <c r="Y33" s="17" t="str">
        <f>IFERROR(__xludf.DUMMYFUNCTION("""vs. ""&amp;index(split(trim(left(indirect(""R4C""&amp;W33-1+column($W$4)+1,False),find(text(today()+1,""DDDD""),indirect(""R4C""&amp;W33-1+column($W$4)+1,False))-1)),""@""),,1)"),"vs. NYM ")</f>
        <v>vs. NYM </v>
      </c>
    </row>
    <row r="34">
      <c r="A34" s="17">
        <f>IFERROR(__xludf.DUMMYFUNCTION("""COMPUTED_VALUE"""),33.0)</f>
        <v>33</v>
      </c>
      <c r="B34" s="17" t="str">
        <f>IFERROR(__xludf.DUMMYFUNCTION("""COMPUTED_VALUE"""),"Yandy Diaz (TB - 1B,DH)")</f>
        <v>Yandy Diaz (TB - 1B,DH)</v>
      </c>
      <c r="C34" s="17">
        <f>IFERROR(__xludf.DUMMYFUNCTION("""COMPUTED_VALUE"""),467.0)</f>
        <v>467</v>
      </c>
      <c r="D34" s="17">
        <f>IFERROR(__xludf.DUMMYFUNCTION("""COMPUTED_VALUE"""),66.0)</f>
        <v>66</v>
      </c>
      <c r="E34" s="17">
        <f>IFERROR(__xludf.DUMMYFUNCTION("""COMPUTED_VALUE"""),17.0)</f>
        <v>17</v>
      </c>
      <c r="F34" s="17">
        <f>IFERROR(__xludf.DUMMYFUNCTION("""COMPUTED_VALUE"""),67.0)</f>
        <v>67</v>
      </c>
      <c r="G34" s="17">
        <f>IFERROR(__xludf.DUMMYFUNCTION("""COMPUTED_VALUE"""),2.0)</f>
        <v>2</v>
      </c>
      <c r="H34" s="17">
        <f>IFERROR(__xludf.DUMMYFUNCTION("""COMPUTED_VALUE"""),0.289)</f>
        <v>0.289</v>
      </c>
      <c r="I34" s="17">
        <f>IFERROR(__xludf.DUMMYFUNCTION("""COMPUTED_VALUE"""),0.368)</f>
        <v>0.368</v>
      </c>
      <c r="J34" s="17">
        <f>IFERROR(__xludf.DUMMYFUNCTION("""COMPUTED_VALUE"""),135.0)</f>
        <v>135</v>
      </c>
      <c r="K34" s="17">
        <f>IFERROR(__xludf.DUMMYFUNCTION("""COMPUTED_VALUE"""),23.0)</f>
        <v>23</v>
      </c>
      <c r="L34" s="17">
        <f>IFERROR(__xludf.DUMMYFUNCTION("""COMPUTED_VALUE"""),1.0)</f>
        <v>1</v>
      </c>
      <c r="M34" s="17">
        <f>IFERROR(__xludf.DUMMYFUNCTION("""COMPUTED_VALUE"""),53.0)</f>
        <v>53</v>
      </c>
      <c r="N34" s="17">
        <f>IFERROR(__xludf.DUMMYFUNCTION("""COMPUTED_VALUE"""),78.0)</f>
        <v>78</v>
      </c>
      <c r="O34" s="17">
        <f>IFERROR(__xludf.DUMMYFUNCTION("""COMPUTED_VALUE"""),0.45)</f>
        <v>0.45</v>
      </c>
      <c r="P34" s="17">
        <f>IFERROR(__xludf.DUMMYFUNCTION("""COMPUTED_VALUE"""),0.818)</f>
        <v>0.818</v>
      </c>
      <c r="Q34" s="34">
        <f>IFERROR(__xludf.DUMMYFUNCTION("""COMPUTED_VALUE"""),0.92)</f>
        <v>0.92</v>
      </c>
      <c r="R34" s="34">
        <f>IFERROR(__xludf.DUMMYFUNCTION("""COMPUTED_VALUE"""),0.95)</f>
        <v>0.95</v>
      </c>
      <c r="S34" s="34">
        <f>IFERROR(__xludf.DUMMYFUNCTION("""COMPUTED_VALUE"""),0.89)</f>
        <v>0.89</v>
      </c>
      <c r="T34" s="17" t="str">
        <f t="shared" si="1"/>
        <v>Yandy Diaz</v>
      </c>
      <c r="W34" s="17">
        <f>IFERROR(__xludf.DUMMYFUNCTION("""COMPUTED_VALUE"""),29.0)</f>
        <v>29</v>
      </c>
      <c r="X34" s="17" t="str">
        <f>IFERROR(__xludf.DUMMYFUNCTION("if(left(trim(MID(indirect(""R4C""&amp;W34-1+column($W$4)+1,False),find(""Matchup"",indirect(""R4C""&amp;W34-1+column($W$4)+1,False))+9,find(""Throws"",indirect(""R4C""&amp;W34-1+column($W$4)+1,False))-find(""Matchup"",indirect(""R4C""&amp;W34-1+column($W$4)+1,False))-13)"&amp;"),15)=""To be announced"",""TBD ""&amp;index(split(trim(left(indirect(""R4C""&amp;W35-1+column($W$4)+1,False),find(text(today()+1,""DDDD""),indirect(""R4C""&amp;W35-1+column($W$4)+1,False))-1)),""@""),,1),trim(MID(indirect(""R4C""&amp;W34-1+column($W$4)+1,False),find(""M"&amp;"atchup"",indirect(""R4C""&amp;W34-1+column($W$4)+1,False))+9,find(""Throws"",indirect(""R4C""&amp;W34-1+column($W$4)+1,False))-find(""Matchup"",indirect(""R4C""&amp;W34-1+column($W$4)+1,False))-13)))"),"Seth Lugo")</f>
        <v>Seth Lugo</v>
      </c>
      <c r="Y34" s="17" t="str">
        <f>IFERROR(__xludf.DUMMYFUNCTION("""@""&amp;index(split(trim(left(indirect(""R4C""&amp;W34-1+column($W$4)+1,False),find(text(today()+1,""DDDD""),indirect(""R4C""&amp;W34-1+column($W$4)+1,False))-1)),""@""),,2)"),"@ SEA")</f>
        <v>@ SEA</v>
      </c>
    </row>
    <row r="35">
      <c r="A35" s="17">
        <f>IFERROR(__xludf.DUMMYFUNCTION("""COMPUTED_VALUE"""),34.0)</f>
        <v>34</v>
      </c>
      <c r="B35" s="17" t="str">
        <f>IFERROR(__xludf.DUMMYFUNCTION("""COMPUTED_VALUE"""),"Jackson Chourio (MIL - LF,CF,RF) IL10")</f>
        <v>Jackson Chourio (MIL - LF,CF,RF) IL10</v>
      </c>
      <c r="C35" s="17">
        <f>IFERROR(__xludf.DUMMYFUNCTION("""COMPUTED_VALUE"""),425.0)</f>
        <v>425</v>
      </c>
      <c r="D35" s="17">
        <f>IFERROR(__xludf.DUMMYFUNCTION("""COMPUTED_VALUE"""),64.0)</f>
        <v>64</v>
      </c>
      <c r="E35" s="17">
        <f>IFERROR(__xludf.DUMMYFUNCTION("""COMPUTED_VALUE"""),17.0)</f>
        <v>17</v>
      </c>
      <c r="F35" s="17">
        <f>IFERROR(__xludf.DUMMYFUNCTION("""COMPUTED_VALUE"""),62.0)</f>
        <v>62</v>
      </c>
      <c r="G35" s="17">
        <f>IFERROR(__xludf.DUMMYFUNCTION("""COMPUTED_VALUE"""),17.0)</f>
        <v>17</v>
      </c>
      <c r="H35" s="17">
        <f>IFERROR(__xludf.DUMMYFUNCTION("""COMPUTED_VALUE"""),0.271)</f>
        <v>0.271</v>
      </c>
      <c r="I35" s="17">
        <f>IFERROR(__xludf.DUMMYFUNCTION("""COMPUTED_VALUE"""),0.323)</f>
        <v>0.323</v>
      </c>
      <c r="J35" s="17">
        <f>IFERROR(__xludf.DUMMYFUNCTION("""COMPUTED_VALUE"""),115.0)</f>
        <v>115</v>
      </c>
      <c r="K35" s="17">
        <f>IFERROR(__xludf.DUMMYFUNCTION("""COMPUTED_VALUE"""),25.0)</f>
        <v>25</v>
      </c>
      <c r="L35" s="17">
        <f>IFERROR(__xludf.DUMMYFUNCTION("""COMPUTED_VALUE"""),3.0)</f>
        <v>3</v>
      </c>
      <c r="M35" s="17">
        <f>IFERROR(__xludf.DUMMYFUNCTION("""COMPUTED_VALUE"""),31.0)</f>
        <v>31</v>
      </c>
      <c r="N35" s="17">
        <f>IFERROR(__xludf.DUMMYFUNCTION("""COMPUTED_VALUE"""),93.0)</f>
        <v>93</v>
      </c>
      <c r="O35" s="17">
        <f>IFERROR(__xludf.DUMMYFUNCTION("""COMPUTED_VALUE"""),0.463)</f>
        <v>0.463</v>
      </c>
      <c r="P35" s="17">
        <f>IFERROR(__xludf.DUMMYFUNCTION("""COMPUTED_VALUE"""),0.787)</f>
        <v>0.787</v>
      </c>
      <c r="Q35" s="34">
        <f>IFERROR(__xludf.DUMMYFUNCTION("""COMPUTED_VALUE"""),0.96)</f>
        <v>0.96</v>
      </c>
      <c r="R35" s="34">
        <f>IFERROR(__xludf.DUMMYFUNCTION("""COMPUTED_VALUE"""),0.99)</f>
        <v>0.99</v>
      </c>
      <c r="S35" s="34">
        <f>IFERROR(__xludf.DUMMYFUNCTION("""COMPUTED_VALUE"""),0.93)</f>
        <v>0.93</v>
      </c>
      <c r="T35" s="17" t="str">
        <f t="shared" si="1"/>
        <v>Jackson Chourio</v>
      </c>
      <c r="W35" s="17">
        <f>IFERROR(__xludf.DUMMYFUNCTION("""COMPUTED_VALUE"""),29.0)</f>
        <v>29</v>
      </c>
      <c r="X35" s="17" t="str">
        <f t="array" ref="X35">iferror(trim(MID(indirect("R4C"&amp;W34-1+column($W$4)+1,False),find("to 2015",indirect("R4C"&amp;W34-1+column($W$4)+1,False))+9,find("Throws",indirect("R4C"&amp;W34-1+column($W$4)+1,False),find("to 2015",indirect("R4C"&amp;W34-1+column($W$4)+1,False)))-find("to 2015",indirect("R4C"&amp;W34-1+column($W$4)+1,False))-13)),iferror(trim(MID(indirect("R4C"&amp;W34-1+column($W$4)+1,False),find("Team.",indirect("R4C"&amp;W34-1+column($W$4)+1,False))+7,find("Throws",indirect("R4C"&amp;W34-1+column($W$4)+1,False),find("Team.",indirect("R4C"&amp;W34-1+column($W$4)+1,False)))-find("Team.",indirect("R4C"&amp;W34-1+column($W$4)+1,False))-11)),trim(MID(indirect("R4C"&amp;W34-1+column($W$4)+1,False),find("nced.",indirect("R4C"&amp;W34-1+column($W$4)+1,False))+7,find("Throws",indirect("R4C"&amp;W34-1+column($W$4)+1,False),find("nced.",indirect("R4C"&amp;W34-1+column($W$4)+1,False)))-find("nced.",indirect("R4C"&amp;W34-1+column($W$4)+1,False))-11))))</f>
        <v>Emerson Hancock</v>
      </c>
      <c r="Y35" s="17" t="str">
        <f>IFERROR(__xludf.DUMMYFUNCTION("""vs. ""&amp;index(split(trim(left(indirect(""R4C""&amp;W35-1+column($W$4)+1,False),find(text(today()+1,""DDDD""),indirect(""R4C""&amp;W35-1+column($W$4)+1,False))-1)),""@""),,1)"),"vs. KCR ")</f>
        <v>vs. KCR </v>
      </c>
    </row>
    <row r="36">
      <c r="A36" s="17">
        <f>IFERROR(__xludf.DUMMYFUNCTION("""COMPUTED_VALUE"""),35.0)</f>
        <v>35</v>
      </c>
      <c r="B36" s="17" t="str">
        <f>IFERROR(__xludf.DUMMYFUNCTION("""COMPUTED_VALUE"""),"Riley Greene (DET - LF,CF,RF,DH)")</f>
        <v>Riley Greene (DET - LF,CF,RF,DH)</v>
      </c>
      <c r="C36" s="17">
        <f>IFERROR(__xludf.DUMMYFUNCTION("""COMPUTED_VALUE"""),465.0)</f>
        <v>465</v>
      </c>
      <c r="D36" s="17">
        <f>IFERROR(__xludf.DUMMYFUNCTION("""COMPUTED_VALUE"""),69.0)</f>
        <v>69</v>
      </c>
      <c r="E36" s="17">
        <f>IFERROR(__xludf.DUMMYFUNCTION("""COMPUTED_VALUE"""),22.0)</f>
        <v>22</v>
      </c>
      <c r="F36" s="17">
        <f>IFERROR(__xludf.DUMMYFUNCTION("""COMPUTED_VALUE"""),75.0)</f>
        <v>75</v>
      </c>
      <c r="G36" s="17">
        <f>IFERROR(__xludf.DUMMYFUNCTION("""COMPUTED_VALUE"""),3.0)</f>
        <v>3</v>
      </c>
      <c r="H36" s="17">
        <f>IFERROR(__xludf.DUMMYFUNCTION("""COMPUTED_VALUE"""),0.261)</f>
        <v>0.261</v>
      </c>
      <c r="I36" s="17">
        <f>IFERROR(__xludf.DUMMYFUNCTION("""COMPUTED_VALUE"""),0.338)</f>
        <v>0.338</v>
      </c>
      <c r="J36" s="17">
        <f>IFERROR(__xludf.DUMMYFUNCTION("""COMPUTED_VALUE"""),121.0)</f>
        <v>121</v>
      </c>
      <c r="K36" s="17">
        <f>IFERROR(__xludf.DUMMYFUNCTION("""COMPUTED_VALUE"""),24.0)</f>
        <v>24</v>
      </c>
      <c r="L36" s="17">
        <f>IFERROR(__xludf.DUMMYFUNCTION("""COMPUTED_VALUE"""),2.0)</f>
        <v>2</v>
      </c>
      <c r="M36" s="17">
        <f>IFERROR(__xludf.DUMMYFUNCTION("""COMPUTED_VALUE"""),51.0)</f>
        <v>51</v>
      </c>
      <c r="N36" s="17">
        <f>IFERROR(__xludf.DUMMYFUNCTION("""COMPUTED_VALUE"""),142.0)</f>
        <v>142</v>
      </c>
      <c r="O36" s="17">
        <f>IFERROR(__xludf.DUMMYFUNCTION("""COMPUTED_VALUE"""),0.466)</f>
        <v>0.466</v>
      </c>
      <c r="P36" s="17">
        <f>IFERROR(__xludf.DUMMYFUNCTION("""COMPUTED_VALUE"""),0.804)</f>
        <v>0.804</v>
      </c>
      <c r="Q36" s="34">
        <f>IFERROR(__xludf.DUMMYFUNCTION("""COMPUTED_VALUE"""),0.93)</f>
        <v>0.93</v>
      </c>
      <c r="R36" s="34">
        <f>IFERROR(__xludf.DUMMYFUNCTION("""COMPUTED_VALUE"""),0.98)</f>
        <v>0.98</v>
      </c>
      <c r="S36" s="34">
        <f>IFERROR(__xludf.DUMMYFUNCTION("""COMPUTED_VALUE"""),0.87)</f>
        <v>0.87</v>
      </c>
      <c r="T36" s="17" t="str">
        <f t="shared" si="1"/>
        <v>Riley Greene</v>
      </c>
    </row>
    <row r="37">
      <c r="A37" s="17">
        <f>IFERROR(__xludf.DUMMYFUNCTION("""COMPUTED_VALUE"""),36.0)</f>
        <v>36</v>
      </c>
      <c r="B37" s="17" t="str">
        <f>IFERROR(__xludf.DUMMYFUNCTION("""COMPUTED_VALUE"""),"Brice Turang (MIL - 2B)")</f>
        <v>Brice Turang (MIL - 2B)</v>
      </c>
      <c r="C37" s="17">
        <f>IFERROR(__xludf.DUMMYFUNCTION("""COMPUTED_VALUE"""),474.0)</f>
        <v>474</v>
      </c>
      <c r="D37" s="17">
        <f>IFERROR(__xludf.DUMMYFUNCTION("""COMPUTED_VALUE"""),70.0)</f>
        <v>70</v>
      </c>
      <c r="E37" s="17">
        <f>IFERROR(__xludf.DUMMYFUNCTION("""COMPUTED_VALUE"""),13.0)</f>
        <v>13</v>
      </c>
      <c r="F37" s="17">
        <f>IFERROR(__xludf.DUMMYFUNCTION("""COMPUTED_VALUE"""),58.0)</f>
        <v>58</v>
      </c>
      <c r="G37" s="17">
        <f>IFERROR(__xludf.DUMMYFUNCTION("""COMPUTED_VALUE"""),25.0)</f>
        <v>25</v>
      </c>
      <c r="H37" s="17">
        <f>IFERROR(__xludf.DUMMYFUNCTION("""COMPUTED_VALUE"""),0.259)</f>
        <v>0.259</v>
      </c>
      <c r="I37" s="17">
        <f>IFERROR(__xludf.DUMMYFUNCTION("""COMPUTED_VALUE"""),0.336)</f>
        <v>0.336</v>
      </c>
      <c r="J37" s="17">
        <f>IFERROR(__xludf.DUMMYFUNCTION("""COMPUTED_VALUE"""),123.0)</f>
        <v>123</v>
      </c>
      <c r="K37" s="17">
        <f>IFERROR(__xludf.DUMMYFUNCTION("""COMPUTED_VALUE"""),22.0)</f>
        <v>22</v>
      </c>
      <c r="L37" s="17">
        <f>IFERROR(__xludf.DUMMYFUNCTION("""COMPUTED_VALUE"""),3.0)</f>
        <v>3</v>
      </c>
      <c r="M37" s="17">
        <f>IFERROR(__xludf.DUMMYFUNCTION("""COMPUTED_VALUE"""),55.0)</f>
        <v>55</v>
      </c>
      <c r="N37" s="17">
        <f>IFERROR(__xludf.DUMMYFUNCTION("""COMPUTED_VALUE"""),112.0)</f>
        <v>112</v>
      </c>
      <c r="O37" s="17">
        <f>IFERROR(__xludf.DUMMYFUNCTION("""COMPUTED_VALUE"""),0.397)</f>
        <v>0.397</v>
      </c>
      <c r="P37" s="17">
        <f>IFERROR(__xludf.DUMMYFUNCTION("""COMPUTED_VALUE"""),0.733)</f>
        <v>0.733</v>
      </c>
      <c r="Q37" s="34">
        <f>IFERROR(__xludf.DUMMYFUNCTION("""COMPUTED_VALUE"""),0.98)</f>
        <v>0.98</v>
      </c>
      <c r="R37" s="34">
        <f>IFERROR(__xludf.DUMMYFUNCTION("""COMPUTED_VALUE"""),0.99)</f>
        <v>0.99</v>
      </c>
      <c r="S37" s="34">
        <f>IFERROR(__xludf.DUMMYFUNCTION("""COMPUTED_VALUE"""),0.98)</f>
        <v>0.98</v>
      </c>
      <c r="T37" s="17" t="str">
        <f t="shared" si="1"/>
        <v>Brice Turang</v>
      </c>
    </row>
    <row r="38">
      <c r="A38" s="17">
        <f>IFERROR(__xludf.DUMMYFUNCTION("""COMPUTED_VALUE"""),37.0)</f>
        <v>37</v>
      </c>
      <c r="B38" s="17" t="str">
        <f>IFERROR(__xludf.DUMMYFUNCTION("""COMPUTED_VALUE"""),"Jackson Merrill (SD - CF)")</f>
        <v>Jackson Merrill (SD - CF)</v>
      </c>
      <c r="C38" s="17">
        <f>IFERROR(__xludf.DUMMYFUNCTION("""COMPUTED_VALUE"""),483.0)</f>
        <v>483</v>
      </c>
      <c r="D38" s="17">
        <f>IFERROR(__xludf.DUMMYFUNCTION("""COMPUTED_VALUE"""),67.0)</f>
        <v>67</v>
      </c>
      <c r="E38" s="17">
        <f>IFERROR(__xludf.DUMMYFUNCTION("""COMPUTED_VALUE"""),19.0)</f>
        <v>19</v>
      </c>
      <c r="F38" s="17">
        <f>IFERROR(__xludf.DUMMYFUNCTION("""COMPUTED_VALUE"""),71.0)</f>
        <v>71</v>
      </c>
      <c r="G38" s="17">
        <f>IFERROR(__xludf.DUMMYFUNCTION("""COMPUTED_VALUE"""),8.0)</f>
        <v>8</v>
      </c>
      <c r="H38" s="17">
        <f>IFERROR(__xludf.DUMMYFUNCTION("""COMPUTED_VALUE"""),0.265)</f>
        <v>0.265</v>
      </c>
      <c r="I38" s="17">
        <f>IFERROR(__xludf.DUMMYFUNCTION("""COMPUTED_VALUE"""),0.32)</f>
        <v>0.32</v>
      </c>
      <c r="J38" s="17">
        <f>IFERROR(__xludf.DUMMYFUNCTION("""COMPUTED_VALUE"""),128.0)</f>
        <v>128</v>
      </c>
      <c r="K38" s="17">
        <f>IFERROR(__xludf.DUMMYFUNCTION("""COMPUTED_VALUE"""),26.0)</f>
        <v>26</v>
      </c>
      <c r="L38" s="17">
        <f>IFERROR(__xludf.DUMMYFUNCTION("""COMPUTED_VALUE"""),4.0)</f>
        <v>4</v>
      </c>
      <c r="M38" s="17">
        <f>IFERROR(__xludf.DUMMYFUNCTION("""COMPUTED_VALUE"""),37.0)</f>
        <v>37</v>
      </c>
      <c r="N38" s="17">
        <f>IFERROR(__xludf.DUMMYFUNCTION("""COMPUTED_VALUE"""),107.0)</f>
        <v>107</v>
      </c>
      <c r="O38" s="17">
        <f>IFERROR(__xludf.DUMMYFUNCTION("""COMPUTED_VALUE"""),0.453)</f>
        <v>0.453</v>
      </c>
      <c r="P38" s="17">
        <f>IFERROR(__xludf.DUMMYFUNCTION("""COMPUTED_VALUE"""),0.773)</f>
        <v>0.773</v>
      </c>
      <c r="Q38" s="34">
        <f>IFERROR(__xludf.DUMMYFUNCTION("""COMPUTED_VALUE"""),0.94)</f>
        <v>0.94</v>
      </c>
      <c r="R38" s="34">
        <f>IFERROR(__xludf.DUMMYFUNCTION("""COMPUTED_VALUE"""),0.97)</f>
        <v>0.97</v>
      </c>
      <c r="S38" s="34">
        <f>IFERROR(__xludf.DUMMYFUNCTION("""COMPUTED_VALUE"""),0.92)</f>
        <v>0.92</v>
      </c>
      <c r="T38" s="17" t="str">
        <f t="shared" si="1"/>
        <v>Jackson Merrill</v>
      </c>
    </row>
    <row r="39">
      <c r="A39" s="17">
        <f>IFERROR(__xludf.DUMMYFUNCTION("""COMPUTED_VALUE"""),38.0)</f>
        <v>38</v>
      </c>
      <c r="B39" s="17" t="str">
        <f>IFERROR(__xludf.DUMMYFUNCTION("""COMPUTED_VALUE"""),"Manny Machado (SD - 3B)")</f>
        <v>Manny Machado (SD - 3B)</v>
      </c>
      <c r="C39" s="17">
        <f>IFERROR(__xludf.DUMMYFUNCTION("""COMPUTED_VALUE"""),468.0)</f>
        <v>468</v>
      </c>
      <c r="D39" s="17">
        <f>IFERROR(__xludf.DUMMYFUNCTION("""COMPUTED_VALUE"""),66.0)</f>
        <v>66</v>
      </c>
      <c r="E39" s="17">
        <f>IFERROR(__xludf.DUMMYFUNCTION("""COMPUTED_VALUE"""),21.0)</f>
        <v>21</v>
      </c>
      <c r="F39" s="17">
        <f>IFERROR(__xludf.DUMMYFUNCTION("""COMPUTED_VALUE"""),73.0)</f>
        <v>73</v>
      </c>
      <c r="G39" s="17">
        <f>IFERROR(__xludf.DUMMYFUNCTION("""COMPUTED_VALUE"""),7.0)</f>
        <v>7</v>
      </c>
      <c r="H39" s="17">
        <f>IFERROR(__xludf.DUMMYFUNCTION("""COMPUTED_VALUE"""),0.26)</f>
        <v>0.26</v>
      </c>
      <c r="I39" s="17">
        <f>IFERROR(__xludf.DUMMYFUNCTION("""COMPUTED_VALUE"""),0.332)</f>
        <v>0.332</v>
      </c>
      <c r="J39" s="17">
        <f>IFERROR(__xludf.DUMMYFUNCTION("""COMPUTED_VALUE"""),122.0)</f>
        <v>122</v>
      </c>
      <c r="K39" s="17">
        <f>IFERROR(__xludf.DUMMYFUNCTION("""COMPUTED_VALUE"""),22.0)</f>
        <v>22</v>
      </c>
      <c r="L39" s="17">
        <f>IFERROR(__xludf.DUMMYFUNCTION("""COMPUTED_VALUE"""),0.0)</f>
        <v>0</v>
      </c>
      <c r="M39" s="17">
        <f>IFERROR(__xludf.DUMMYFUNCTION("""COMPUTED_VALUE"""),47.0)</f>
        <v>47</v>
      </c>
      <c r="N39" s="17">
        <f>IFERROR(__xludf.DUMMYFUNCTION("""COMPUTED_VALUE"""),102.0)</f>
        <v>102</v>
      </c>
      <c r="O39" s="17">
        <f>IFERROR(__xludf.DUMMYFUNCTION("""COMPUTED_VALUE"""),0.445)</f>
        <v>0.445</v>
      </c>
      <c r="P39" s="17">
        <f>IFERROR(__xludf.DUMMYFUNCTION("""COMPUTED_VALUE"""),0.777)</f>
        <v>0.777</v>
      </c>
      <c r="Q39" s="34">
        <f>IFERROR(__xludf.DUMMYFUNCTION("""COMPUTED_VALUE"""),0.99)</f>
        <v>0.99</v>
      </c>
      <c r="R39" s="34">
        <f>IFERROR(__xludf.DUMMYFUNCTION("""COMPUTED_VALUE"""),0.98)</f>
        <v>0.98</v>
      </c>
      <c r="S39" s="34">
        <f>IFERROR(__xludf.DUMMYFUNCTION("""COMPUTED_VALUE"""),0.99)</f>
        <v>0.99</v>
      </c>
      <c r="T39" s="17" t="str">
        <f t="shared" si="1"/>
        <v>Manny Machado</v>
      </c>
    </row>
    <row r="40">
      <c r="A40" s="17">
        <f>IFERROR(__xludf.DUMMYFUNCTION("""COMPUTED_VALUE"""),39.0)</f>
        <v>39</v>
      </c>
      <c r="B40" s="17" t="str">
        <f>IFERROR(__xludf.DUMMYFUNCTION("""COMPUTED_VALUE"""),"Maikel Garcia (KC - 2B,3B,SS,OF)")</f>
        <v>Maikel Garcia (KC - 2B,3B,SS,OF)</v>
      </c>
      <c r="C40" s="17">
        <f>IFERROR(__xludf.DUMMYFUNCTION("""COMPUTED_VALUE"""),485.0)</f>
        <v>485</v>
      </c>
      <c r="D40" s="17">
        <f>IFERROR(__xludf.DUMMYFUNCTION("""COMPUTED_VALUE"""),72.0)</f>
        <v>72</v>
      </c>
      <c r="E40" s="17">
        <f>IFERROR(__xludf.DUMMYFUNCTION("""COMPUTED_VALUE"""),11.0)</f>
        <v>11</v>
      </c>
      <c r="F40" s="17">
        <f>IFERROR(__xludf.DUMMYFUNCTION("""COMPUTED_VALUE"""),55.0)</f>
        <v>55</v>
      </c>
      <c r="G40" s="17">
        <f>IFERROR(__xludf.DUMMYFUNCTION("""COMPUTED_VALUE"""),21.0)</f>
        <v>21</v>
      </c>
      <c r="H40" s="17">
        <f>IFERROR(__xludf.DUMMYFUNCTION("""COMPUTED_VALUE"""),0.27)</f>
        <v>0.27</v>
      </c>
      <c r="I40" s="17">
        <f>IFERROR(__xludf.DUMMYFUNCTION("""COMPUTED_VALUE"""),0.334)</f>
        <v>0.334</v>
      </c>
      <c r="J40" s="17">
        <f>IFERROR(__xludf.DUMMYFUNCTION("""COMPUTED_VALUE"""),131.0)</f>
        <v>131</v>
      </c>
      <c r="K40" s="17">
        <f>IFERROR(__xludf.DUMMYFUNCTION("""COMPUTED_VALUE"""),27.0)</f>
        <v>27</v>
      </c>
      <c r="L40" s="17">
        <f>IFERROR(__xludf.DUMMYFUNCTION("""COMPUTED_VALUE"""),3.0)</f>
        <v>3</v>
      </c>
      <c r="M40" s="17">
        <f>IFERROR(__xludf.DUMMYFUNCTION("""COMPUTED_VALUE"""),48.0)</f>
        <v>48</v>
      </c>
      <c r="N40" s="17">
        <f>IFERROR(__xludf.DUMMYFUNCTION("""COMPUTED_VALUE"""),81.0)</f>
        <v>81</v>
      </c>
      <c r="O40" s="17">
        <f>IFERROR(__xludf.DUMMYFUNCTION("""COMPUTED_VALUE"""),0.405)</f>
        <v>0.405</v>
      </c>
      <c r="P40" s="17">
        <f>IFERROR(__xludf.DUMMYFUNCTION("""COMPUTED_VALUE"""),0.739)</f>
        <v>0.739</v>
      </c>
      <c r="Q40" s="34">
        <f>IFERROR(__xludf.DUMMYFUNCTION("""COMPUTED_VALUE"""),0.92)</f>
        <v>0.92</v>
      </c>
      <c r="R40" s="34">
        <f>IFERROR(__xludf.DUMMYFUNCTION("""COMPUTED_VALUE"""),0.97)</f>
        <v>0.97</v>
      </c>
      <c r="S40" s="34">
        <f>IFERROR(__xludf.DUMMYFUNCTION("""COMPUTED_VALUE"""),0.87)</f>
        <v>0.87</v>
      </c>
      <c r="T40" s="17" t="str">
        <f t="shared" si="1"/>
        <v>Maikel Garcia</v>
      </c>
    </row>
    <row r="41">
      <c r="A41" s="17">
        <f>IFERROR(__xludf.DUMMYFUNCTION("""COMPUTED_VALUE"""),40.0)</f>
        <v>40</v>
      </c>
      <c r="B41" s="17" t="str">
        <f>IFERROR(__xludf.DUMMYFUNCTION("""COMPUTED_VALUE"""),"Byron Buxton (MIN - CF)")</f>
        <v>Byron Buxton (MIN - CF)</v>
      </c>
      <c r="C41" s="17">
        <f>IFERROR(__xludf.DUMMYFUNCTION("""COMPUTED_VALUE"""),409.0)</f>
        <v>409</v>
      </c>
      <c r="D41" s="17">
        <f>IFERROR(__xludf.DUMMYFUNCTION("""COMPUTED_VALUE"""),69.0)</f>
        <v>69</v>
      </c>
      <c r="E41" s="17">
        <f>IFERROR(__xludf.DUMMYFUNCTION("""COMPUTED_VALUE"""),24.0)</f>
        <v>24</v>
      </c>
      <c r="F41" s="17">
        <f>IFERROR(__xludf.DUMMYFUNCTION("""COMPUTED_VALUE"""),63.0)</f>
        <v>63</v>
      </c>
      <c r="G41" s="17">
        <f>IFERROR(__xludf.DUMMYFUNCTION("""COMPUTED_VALUE"""),12.0)</f>
        <v>12</v>
      </c>
      <c r="H41" s="17">
        <f>IFERROR(__xludf.DUMMYFUNCTION("""COMPUTED_VALUE"""),0.249)</f>
        <v>0.249</v>
      </c>
      <c r="I41" s="17">
        <f>IFERROR(__xludf.DUMMYFUNCTION("""COMPUTED_VALUE"""),0.322)</f>
        <v>0.322</v>
      </c>
      <c r="J41" s="17">
        <f>IFERROR(__xludf.DUMMYFUNCTION("""COMPUTED_VALUE"""),102.0)</f>
        <v>102</v>
      </c>
      <c r="K41" s="17">
        <f>IFERROR(__xludf.DUMMYFUNCTION("""COMPUTED_VALUE"""),21.0)</f>
        <v>21</v>
      </c>
      <c r="L41" s="17">
        <f>IFERROR(__xludf.DUMMYFUNCTION("""COMPUTED_VALUE"""),3.0)</f>
        <v>3</v>
      </c>
      <c r="M41" s="17">
        <f>IFERROR(__xludf.DUMMYFUNCTION("""COMPUTED_VALUE"""),37.0)</f>
        <v>37</v>
      </c>
      <c r="N41" s="17">
        <f>IFERROR(__xludf.DUMMYFUNCTION("""COMPUTED_VALUE"""),125.0)</f>
        <v>125</v>
      </c>
      <c r="O41" s="17">
        <f>IFERROR(__xludf.DUMMYFUNCTION("""COMPUTED_VALUE"""),0.493)</f>
        <v>0.493</v>
      </c>
      <c r="P41" s="17">
        <f>IFERROR(__xludf.DUMMYFUNCTION("""COMPUTED_VALUE"""),0.815)</f>
        <v>0.815</v>
      </c>
      <c r="Q41" s="34">
        <f>IFERROR(__xludf.DUMMYFUNCTION("""COMPUTED_VALUE"""),0.85)</f>
        <v>0.85</v>
      </c>
      <c r="R41" s="34">
        <f>IFERROR(__xludf.DUMMYFUNCTION("""COMPUTED_VALUE"""),0.94)</f>
        <v>0.94</v>
      </c>
      <c r="S41" s="34">
        <f>IFERROR(__xludf.DUMMYFUNCTION("""COMPUTED_VALUE"""),0.75)</f>
        <v>0.75</v>
      </c>
      <c r="T41" s="17" t="str">
        <f t="shared" si="1"/>
        <v>Byron Buxton</v>
      </c>
    </row>
    <row r="42">
      <c r="A42" s="17">
        <f>IFERROR(__xludf.DUMMYFUNCTION("""COMPUTED_VALUE"""),41.0)</f>
        <v>41</v>
      </c>
      <c r="B42" s="17" t="str">
        <f>IFERROR(__xludf.DUMMYFUNCTION("""COMPUTED_VALUE"""),"Michael Harris II (ATL - CF)")</f>
        <v>Michael Harris II (ATL - CF)</v>
      </c>
      <c r="C42" s="17">
        <f>IFERROR(__xludf.DUMMYFUNCTION("""COMPUTED_VALUE"""),439.0)</f>
        <v>439</v>
      </c>
      <c r="D42" s="17">
        <f>IFERROR(__xludf.DUMMYFUNCTION("""COMPUTED_VALUE"""),59.0)</f>
        <v>59</v>
      </c>
      <c r="E42" s="17">
        <f>IFERROR(__xludf.DUMMYFUNCTION("""COMPUTED_VALUE"""),17.0)</f>
        <v>17</v>
      </c>
      <c r="F42" s="17">
        <f>IFERROR(__xludf.DUMMYFUNCTION("""COMPUTED_VALUE"""),63.0)</f>
        <v>63</v>
      </c>
      <c r="G42" s="17">
        <f>IFERROR(__xludf.DUMMYFUNCTION("""COMPUTED_VALUE"""),15.0)</f>
        <v>15</v>
      </c>
      <c r="H42" s="17">
        <f>IFERROR(__xludf.DUMMYFUNCTION("""COMPUTED_VALUE"""),0.275)</f>
        <v>0.275</v>
      </c>
      <c r="I42" s="17">
        <f>IFERROR(__xludf.DUMMYFUNCTION("""COMPUTED_VALUE"""),0.314)</f>
        <v>0.314</v>
      </c>
      <c r="J42" s="17">
        <f>IFERROR(__xludf.DUMMYFUNCTION("""COMPUTED_VALUE"""),121.0)</f>
        <v>121</v>
      </c>
      <c r="K42" s="17">
        <f>IFERROR(__xludf.DUMMYFUNCTION("""COMPUTED_VALUE"""),22.0)</f>
        <v>22</v>
      </c>
      <c r="L42" s="17">
        <f>IFERROR(__xludf.DUMMYFUNCTION("""COMPUTED_VALUE"""),3.0)</f>
        <v>3</v>
      </c>
      <c r="M42" s="17">
        <f>IFERROR(__xludf.DUMMYFUNCTION("""COMPUTED_VALUE"""),22.0)</f>
        <v>22</v>
      </c>
      <c r="N42" s="17">
        <f>IFERROR(__xludf.DUMMYFUNCTION("""COMPUTED_VALUE"""),89.0)</f>
        <v>89</v>
      </c>
      <c r="O42" s="17">
        <f>IFERROR(__xludf.DUMMYFUNCTION("""COMPUTED_VALUE"""),0.457)</f>
        <v>0.457</v>
      </c>
      <c r="P42" s="17">
        <f>IFERROR(__xludf.DUMMYFUNCTION("""COMPUTED_VALUE"""),0.771)</f>
        <v>0.771</v>
      </c>
      <c r="Q42" s="34">
        <f>IFERROR(__xludf.DUMMYFUNCTION("""COMPUTED_VALUE"""),0.87)</f>
        <v>0.87</v>
      </c>
      <c r="R42" s="34">
        <f>IFERROR(__xludf.DUMMYFUNCTION("""COMPUTED_VALUE"""),0.94)</f>
        <v>0.94</v>
      </c>
      <c r="S42" s="34">
        <f>IFERROR(__xludf.DUMMYFUNCTION("""COMPUTED_VALUE"""),0.81)</f>
        <v>0.81</v>
      </c>
      <c r="T42" s="17" t="str">
        <f t="shared" si="1"/>
        <v>Michael Harris II</v>
      </c>
    </row>
    <row r="43">
      <c r="A43" s="17">
        <f>IFERROR(__xludf.DUMMYFUNCTION("""COMPUTED_VALUE"""),42.0)</f>
        <v>42</v>
      </c>
      <c r="B43" s="17" t="str">
        <f>IFERROR(__xludf.DUMMYFUNCTION("""COMPUTED_VALUE"""),"Bo Bichette (NYM - 3B,SS)")</f>
        <v>Bo Bichette (NYM - 3B,SS)</v>
      </c>
      <c r="C43" s="17">
        <f>IFERROR(__xludf.DUMMYFUNCTION("""COMPUTED_VALUE"""),498.0)</f>
        <v>498</v>
      </c>
      <c r="D43" s="17">
        <f>IFERROR(__xludf.DUMMYFUNCTION("""COMPUTED_VALUE"""),67.0)</f>
        <v>67</v>
      </c>
      <c r="E43" s="17">
        <f>IFERROR(__xludf.DUMMYFUNCTION("""COMPUTED_VALUE"""),15.0)</f>
        <v>15</v>
      </c>
      <c r="F43" s="17">
        <f>IFERROR(__xludf.DUMMYFUNCTION("""COMPUTED_VALUE"""),65.0)</f>
        <v>65</v>
      </c>
      <c r="G43" s="17">
        <f>IFERROR(__xludf.DUMMYFUNCTION("""COMPUTED_VALUE"""),5.0)</f>
        <v>5</v>
      </c>
      <c r="H43" s="17">
        <f>IFERROR(__xludf.DUMMYFUNCTION("""COMPUTED_VALUE"""),0.283)</f>
        <v>0.283</v>
      </c>
      <c r="I43" s="17">
        <f>IFERROR(__xludf.DUMMYFUNCTION("""COMPUTED_VALUE"""),0.333)</f>
        <v>0.333</v>
      </c>
      <c r="J43" s="17">
        <f>IFERROR(__xludf.DUMMYFUNCTION("""COMPUTED_VALUE"""),141.0)</f>
        <v>141</v>
      </c>
      <c r="K43" s="17">
        <f>IFERROR(__xludf.DUMMYFUNCTION("""COMPUTED_VALUE"""),27.0)</f>
        <v>27</v>
      </c>
      <c r="L43" s="17">
        <f>IFERROR(__xludf.DUMMYFUNCTION("""COMPUTED_VALUE"""),1.0)</f>
        <v>1</v>
      </c>
      <c r="M43" s="17">
        <f>IFERROR(__xludf.DUMMYFUNCTION("""COMPUTED_VALUE"""),35.0)</f>
        <v>35</v>
      </c>
      <c r="N43" s="17">
        <f>IFERROR(__xludf.DUMMYFUNCTION("""COMPUTED_VALUE"""),91.0)</f>
        <v>91</v>
      </c>
      <c r="O43" s="17">
        <f>IFERROR(__xludf.DUMMYFUNCTION("""COMPUTED_VALUE"""),0.432)</f>
        <v>0.432</v>
      </c>
      <c r="P43" s="17">
        <f>IFERROR(__xludf.DUMMYFUNCTION("""COMPUTED_VALUE"""),0.765)</f>
        <v>0.765</v>
      </c>
      <c r="Q43" s="34">
        <f>IFERROR(__xludf.DUMMYFUNCTION("""COMPUTED_VALUE"""),0.86)</f>
        <v>0.86</v>
      </c>
      <c r="R43" s="34">
        <f>IFERROR(__xludf.DUMMYFUNCTION("""COMPUTED_VALUE"""),0.95)</f>
        <v>0.95</v>
      </c>
      <c r="S43" s="34">
        <f>IFERROR(__xludf.DUMMYFUNCTION("""COMPUTED_VALUE"""),0.77)</f>
        <v>0.77</v>
      </c>
      <c r="T43" s="17" t="str">
        <f t="shared" si="1"/>
        <v>Bo Bichette</v>
      </c>
    </row>
    <row r="44">
      <c r="A44" s="17">
        <f>IFERROR(__xludf.DUMMYFUNCTION("""COMPUTED_VALUE"""),43.0)</f>
        <v>43</v>
      </c>
      <c r="B44" s="17" t="str">
        <f>IFERROR(__xludf.DUMMYFUNCTION("""COMPUTED_VALUE"""),"Shea Langeliers (ATH - C,DH)")</f>
        <v>Shea Langeliers (ATH - C,DH)</v>
      </c>
      <c r="C44" s="17">
        <f>IFERROR(__xludf.DUMMYFUNCTION("""COMPUTED_VALUE"""),408.0)</f>
        <v>408</v>
      </c>
      <c r="D44" s="17">
        <f>IFERROR(__xludf.DUMMYFUNCTION("""COMPUTED_VALUE"""),63.0)</f>
        <v>63</v>
      </c>
      <c r="E44" s="17">
        <f>IFERROR(__xludf.DUMMYFUNCTION("""COMPUTED_VALUE"""),26.0)</f>
        <v>26</v>
      </c>
      <c r="F44" s="17">
        <f>IFERROR(__xludf.DUMMYFUNCTION("""COMPUTED_VALUE"""),70.0)</f>
        <v>70</v>
      </c>
      <c r="G44" s="17">
        <f>IFERROR(__xludf.DUMMYFUNCTION("""COMPUTED_VALUE"""),4.0)</f>
        <v>4</v>
      </c>
      <c r="H44" s="17">
        <f>IFERROR(__xludf.DUMMYFUNCTION("""COMPUTED_VALUE"""),0.261)</f>
        <v>0.261</v>
      </c>
      <c r="I44" s="17">
        <f>IFERROR(__xludf.DUMMYFUNCTION("""COMPUTED_VALUE"""),0.324)</f>
        <v>0.324</v>
      </c>
      <c r="J44" s="17">
        <f>IFERROR(__xludf.DUMMYFUNCTION("""COMPUTED_VALUE"""),106.0)</f>
        <v>106</v>
      </c>
      <c r="K44" s="17">
        <f>IFERROR(__xludf.DUMMYFUNCTION("""COMPUTED_VALUE"""),22.0)</f>
        <v>22</v>
      </c>
      <c r="L44" s="17">
        <f>IFERROR(__xludf.DUMMYFUNCTION("""COMPUTED_VALUE"""),1.0)</f>
        <v>1</v>
      </c>
      <c r="M44" s="17">
        <f>IFERROR(__xludf.DUMMYFUNCTION("""COMPUTED_VALUE"""),36.0)</f>
        <v>36</v>
      </c>
      <c r="N44" s="17">
        <f>IFERROR(__xludf.DUMMYFUNCTION("""COMPUTED_VALUE"""),101.0)</f>
        <v>101</v>
      </c>
      <c r="O44" s="17">
        <f>IFERROR(__xludf.DUMMYFUNCTION("""COMPUTED_VALUE"""),0.508)</f>
        <v>0.508</v>
      </c>
      <c r="P44" s="17">
        <f>IFERROR(__xludf.DUMMYFUNCTION("""COMPUTED_VALUE"""),0.832)</f>
        <v>0.832</v>
      </c>
      <c r="Q44" s="34">
        <f>IFERROR(__xludf.DUMMYFUNCTION("""COMPUTED_VALUE"""),0.98)</f>
        <v>0.98</v>
      </c>
      <c r="R44" s="34">
        <f>IFERROR(__xludf.DUMMYFUNCTION("""COMPUTED_VALUE"""),0.99)</f>
        <v>0.99</v>
      </c>
      <c r="S44" s="34">
        <f>IFERROR(__xludf.DUMMYFUNCTION("""COMPUTED_VALUE"""),0.98)</f>
        <v>0.98</v>
      </c>
      <c r="T44" s="17" t="str">
        <f t="shared" si="1"/>
        <v>Shea Langeliers</v>
      </c>
    </row>
    <row r="45">
      <c r="A45" s="17">
        <f>IFERROR(__xludf.DUMMYFUNCTION("""COMPUTED_VALUE"""),44.0)</f>
        <v>44</v>
      </c>
      <c r="B45" s="17" t="str">
        <f>IFERROR(__xludf.DUMMYFUNCTION("""COMPUTED_VALUE"""),"Nico Hoerner (CHC - 2B)")</f>
        <v>Nico Hoerner (CHC - 2B)</v>
      </c>
      <c r="C45" s="17">
        <f>IFERROR(__xludf.DUMMYFUNCTION("""COMPUTED_VALUE"""),488.0)</f>
        <v>488</v>
      </c>
      <c r="D45" s="17">
        <f>IFERROR(__xludf.DUMMYFUNCTION("""COMPUTED_VALUE"""),68.0)</f>
        <v>68</v>
      </c>
      <c r="E45" s="17">
        <f>IFERROR(__xludf.DUMMYFUNCTION("""COMPUTED_VALUE"""),8.0)</f>
        <v>8</v>
      </c>
      <c r="F45" s="17">
        <f>IFERROR(__xludf.DUMMYFUNCTION("""COMPUTED_VALUE"""),53.0)</f>
        <v>53</v>
      </c>
      <c r="G45" s="17">
        <f>IFERROR(__xludf.DUMMYFUNCTION("""COMPUTED_VALUE"""),22.0)</f>
        <v>22</v>
      </c>
      <c r="H45" s="17">
        <f>IFERROR(__xludf.DUMMYFUNCTION("""COMPUTED_VALUE"""),0.281)</f>
        <v>0.281</v>
      </c>
      <c r="I45" s="17">
        <f>IFERROR(__xludf.DUMMYFUNCTION("""COMPUTED_VALUE"""),0.339)</f>
        <v>0.339</v>
      </c>
      <c r="J45" s="17">
        <f>IFERROR(__xludf.DUMMYFUNCTION("""COMPUTED_VALUE"""),137.0)</f>
        <v>137</v>
      </c>
      <c r="K45" s="17">
        <f>IFERROR(__xludf.DUMMYFUNCTION("""COMPUTED_VALUE"""),24.0)</f>
        <v>24</v>
      </c>
      <c r="L45" s="17">
        <f>IFERROR(__xludf.DUMMYFUNCTION("""COMPUTED_VALUE"""),3.0)</f>
        <v>3</v>
      </c>
      <c r="M45" s="17">
        <f>IFERROR(__xludf.DUMMYFUNCTION("""COMPUTED_VALUE"""),36.0)</f>
        <v>36</v>
      </c>
      <c r="N45" s="17">
        <f>IFERROR(__xludf.DUMMYFUNCTION("""COMPUTED_VALUE"""),51.0)</f>
        <v>51</v>
      </c>
      <c r="O45" s="17">
        <f>IFERROR(__xludf.DUMMYFUNCTION("""COMPUTED_VALUE"""),0.388)</f>
        <v>0.388</v>
      </c>
      <c r="P45" s="17">
        <f>IFERROR(__xludf.DUMMYFUNCTION("""COMPUTED_VALUE"""),0.726)</f>
        <v>0.726</v>
      </c>
      <c r="Q45" s="34">
        <f>IFERROR(__xludf.DUMMYFUNCTION("""COMPUTED_VALUE"""),0.99)</f>
        <v>0.99</v>
      </c>
      <c r="R45" s="34">
        <f>IFERROR(__xludf.DUMMYFUNCTION("""COMPUTED_VALUE"""),0.98)</f>
        <v>0.98</v>
      </c>
      <c r="S45" s="34">
        <f>IFERROR(__xludf.DUMMYFUNCTION("""COMPUTED_VALUE"""),0.99)</f>
        <v>0.99</v>
      </c>
      <c r="T45" s="17" t="str">
        <f t="shared" si="1"/>
        <v>Nico Hoerner</v>
      </c>
    </row>
    <row r="46">
      <c r="A46" s="17">
        <f>IFERROR(__xludf.DUMMYFUNCTION("""COMPUTED_VALUE"""),45.0)</f>
        <v>45</v>
      </c>
      <c r="B46" s="17" t="str">
        <f>IFERROR(__xludf.DUMMYFUNCTION("""COMPUTED_VALUE"""),"Josh Naylor (SEA - 1B,DH)")</f>
        <v>Josh Naylor (SEA - 1B,DH)</v>
      </c>
      <c r="C46" s="17">
        <f>IFERROR(__xludf.DUMMYFUNCTION("""COMPUTED_VALUE"""),448.0)</f>
        <v>448</v>
      </c>
      <c r="D46" s="17">
        <f>IFERROR(__xludf.DUMMYFUNCTION("""COMPUTED_VALUE"""),60.0)</f>
        <v>60</v>
      </c>
      <c r="E46" s="17">
        <f>IFERROR(__xludf.DUMMYFUNCTION("""COMPUTED_VALUE"""),18.0)</f>
        <v>18</v>
      </c>
      <c r="F46" s="17">
        <f>IFERROR(__xludf.DUMMYFUNCTION("""COMPUTED_VALUE"""),70.0)</f>
        <v>70</v>
      </c>
      <c r="G46" s="17">
        <f>IFERROR(__xludf.DUMMYFUNCTION("""COMPUTED_VALUE"""),14.0)</f>
        <v>14</v>
      </c>
      <c r="H46" s="17">
        <f>IFERROR(__xludf.DUMMYFUNCTION("""COMPUTED_VALUE"""),0.261)</f>
        <v>0.261</v>
      </c>
      <c r="I46" s="17">
        <f>IFERROR(__xludf.DUMMYFUNCTION("""COMPUTED_VALUE"""),0.335)</f>
        <v>0.335</v>
      </c>
      <c r="J46" s="17">
        <f>IFERROR(__xludf.DUMMYFUNCTION("""COMPUTED_VALUE"""),117.0)</f>
        <v>117</v>
      </c>
      <c r="K46" s="17">
        <f>IFERROR(__xludf.DUMMYFUNCTION("""COMPUTED_VALUE"""),22.0)</f>
        <v>22</v>
      </c>
      <c r="L46" s="17">
        <f>IFERROR(__xludf.DUMMYFUNCTION("""COMPUTED_VALUE"""),0.0)</f>
        <v>0</v>
      </c>
      <c r="M46" s="17">
        <f>IFERROR(__xludf.DUMMYFUNCTION("""COMPUTED_VALUE"""),43.0)</f>
        <v>43</v>
      </c>
      <c r="N46" s="17">
        <f>IFERROR(__xludf.DUMMYFUNCTION("""COMPUTED_VALUE"""),75.0)</f>
        <v>75</v>
      </c>
      <c r="O46" s="17">
        <f>IFERROR(__xludf.DUMMYFUNCTION("""COMPUTED_VALUE"""),0.433)</f>
        <v>0.433</v>
      </c>
      <c r="P46" s="17">
        <f>IFERROR(__xludf.DUMMYFUNCTION("""COMPUTED_VALUE"""),0.768)</f>
        <v>0.768</v>
      </c>
      <c r="Q46" s="34">
        <f>IFERROR(__xludf.DUMMYFUNCTION("""COMPUTED_VALUE"""),0.82)</f>
        <v>0.82</v>
      </c>
      <c r="R46" s="34">
        <f>IFERROR(__xludf.DUMMYFUNCTION("""COMPUTED_VALUE"""),0.93)</f>
        <v>0.93</v>
      </c>
      <c r="S46" s="34">
        <f>IFERROR(__xludf.DUMMYFUNCTION("""COMPUTED_VALUE"""),0.71)</f>
        <v>0.71</v>
      </c>
      <c r="T46" s="17" t="str">
        <f t="shared" si="1"/>
        <v>Josh Naylor</v>
      </c>
    </row>
    <row r="47">
      <c r="A47" s="17">
        <f>IFERROR(__xludf.DUMMYFUNCTION("""COMPUTED_VALUE"""),46.0)</f>
        <v>46</v>
      </c>
      <c r="B47" s="17" t="str">
        <f>IFERROR(__xludf.DUMMYFUNCTION("""COMPUTED_VALUE"""),"Munetaka Murakami (CWS - 1B,3B)")</f>
        <v>Munetaka Murakami (CWS - 1B,3B)</v>
      </c>
      <c r="C47" s="17">
        <f>IFERROR(__xludf.DUMMYFUNCTION("""COMPUTED_VALUE"""),433.0)</f>
        <v>433</v>
      </c>
      <c r="D47" s="17">
        <f>IFERROR(__xludf.DUMMYFUNCTION("""COMPUTED_VALUE"""),70.0)</f>
        <v>70</v>
      </c>
      <c r="E47" s="17">
        <f>IFERROR(__xludf.DUMMYFUNCTION("""COMPUTED_VALUE"""),29.0)</f>
        <v>29</v>
      </c>
      <c r="F47" s="17">
        <f>IFERROR(__xludf.DUMMYFUNCTION("""COMPUTED_VALUE"""),75.0)</f>
        <v>75</v>
      </c>
      <c r="G47" s="17">
        <f>IFERROR(__xludf.DUMMYFUNCTION("""COMPUTED_VALUE"""),7.0)</f>
        <v>7</v>
      </c>
      <c r="H47" s="17">
        <f>IFERROR(__xludf.DUMMYFUNCTION("""COMPUTED_VALUE"""),0.225)</f>
        <v>0.225</v>
      </c>
      <c r="I47" s="17">
        <f>IFERROR(__xludf.DUMMYFUNCTION("""COMPUTED_VALUE"""),0.347)</f>
        <v>0.347</v>
      </c>
      <c r="J47" s="17">
        <f>IFERROR(__xludf.DUMMYFUNCTION("""COMPUTED_VALUE"""),98.0)</f>
        <v>98</v>
      </c>
      <c r="K47" s="17">
        <f>IFERROR(__xludf.DUMMYFUNCTION("""COMPUTED_VALUE"""),14.0)</f>
        <v>14</v>
      </c>
      <c r="L47" s="17">
        <f>IFERROR(__xludf.DUMMYFUNCTION("""COMPUTED_VALUE"""),0.0)</f>
        <v>0</v>
      </c>
      <c r="M47" s="17">
        <f>IFERROR(__xludf.DUMMYFUNCTION("""COMPUTED_VALUE"""),73.0)</f>
        <v>73</v>
      </c>
      <c r="N47" s="17">
        <f>IFERROR(__xludf.DUMMYFUNCTION("""COMPUTED_VALUE"""),169.0)</f>
        <v>169</v>
      </c>
      <c r="O47" s="17">
        <f>IFERROR(__xludf.DUMMYFUNCTION("""COMPUTED_VALUE"""),0.459)</f>
        <v>0.459</v>
      </c>
      <c r="P47" s="17">
        <f>IFERROR(__xludf.DUMMYFUNCTION("""COMPUTED_VALUE"""),0.806)</f>
        <v>0.806</v>
      </c>
      <c r="Q47" s="34">
        <f>IFERROR(__xludf.DUMMYFUNCTION("""COMPUTED_VALUE"""),0.92)</f>
        <v>0.92</v>
      </c>
      <c r="R47" s="34">
        <f>IFERROR(__xludf.DUMMYFUNCTION("""COMPUTED_VALUE"""),0.95)</f>
        <v>0.95</v>
      </c>
      <c r="S47" s="34">
        <f>IFERROR(__xludf.DUMMYFUNCTION("""COMPUTED_VALUE"""),0.89)</f>
        <v>0.89</v>
      </c>
      <c r="T47" s="17" t="str">
        <f t="shared" si="1"/>
        <v>Munetaka Murakami</v>
      </c>
    </row>
    <row r="48">
      <c r="A48" s="17">
        <f>IFERROR(__xludf.DUMMYFUNCTION("""COMPUTED_VALUE"""),47.0)</f>
        <v>47</v>
      </c>
      <c r="B48" s="17" t="str">
        <f>IFERROR(__xludf.DUMMYFUNCTION("""COMPUTED_VALUE"""),"Rafael Devers (SF - 1B,DH)")</f>
        <v>Rafael Devers (SF - 1B,DH)</v>
      </c>
      <c r="C48" s="17">
        <f>IFERROR(__xludf.DUMMYFUNCTION("""COMPUTED_VALUE"""),475.0)</f>
        <v>475</v>
      </c>
      <c r="D48" s="17">
        <f>IFERROR(__xludf.DUMMYFUNCTION("""COMPUTED_VALUE"""),71.0)</f>
        <v>71</v>
      </c>
      <c r="E48" s="17">
        <f>IFERROR(__xludf.DUMMYFUNCTION("""COMPUTED_VALUE"""),24.0)</f>
        <v>24</v>
      </c>
      <c r="F48" s="17">
        <f>IFERROR(__xludf.DUMMYFUNCTION("""COMPUTED_VALUE"""),75.0)</f>
        <v>75</v>
      </c>
      <c r="G48" s="17">
        <f>IFERROR(__xludf.DUMMYFUNCTION("""COMPUTED_VALUE"""),2.0)</f>
        <v>2</v>
      </c>
      <c r="H48" s="17">
        <f>IFERROR(__xludf.DUMMYFUNCTION("""COMPUTED_VALUE"""),0.247)</f>
        <v>0.247</v>
      </c>
      <c r="I48" s="17">
        <f>IFERROR(__xludf.DUMMYFUNCTION("""COMPUTED_VALUE"""),0.355)</f>
        <v>0.355</v>
      </c>
      <c r="J48" s="17">
        <f>IFERROR(__xludf.DUMMYFUNCTION("""COMPUTED_VALUE"""),117.0)</f>
        <v>117</v>
      </c>
      <c r="K48" s="17">
        <f>IFERROR(__xludf.DUMMYFUNCTION("""COMPUTED_VALUE"""),24.0)</f>
        <v>24</v>
      </c>
      <c r="L48" s="17">
        <f>IFERROR(__xludf.DUMMYFUNCTION("""COMPUTED_VALUE"""),1.0)</f>
        <v>1</v>
      </c>
      <c r="M48" s="17">
        <f>IFERROR(__xludf.DUMMYFUNCTION("""COMPUTED_VALUE"""),68.0)</f>
        <v>68</v>
      </c>
      <c r="N48" s="17">
        <f>IFERROR(__xludf.DUMMYFUNCTION("""COMPUTED_VALUE"""),137.0)</f>
        <v>137</v>
      </c>
      <c r="O48" s="17">
        <f>IFERROR(__xludf.DUMMYFUNCTION("""COMPUTED_VALUE"""),0.452)</f>
        <v>0.452</v>
      </c>
      <c r="P48" s="17">
        <f>IFERROR(__xludf.DUMMYFUNCTION("""COMPUTED_VALUE"""),0.807)</f>
        <v>0.807</v>
      </c>
      <c r="Q48" s="34">
        <f>IFERROR(__xludf.DUMMYFUNCTION("""COMPUTED_VALUE"""),0.84)</f>
        <v>0.84</v>
      </c>
      <c r="R48" s="34">
        <f>IFERROR(__xludf.DUMMYFUNCTION("""COMPUTED_VALUE"""),0.95)</f>
        <v>0.95</v>
      </c>
      <c r="S48" s="34">
        <f>IFERROR(__xludf.DUMMYFUNCTION("""COMPUTED_VALUE"""),0.73)</f>
        <v>0.73</v>
      </c>
      <c r="T48" s="17" t="str">
        <f t="shared" si="1"/>
        <v>Rafael Devers</v>
      </c>
    </row>
    <row r="49">
      <c r="A49" s="17">
        <f>IFERROR(__xludf.DUMMYFUNCTION("""COMPUTED_VALUE"""),48.0)</f>
        <v>48</v>
      </c>
      <c r="B49" s="17" t="str">
        <f>IFERROR(__xludf.DUMMYFUNCTION("""COMPUTED_VALUE"""),"Austin Riley (ATL - 3B)")</f>
        <v>Austin Riley (ATL - 3B)</v>
      </c>
      <c r="C49" s="17">
        <f>IFERROR(__xludf.DUMMYFUNCTION("""COMPUTED_VALUE"""),475.0)</f>
        <v>475</v>
      </c>
      <c r="D49" s="17">
        <f>IFERROR(__xludf.DUMMYFUNCTION("""COMPUTED_VALUE"""),68.0)</f>
        <v>68</v>
      </c>
      <c r="E49" s="17">
        <f>IFERROR(__xludf.DUMMYFUNCTION("""COMPUTED_VALUE"""),22.0)</f>
        <v>22</v>
      </c>
      <c r="F49" s="17">
        <f>IFERROR(__xludf.DUMMYFUNCTION("""COMPUTED_VALUE"""),72.0)</f>
        <v>72</v>
      </c>
      <c r="G49" s="17">
        <f>IFERROR(__xludf.DUMMYFUNCTION("""COMPUTED_VALUE"""),3.0)</f>
        <v>3</v>
      </c>
      <c r="H49" s="17">
        <f>IFERROR(__xludf.DUMMYFUNCTION("""COMPUTED_VALUE"""),0.257)</f>
        <v>0.257</v>
      </c>
      <c r="I49" s="17">
        <f>IFERROR(__xludf.DUMMYFUNCTION("""COMPUTED_VALUE"""),0.326)</f>
        <v>0.326</v>
      </c>
      <c r="J49" s="17">
        <f>IFERROR(__xludf.DUMMYFUNCTION("""COMPUTED_VALUE"""),122.0)</f>
        <v>122</v>
      </c>
      <c r="K49" s="17">
        <f>IFERROR(__xludf.DUMMYFUNCTION("""COMPUTED_VALUE"""),24.0)</f>
        <v>24</v>
      </c>
      <c r="L49" s="17">
        <f>IFERROR(__xludf.DUMMYFUNCTION("""COMPUTED_VALUE"""),2.0)</f>
        <v>2</v>
      </c>
      <c r="M49" s="17">
        <f>IFERROR(__xludf.DUMMYFUNCTION("""COMPUTED_VALUE"""),43.0)</f>
        <v>43</v>
      </c>
      <c r="N49" s="17">
        <f>IFERROR(__xludf.DUMMYFUNCTION("""COMPUTED_VALUE"""),133.0)</f>
        <v>133</v>
      </c>
      <c r="O49" s="17">
        <f>IFERROR(__xludf.DUMMYFUNCTION("""COMPUTED_VALUE"""),0.456)</f>
        <v>0.456</v>
      </c>
      <c r="P49" s="17">
        <f>IFERROR(__xludf.DUMMYFUNCTION("""COMPUTED_VALUE"""),0.782)</f>
        <v>0.782</v>
      </c>
      <c r="Q49" s="34">
        <f>IFERROR(__xludf.DUMMYFUNCTION("""COMPUTED_VALUE"""),0.92)</f>
        <v>0.92</v>
      </c>
      <c r="R49" s="34">
        <f>IFERROR(__xludf.DUMMYFUNCTION("""COMPUTED_VALUE"""),0.97)</f>
        <v>0.97</v>
      </c>
      <c r="S49" s="34">
        <f>IFERROR(__xludf.DUMMYFUNCTION("""COMPUTED_VALUE"""),0.86)</f>
        <v>0.86</v>
      </c>
      <c r="T49" s="17" t="str">
        <f t="shared" si="1"/>
        <v>Austin Riley</v>
      </c>
    </row>
    <row r="50">
      <c r="A50" s="17">
        <f>IFERROR(__xludf.DUMMYFUNCTION("""COMPUTED_VALUE"""),49.0)</f>
        <v>49</v>
      </c>
      <c r="B50" s="17" t="str">
        <f>IFERROR(__xludf.DUMMYFUNCTION("""COMPUTED_VALUE"""),"Seiya Suzuki (CHC - LF,RF,DH)")</f>
        <v>Seiya Suzuki (CHC - LF,RF,DH)</v>
      </c>
      <c r="C50" s="17">
        <f>IFERROR(__xludf.DUMMYFUNCTION("""COMPUTED_VALUE"""),439.0)</f>
        <v>439</v>
      </c>
      <c r="D50" s="17">
        <f>IFERROR(__xludf.DUMMYFUNCTION("""COMPUTED_VALUE"""),65.0)</f>
        <v>65</v>
      </c>
      <c r="E50" s="17">
        <f>IFERROR(__xludf.DUMMYFUNCTION("""COMPUTED_VALUE"""),22.0)</f>
        <v>22</v>
      </c>
      <c r="F50" s="17">
        <f>IFERROR(__xludf.DUMMYFUNCTION("""COMPUTED_VALUE"""),70.0)</f>
        <v>70</v>
      </c>
      <c r="G50" s="17">
        <f>IFERROR(__xludf.DUMMYFUNCTION("""COMPUTED_VALUE"""),6.0)</f>
        <v>6</v>
      </c>
      <c r="H50" s="17">
        <f>IFERROR(__xludf.DUMMYFUNCTION("""COMPUTED_VALUE"""),0.258)</f>
        <v>0.258</v>
      </c>
      <c r="I50" s="17">
        <f>IFERROR(__xludf.DUMMYFUNCTION("""COMPUTED_VALUE"""),0.346)</f>
        <v>0.346</v>
      </c>
      <c r="J50" s="17">
        <f>IFERROR(__xludf.DUMMYFUNCTION("""COMPUTED_VALUE"""),113.0)</f>
        <v>113</v>
      </c>
      <c r="K50" s="17">
        <f>IFERROR(__xludf.DUMMYFUNCTION("""COMPUTED_VALUE"""),21.0)</f>
        <v>21</v>
      </c>
      <c r="L50" s="17">
        <f>IFERROR(__xludf.DUMMYFUNCTION("""COMPUTED_VALUE"""),3.0)</f>
        <v>3</v>
      </c>
      <c r="M50" s="17">
        <f>IFERROR(__xludf.DUMMYFUNCTION("""COMPUTED_VALUE"""),56.0)</f>
        <v>56</v>
      </c>
      <c r="N50" s="17">
        <f>IFERROR(__xludf.DUMMYFUNCTION("""COMPUTED_VALUE"""),124.0)</f>
        <v>124</v>
      </c>
      <c r="O50" s="17">
        <f>IFERROR(__xludf.DUMMYFUNCTION("""COMPUTED_VALUE"""),0.466)</f>
        <v>0.466</v>
      </c>
      <c r="P50" s="17">
        <f>IFERROR(__xludf.DUMMYFUNCTION("""COMPUTED_VALUE"""),0.812)</f>
        <v>0.812</v>
      </c>
      <c r="Q50" s="34">
        <f>IFERROR(__xludf.DUMMYFUNCTION("""COMPUTED_VALUE"""),0.89)</f>
        <v>0.89</v>
      </c>
      <c r="R50" s="34">
        <f>IFERROR(__xludf.DUMMYFUNCTION("""COMPUTED_VALUE"""),0.93)</f>
        <v>0.93</v>
      </c>
      <c r="S50" s="34">
        <f>IFERROR(__xludf.DUMMYFUNCTION("""COMPUTED_VALUE"""),0.85)</f>
        <v>0.85</v>
      </c>
      <c r="T50" s="17" t="str">
        <f t="shared" si="1"/>
        <v>Seiya Suzuki</v>
      </c>
    </row>
    <row r="51">
      <c r="A51" s="17">
        <f>IFERROR(__xludf.DUMMYFUNCTION("""COMPUTED_VALUE"""),50.0)</f>
        <v>50</v>
      </c>
      <c r="B51" s="17" t="str">
        <f>IFERROR(__xludf.DUMMYFUNCTION("""COMPUTED_VALUE"""),"Andy Pages (LAD - LF,CF,RF)")</f>
        <v>Andy Pages (LAD - LF,CF,RF)</v>
      </c>
      <c r="C51" s="17">
        <f>IFERROR(__xludf.DUMMYFUNCTION("""COMPUTED_VALUE"""),448.0)</f>
        <v>448</v>
      </c>
      <c r="D51" s="17">
        <f>IFERROR(__xludf.DUMMYFUNCTION("""COMPUTED_VALUE"""),63.0)</f>
        <v>63</v>
      </c>
      <c r="E51" s="17">
        <f>IFERROR(__xludf.DUMMYFUNCTION("""COMPUTED_VALUE"""),20.0)</f>
        <v>20</v>
      </c>
      <c r="F51" s="17">
        <f>IFERROR(__xludf.DUMMYFUNCTION("""COMPUTED_VALUE"""),68.0)</f>
        <v>68</v>
      </c>
      <c r="G51" s="17">
        <f>IFERROR(__xludf.DUMMYFUNCTION("""COMPUTED_VALUE"""),9.0)</f>
        <v>9</v>
      </c>
      <c r="H51" s="17">
        <f>IFERROR(__xludf.DUMMYFUNCTION("""COMPUTED_VALUE"""),0.26)</f>
        <v>0.26</v>
      </c>
      <c r="I51" s="17">
        <f>IFERROR(__xludf.DUMMYFUNCTION("""COMPUTED_VALUE"""),0.316)</f>
        <v>0.316</v>
      </c>
      <c r="J51" s="17">
        <f>IFERROR(__xludf.DUMMYFUNCTION("""COMPUTED_VALUE"""),117.0)</f>
        <v>117</v>
      </c>
      <c r="K51" s="17">
        <f>IFERROR(__xludf.DUMMYFUNCTION("""COMPUTED_VALUE"""),24.0)</f>
        <v>24</v>
      </c>
      <c r="L51" s="17">
        <f>IFERROR(__xludf.DUMMYFUNCTION("""COMPUTED_VALUE"""),1.0)</f>
        <v>1</v>
      </c>
      <c r="M51" s="17">
        <f>IFERROR(__xludf.DUMMYFUNCTION("""COMPUTED_VALUE"""),31.0)</f>
        <v>31</v>
      </c>
      <c r="N51" s="17">
        <f>IFERROR(__xludf.DUMMYFUNCTION("""COMPUTED_VALUE"""),108.0)</f>
        <v>108</v>
      </c>
      <c r="O51" s="17">
        <f>IFERROR(__xludf.DUMMYFUNCTION("""COMPUTED_VALUE"""),0.452)</f>
        <v>0.452</v>
      </c>
      <c r="P51" s="17">
        <f>IFERROR(__xludf.DUMMYFUNCTION("""COMPUTED_VALUE"""),0.768)</f>
        <v>0.768</v>
      </c>
      <c r="Q51" s="34">
        <f>IFERROR(__xludf.DUMMYFUNCTION("""COMPUTED_VALUE"""),0.94)</f>
        <v>0.94</v>
      </c>
      <c r="R51" s="34">
        <f>IFERROR(__xludf.DUMMYFUNCTION("""COMPUTED_VALUE"""),0.95)</f>
        <v>0.95</v>
      </c>
      <c r="S51" s="34">
        <f>IFERROR(__xludf.DUMMYFUNCTION("""COMPUTED_VALUE"""),0.94)</f>
        <v>0.94</v>
      </c>
      <c r="T51" s="17" t="str">
        <f t="shared" si="1"/>
        <v>Andy Pages</v>
      </c>
    </row>
    <row r="52">
      <c r="A52" s="17">
        <f>IFERROR(__xludf.DUMMYFUNCTION("""COMPUTED_VALUE"""),51.0)</f>
        <v>51</v>
      </c>
      <c r="B52" s="17" t="str">
        <f>IFERROR(__xludf.DUMMYFUNCTION("""COMPUTED_VALUE"""),"Cody Bellinger (NYY - LF,CF,RF)")</f>
        <v>Cody Bellinger (NYY - LF,CF,RF)</v>
      </c>
      <c r="C52" s="17">
        <f>IFERROR(__xludf.DUMMYFUNCTION("""COMPUTED_VALUE"""),446.0)</f>
        <v>446</v>
      </c>
      <c r="D52" s="17">
        <f>IFERROR(__xludf.DUMMYFUNCTION("""COMPUTED_VALUE"""),65.0)</f>
        <v>65</v>
      </c>
      <c r="E52" s="17">
        <f>IFERROR(__xludf.DUMMYFUNCTION("""COMPUTED_VALUE"""),19.0)</f>
        <v>19</v>
      </c>
      <c r="F52" s="17">
        <f>IFERROR(__xludf.DUMMYFUNCTION("""COMPUTED_VALUE"""),68.0)</f>
        <v>68</v>
      </c>
      <c r="G52" s="17">
        <f>IFERROR(__xludf.DUMMYFUNCTION("""COMPUTED_VALUE"""),9.0)</f>
        <v>9</v>
      </c>
      <c r="H52" s="17">
        <f>IFERROR(__xludf.DUMMYFUNCTION("""COMPUTED_VALUE"""),0.26)</f>
        <v>0.26</v>
      </c>
      <c r="I52" s="17">
        <f>IFERROR(__xludf.DUMMYFUNCTION("""COMPUTED_VALUE"""),0.331)</f>
        <v>0.331</v>
      </c>
      <c r="J52" s="17">
        <f>IFERROR(__xludf.DUMMYFUNCTION("""COMPUTED_VALUE"""),116.0)</f>
        <v>116</v>
      </c>
      <c r="K52" s="17">
        <f>IFERROR(__xludf.DUMMYFUNCTION("""COMPUTED_VALUE"""),20.0)</f>
        <v>20</v>
      </c>
      <c r="L52" s="17">
        <f>IFERROR(__xludf.DUMMYFUNCTION("""COMPUTED_VALUE"""),3.0)</f>
        <v>3</v>
      </c>
      <c r="M52" s="17">
        <f>IFERROR(__xludf.DUMMYFUNCTION("""COMPUTED_VALUE"""),45.0)</f>
        <v>45</v>
      </c>
      <c r="N52" s="17">
        <f>IFERROR(__xludf.DUMMYFUNCTION("""COMPUTED_VALUE"""),74.0)</f>
        <v>74</v>
      </c>
      <c r="O52" s="17">
        <f>IFERROR(__xludf.DUMMYFUNCTION("""COMPUTED_VALUE"""),0.445)</f>
        <v>0.445</v>
      </c>
      <c r="P52" s="17">
        <f>IFERROR(__xludf.DUMMYFUNCTION("""COMPUTED_VALUE"""),0.776)</f>
        <v>0.776</v>
      </c>
      <c r="Q52" s="34">
        <f>IFERROR(__xludf.DUMMYFUNCTION("""COMPUTED_VALUE"""),0.98)</f>
        <v>0.98</v>
      </c>
      <c r="R52" s="34">
        <f>IFERROR(__xludf.DUMMYFUNCTION("""COMPUTED_VALUE"""),0.98)</f>
        <v>0.98</v>
      </c>
      <c r="S52" s="34">
        <f>IFERROR(__xludf.DUMMYFUNCTION("""COMPUTED_VALUE"""),0.98)</f>
        <v>0.98</v>
      </c>
      <c r="T52" s="17" t="str">
        <f t="shared" si="1"/>
        <v>Cody Bellinger</v>
      </c>
    </row>
    <row r="53">
      <c r="A53" s="17">
        <f>IFERROR(__xludf.DUMMYFUNCTION("""COMPUTED_VALUE"""),52.0)</f>
        <v>52</v>
      </c>
      <c r="B53" s="17" t="str">
        <f>IFERROR(__xludf.DUMMYFUNCTION("""COMPUTED_VALUE"""),"Corey Seager (TEX - SS)")</f>
        <v>Corey Seager (TEX - SS)</v>
      </c>
      <c r="C53" s="17">
        <f>IFERROR(__xludf.DUMMYFUNCTION("""COMPUTED_VALUE"""),398.0)</f>
        <v>398</v>
      </c>
      <c r="D53" s="17">
        <f>IFERROR(__xludf.DUMMYFUNCTION("""COMPUTED_VALUE"""),62.0)</f>
        <v>62</v>
      </c>
      <c r="E53" s="17">
        <f>IFERROR(__xludf.DUMMYFUNCTION("""COMPUTED_VALUE"""),22.0)</f>
        <v>22</v>
      </c>
      <c r="F53" s="17">
        <f>IFERROR(__xludf.DUMMYFUNCTION("""COMPUTED_VALUE"""),67.0)</f>
        <v>67</v>
      </c>
      <c r="G53" s="17">
        <f>IFERROR(__xludf.DUMMYFUNCTION("""COMPUTED_VALUE"""),2.0)</f>
        <v>2</v>
      </c>
      <c r="H53" s="17">
        <f>IFERROR(__xludf.DUMMYFUNCTION("""COMPUTED_VALUE"""),0.266)</f>
        <v>0.266</v>
      </c>
      <c r="I53" s="17">
        <f>IFERROR(__xludf.DUMMYFUNCTION("""COMPUTED_VALUE"""),0.365)</f>
        <v>0.365</v>
      </c>
      <c r="J53" s="17">
        <f>IFERROR(__xludf.DUMMYFUNCTION("""COMPUTED_VALUE"""),106.0)</f>
        <v>106</v>
      </c>
      <c r="K53" s="17">
        <f>IFERROR(__xludf.DUMMYFUNCTION("""COMPUTED_VALUE"""),20.0)</f>
        <v>20</v>
      </c>
      <c r="L53" s="17">
        <f>IFERROR(__xludf.DUMMYFUNCTION("""COMPUTED_VALUE"""),0.0)</f>
        <v>0</v>
      </c>
      <c r="M53" s="17">
        <f>IFERROR(__xludf.DUMMYFUNCTION("""COMPUTED_VALUE"""),53.0)</f>
        <v>53</v>
      </c>
      <c r="N53" s="17">
        <f>IFERROR(__xludf.DUMMYFUNCTION("""COMPUTED_VALUE"""),88.0)</f>
        <v>88</v>
      </c>
      <c r="O53" s="17">
        <f>IFERROR(__xludf.DUMMYFUNCTION("""COMPUTED_VALUE"""),0.484)</f>
        <v>0.484</v>
      </c>
      <c r="P53" s="17">
        <f>IFERROR(__xludf.DUMMYFUNCTION("""COMPUTED_VALUE"""),0.849)</f>
        <v>0.849</v>
      </c>
      <c r="Q53" s="34">
        <f>IFERROR(__xludf.DUMMYFUNCTION("""COMPUTED_VALUE"""),0.94)</f>
        <v>0.94</v>
      </c>
      <c r="R53" s="34">
        <f>IFERROR(__xludf.DUMMYFUNCTION("""COMPUTED_VALUE"""),0.98)</f>
        <v>0.98</v>
      </c>
      <c r="S53" s="34">
        <f>IFERROR(__xludf.DUMMYFUNCTION("""COMPUTED_VALUE"""),0.9)</f>
        <v>0.9</v>
      </c>
      <c r="T53" s="17" t="str">
        <f t="shared" si="1"/>
        <v>Corey Seager</v>
      </c>
    </row>
    <row r="54">
      <c r="A54" s="17">
        <f>IFERROR(__xludf.DUMMYFUNCTION("""COMPUTED_VALUE"""),53.0)</f>
        <v>53</v>
      </c>
      <c r="B54" s="17" t="str">
        <f>IFERROR(__xludf.DUMMYFUNCTION("""COMPUTED_VALUE"""),"Teoscar Hernandez (LAD - LF,RF)")</f>
        <v>Teoscar Hernandez (LAD - LF,RF)</v>
      </c>
      <c r="C54" s="17">
        <f>IFERROR(__xludf.DUMMYFUNCTION("""COMPUTED_VALUE"""),433.0)</f>
        <v>433</v>
      </c>
      <c r="D54" s="17">
        <f>IFERROR(__xludf.DUMMYFUNCTION("""COMPUTED_VALUE"""),61.0)</f>
        <v>61</v>
      </c>
      <c r="E54" s="17">
        <f>IFERROR(__xludf.DUMMYFUNCTION("""COMPUTED_VALUE"""),21.0)</f>
        <v>21</v>
      </c>
      <c r="F54" s="17">
        <f>IFERROR(__xludf.DUMMYFUNCTION("""COMPUTED_VALUE"""),70.0)</f>
        <v>70</v>
      </c>
      <c r="G54" s="17">
        <f>IFERROR(__xludf.DUMMYFUNCTION("""COMPUTED_VALUE"""),5.0)</f>
        <v>5</v>
      </c>
      <c r="H54" s="17">
        <f>IFERROR(__xludf.DUMMYFUNCTION("""COMPUTED_VALUE"""),0.258)</f>
        <v>0.258</v>
      </c>
      <c r="I54" s="17">
        <f>IFERROR(__xludf.DUMMYFUNCTION("""COMPUTED_VALUE"""),0.315)</f>
        <v>0.315</v>
      </c>
      <c r="J54" s="17">
        <f>IFERROR(__xludf.DUMMYFUNCTION("""COMPUTED_VALUE"""),112.0)</f>
        <v>112</v>
      </c>
      <c r="K54" s="17">
        <f>IFERROR(__xludf.DUMMYFUNCTION("""COMPUTED_VALUE"""),22.0)</f>
        <v>22</v>
      </c>
      <c r="L54" s="17">
        <f>IFERROR(__xludf.DUMMYFUNCTION("""COMPUTED_VALUE"""),1.0)</f>
        <v>1</v>
      </c>
      <c r="M54" s="17">
        <f>IFERROR(__xludf.DUMMYFUNCTION("""COMPUTED_VALUE"""),33.0)</f>
        <v>33</v>
      </c>
      <c r="N54" s="17">
        <f>IFERROR(__xludf.DUMMYFUNCTION("""COMPUTED_VALUE"""),125.0)</f>
        <v>125</v>
      </c>
      <c r="O54" s="17">
        <f>IFERROR(__xludf.DUMMYFUNCTION("""COMPUTED_VALUE"""),0.46)</f>
        <v>0.46</v>
      </c>
      <c r="P54" s="17">
        <f>IFERROR(__xludf.DUMMYFUNCTION("""COMPUTED_VALUE"""),0.776)</f>
        <v>0.776</v>
      </c>
      <c r="Q54" s="34">
        <f>IFERROR(__xludf.DUMMYFUNCTION("""COMPUTED_VALUE"""),0.81)</f>
        <v>0.81</v>
      </c>
      <c r="R54" s="34">
        <f>IFERROR(__xludf.DUMMYFUNCTION("""COMPUTED_VALUE"""),0.93)</f>
        <v>0.93</v>
      </c>
      <c r="S54" s="34">
        <f>IFERROR(__xludf.DUMMYFUNCTION("""COMPUTED_VALUE"""),0.7)</f>
        <v>0.7</v>
      </c>
      <c r="T54" s="17" t="str">
        <f t="shared" si="1"/>
        <v>Teoscar Hernandez</v>
      </c>
    </row>
    <row r="55">
      <c r="A55" s="17">
        <f>IFERROR(__xludf.DUMMYFUNCTION("""COMPUTED_VALUE"""),54.0)</f>
        <v>54</v>
      </c>
      <c r="B55" s="17" t="str">
        <f>IFERROR(__xludf.DUMMYFUNCTION("""COMPUTED_VALUE"""),"Taylor Ward (BAL - LF)")</f>
        <v>Taylor Ward (BAL - LF)</v>
      </c>
      <c r="C55" s="17">
        <f>IFERROR(__xludf.DUMMYFUNCTION("""COMPUTED_VALUE"""),466.0)</f>
        <v>466</v>
      </c>
      <c r="D55" s="17">
        <f>IFERROR(__xludf.DUMMYFUNCTION("""COMPUTED_VALUE"""),71.0)</f>
        <v>71</v>
      </c>
      <c r="E55" s="17">
        <f>IFERROR(__xludf.DUMMYFUNCTION("""COMPUTED_VALUE"""),21.0)</f>
        <v>21</v>
      </c>
      <c r="F55" s="17">
        <f>IFERROR(__xludf.DUMMYFUNCTION("""COMPUTED_VALUE"""),68.0)</f>
        <v>68</v>
      </c>
      <c r="G55" s="17">
        <f>IFERROR(__xludf.DUMMYFUNCTION("""COMPUTED_VALUE"""),4.0)</f>
        <v>4</v>
      </c>
      <c r="H55" s="17">
        <f>IFERROR(__xludf.DUMMYFUNCTION("""COMPUTED_VALUE"""),0.25)</f>
        <v>0.25</v>
      </c>
      <c r="I55" s="17">
        <f>IFERROR(__xludf.DUMMYFUNCTION("""COMPUTED_VALUE"""),0.34)</f>
        <v>0.34</v>
      </c>
      <c r="J55" s="17">
        <f>IFERROR(__xludf.DUMMYFUNCTION("""COMPUTED_VALUE"""),116.0)</f>
        <v>116</v>
      </c>
      <c r="K55" s="17">
        <f>IFERROR(__xludf.DUMMYFUNCTION("""COMPUTED_VALUE"""),24.0)</f>
        <v>24</v>
      </c>
      <c r="L55" s="17">
        <f>IFERROR(__xludf.DUMMYFUNCTION("""COMPUTED_VALUE"""),2.0)</f>
        <v>2</v>
      </c>
      <c r="M55" s="17">
        <f>IFERROR(__xludf.DUMMYFUNCTION("""COMPUTED_VALUE"""),61.0)</f>
        <v>61</v>
      </c>
      <c r="N55" s="17">
        <f>IFERROR(__xludf.DUMMYFUNCTION("""COMPUTED_VALUE"""),123.0)</f>
        <v>123</v>
      </c>
      <c r="O55" s="17">
        <f>IFERROR(__xludf.DUMMYFUNCTION("""COMPUTED_VALUE"""),0.443)</f>
        <v>0.443</v>
      </c>
      <c r="P55" s="17">
        <f>IFERROR(__xludf.DUMMYFUNCTION("""COMPUTED_VALUE"""),0.783)</f>
        <v>0.783</v>
      </c>
      <c r="Q55" s="34">
        <f>IFERROR(__xludf.DUMMYFUNCTION("""COMPUTED_VALUE"""),0.89)</f>
        <v>0.89</v>
      </c>
      <c r="R55" s="34">
        <f>IFERROR(__xludf.DUMMYFUNCTION("""COMPUTED_VALUE"""),0.92)</f>
        <v>0.92</v>
      </c>
      <c r="S55" s="34">
        <f>IFERROR(__xludf.DUMMYFUNCTION("""COMPUTED_VALUE"""),0.86)</f>
        <v>0.86</v>
      </c>
      <c r="T55" s="17" t="str">
        <f t="shared" si="1"/>
        <v>Taylor Ward</v>
      </c>
    </row>
    <row r="56">
      <c r="A56" s="17">
        <f>IFERROR(__xludf.DUMMYFUNCTION("""COMPUTED_VALUE"""),55.0)</f>
        <v>55</v>
      </c>
      <c r="B56" s="17" t="str">
        <f>IFERROR(__xludf.DUMMYFUNCTION("""COMPUTED_VALUE"""),"Ben Rice (NYY - C,1B,DH)")</f>
        <v>Ben Rice (NYY - C,1B,DH)</v>
      </c>
      <c r="C56" s="17">
        <f>IFERROR(__xludf.DUMMYFUNCTION("""COMPUTED_VALUE"""),392.0)</f>
        <v>392</v>
      </c>
      <c r="D56" s="17">
        <f>IFERROR(__xludf.DUMMYFUNCTION("""COMPUTED_VALUE"""),66.0)</f>
        <v>66</v>
      </c>
      <c r="E56" s="17">
        <f>IFERROR(__xludf.DUMMYFUNCTION("""COMPUTED_VALUE"""),24.0)</f>
        <v>24</v>
      </c>
      <c r="F56" s="17">
        <f>IFERROR(__xludf.DUMMYFUNCTION("""COMPUTED_VALUE"""),66.0)</f>
        <v>66</v>
      </c>
      <c r="G56" s="17">
        <f>IFERROR(__xludf.DUMMYFUNCTION("""COMPUTED_VALUE"""),4.0)</f>
        <v>4</v>
      </c>
      <c r="H56" s="17">
        <f>IFERROR(__xludf.DUMMYFUNCTION("""COMPUTED_VALUE"""),0.251)</f>
        <v>0.251</v>
      </c>
      <c r="I56" s="17">
        <f>IFERROR(__xludf.DUMMYFUNCTION("""COMPUTED_VALUE"""),0.345)</f>
        <v>0.345</v>
      </c>
      <c r="J56" s="17">
        <f>IFERROR(__xludf.DUMMYFUNCTION("""COMPUTED_VALUE"""),98.0)</f>
        <v>98</v>
      </c>
      <c r="K56" s="17">
        <f>IFERROR(__xludf.DUMMYFUNCTION("""COMPUTED_VALUE"""),20.0)</f>
        <v>20</v>
      </c>
      <c r="L56" s="17">
        <f>IFERROR(__xludf.DUMMYFUNCTION("""COMPUTED_VALUE"""),2.0)</f>
        <v>2</v>
      </c>
      <c r="M56" s="17">
        <f>IFERROR(__xludf.DUMMYFUNCTION("""COMPUTED_VALUE"""),50.0)</f>
        <v>50</v>
      </c>
      <c r="N56" s="17">
        <f>IFERROR(__xludf.DUMMYFUNCTION("""COMPUTED_VALUE"""),99.0)</f>
        <v>99</v>
      </c>
      <c r="O56" s="17">
        <f>IFERROR(__xludf.DUMMYFUNCTION("""COMPUTED_VALUE"""),0.493)</f>
        <v>0.493</v>
      </c>
      <c r="P56" s="17">
        <f>IFERROR(__xludf.DUMMYFUNCTION("""COMPUTED_VALUE"""),0.838)</f>
        <v>0.838</v>
      </c>
      <c r="Q56" s="34">
        <f>IFERROR(__xludf.DUMMYFUNCTION("""COMPUTED_VALUE"""),0.99)</f>
        <v>0.99</v>
      </c>
      <c r="R56" s="34">
        <f>IFERROR(__xludf.DUMMYFUNCTION("""COMPUTED_VALUE"""),0.99)</f>
        <v>0.99</v>
      </c>
      <c r="S56" s="34">
        <f>IFERROR(__xludf.DUMMYFUNCTION("""COMPUTED_VALUE"""),0.99)</f>
        <v>0.99</v>
      </c>
      <c r="T56" s="17" t="str">
        <f t="shared" si="1"/>
        <v>Ben Rice</v>
      </c>
    </row>
    <row r="57">
      <c r="A57" s="17">
        <f>IFERROR(__xludf.DUMMYFUNCTION("""COMPUTED_VALUE"""),56.0)</f>
        <v>56</v>
      </c>
      <c r="B57" s="17" t="str">
        <f>IFERROR(__xludf.DUMMYFUNCTION("""COMPUTED_VALUE"""),"Randy Arozarena (SEA - LF,CF)")</f>
        <v>Randy Arozarena (SEA - LF,CF)</v>
      </c>
      <c r="C57" s="17">
        <f>IFERROR(__xludf.DUMMYFUNCTION("""COMPUTED_VALUE"""),461.0)</f>
        <v>461</v>
      </c>
      <c r="D57" s="17">
        <f>IFERROR(__xludf.DUMMYFUNCTION("""COMPUTED_VALUE"""),69.0)</f>
        <v>69</v>
      </c>
      <c r="E57" s="17">
        <f>IFERROR(__xludf.DUMMYFUNCTION("""COMPUTED_VALUE"""),17.0)</f>
        <v>17</v>
      </c>
      <c r="F57" s="17">
        <f>IFERROR(__xludf.DUMMYFUNCTION("""COMPUTED_VALUE"""),61.0)</f>
        <v>61</v>
      </c>
      <c r="G57" s="17">
        <f>IFERROR(__xludf.DUMMYFUNCTION("""COMPUTED_VALUE"""),20.0)</f>
        <v>20</v>
      </c>
      <c r="H57" s="17">
        <f>IFERROR(__xludf.DUMMYFUNCTION("""COMPUTED_VALUE"""),0.238)</f>
        <v>0.238</v>
      </c>
      <c r="I57" s="17">
        <f>IFERROR(__xludf.DUMMYFUNCTION("""COMPUTED_VALUE"""),0.338)</f>
        <v>0.338</v>
      </c>
      <c r="J57" s="17">
        <f>IFERROR(__xludf.DUMMYFUNCTION("""COMPUTED_VALUE"""),110.0)</f>
        <v>110</v>
      </c>
      <c r="K57" s="17">
        <f>IFERROR(__xludf.DUMMYFUNCTION("""COMPUTED_VALUE"""),23.0)</f>
        <v>23</v>
      </c>
      <c r="L57" s="17">
        <f>IFERROR(__xludf.DUMMYFUNCTION("""COMPUTED_VALUE"""),1.0)</f>
        <v>1</v>
      </c>
      <c r="M57" s="17">
        <f>IFERROR(__xludf.DUMMYFUNCTION("""COMPUTED_VALUE"""),55.0)</f>
        <v>55</v>
      </c>
      <c r="N57" s="17">
        <f>IFERROR(__xludf.DUMMYFUNCTION("""COMPUTED_VALUE"""),137.0)</f>
        <v>137</v>
      </c>
      <c r="O57" s="17">
        <f>IFERROR(__xludf.DUMMYFUNCTION("""COMPUTED_VALUE"""),0.408)</f>
        <v>0.408</v>
      </c>
      <c r="P57" s="17">
        <f>IFERROR(__xludf.DUMMYFUNCTION("""COMPUTED_VALUE"""),0.746)</f>
        <v>0.746</v>
      </c>
      <c r="Q57" s="34">
        <f>IFERROR(__xludf.DUMMYFUNCTION("""COMPUTED_VALUE"""),0.94)</f>
        <v>0.94</v>
      </c>
      <c r="R57" s="34">
        <f>IFERROR(__xludf.DUMMYFUNCTION("""COMPUTED_VALUE"""),0.97)</f>
        <v>0.97</v>
      </c>
      <c r="S57" s="34">
        <f>IFERROR(__xludf.DUMMYFUNCTION("""COMPUTED_VALUE"""),0.91)</f>
        <v>0.91</v>
      </c>
      <c r="T57" s="17" t="str">
        <f t="shared" si="1"/>
        <v>Randy Arozarena</v>
      </c>
    </row>
    <row r="58">
      <c r="A58" s="17">
        <f>IFERROR(__xludf.DUMMYFUNCTION("""COMPUTED_VALUE"""),57.0)</f>
        <v>57</v>
      </c>
      <c r="B58" s="17" t="str">
        <f>IFERROR(__xludf.DUMMYFUNCTION("""COMPUTED_VALUE"""),"Geraldo Perdomo (ARI - SS)")</f>
        <v>Geraldo Perdomo (ARI - SS)</v>
      </c>
      <c r="C58" s="17">
        <f>IFERROR(__xludf.DUMMYFUNCTION("""COMPUTED_VALUE"""),458.0)</f>
        <v>458</v>
      </c>
      <c r="D58" s="17">
        <f>IFERROR(__xludf.DUMMYFUNCTION("""COMPUTED_VALUE"""),73.0)</f>
        <v>73</v>
      </c>
      <c r="E58" s="17">
        <f>IFERROR(__xludf.DUMMYFUNCTION("""COMPUTED_VALUE"""),10.0)</f>
        <v>10</v>
      </c>
      <c r="F58" s="17">
        <f>IFERROR(__xludf.DUMMYFUNCTION("""COMPUTED_VALUE"""),53.0)</f>
        <v>53</v>
      </c>
      <c r="G58" s="17">
        <f>IFERROR(__xludf.DUMMYFUNCTION("""COMPUTED_VALUE"""),19.0)</f>
        <v>19</v>
      </c>
      <c r="H58" s="17">
        <f>IFERROR(__xludf.DUMMYFUNCTION("""COMPUTED_VALUE"""),0.263)</f>
        <v>0.263</v>
      </c>
      <c r="I58" s="17">
        <f>IFERROR(__xludf.DUMMYFUNCTION("""COMPUTED_VALUE"""),0.358)</f>
        <v>0.358</v>
      </c>
      <c r="J58" s="17">
        <f>IFERROR(__xludf.DUMMYFUNCTION("""COMPUTED_VALUE"""),120.0)</f>
        <v>120</v>
      </c>
      <c r="K58" s="17">
        <f>IFERROR(__xludf.DUMMYFUNCTION("""COMPUTED_VALUE"""),22.0)</f>
        <v>22</v>
      </c>
      <c r="L58" s="17">
        <f>IFERROR(__xludf.DUMMYFUNCTION("""COMPUTED_VALUE"""),4.0)</f>
        <v>4</v>
      </c>
      <c r="M58" s="17">
        <f>IFERROR(__xludf.DUMMYFUNCTION("""COMPUTED_VALUE"""),67.0)</f>
        <v>67</v>
      </c>
      <c r="N58" s="17">
        <f>IFERROR(__xludf.DUMMYFUNCTION("""COMPUTED_VALUE"""),72.0)</f>
        <v>72</v>
      </c>
      <c r="O58" s="17">
        <f>IFERROR(__xludf.DUMMYFUNCTION("""COMPUTED_VALUE"""),0.397)</f>
        <v>0.397</v>
      </c>
      <c r="P58" s="17">
        <f>IFERROR(__xludf.DUMMYFUNCTION("""COMPUTED_VALUE"""),0.755)</f>
        <v>0.755</v>
      </c>
      <c r="Q58" s="34">
        <f>IFERROR(__xludf.DUMMYFUNCTION("""COMPUTED_VALUE"""),0.89)</f>
        <v>0.89</v>
      </c>
      <c r="R58" s="34">
        <f>IFERROR(__xludf.DUMMYFUNCTION("""COMPUTED_VALUE"""),0.94)</f>
        <v>0.94</v>
      </c>
      <c r="S58" s="34">
        <f>IFERROR(__xludf.DUMMYFUNCTION("""COMPUTED_VALUE"""),0.85)</f>
        <v>0.85</v>
      </c>
      <c r="T58" s="17" t="str">
        <f t="shared" si="1"/>
        <v>Geraldo Perdomo</v>
      </c>
    </row>
    <row r="59">
      <c r="A59" s="17">
        <f>IFERROR(__xludf.DUMMYFUNCTION("""COMPUTED_VALUE"""),58.0)</f>
        <v>58</v>
      </c>
      <c r="B59" s="17" t="str">
        <f>IFERROR(__xludf.DUMMYFUNCTION("""COMPUTED_VALUE"""),"Jacob Wilson (ATH - SS)")</f>
        <v>Jacob Wilson (ATH - SS)</v>
      </c>
      <c r="C59" s="17">
        <f>IFERROR(__xludf.DUMMYFUNCTION("""COMPUTED_VALUE"""),472.0)</f>
        <v>472</v>
      </c>
      <c r="D59" s="17">
        <f>IFERROR(__xludf.DUMMYFUNCTION("""COMPUTED_VALUE"""),61.0)</f>
        <v>61</v>
      </c>
      <c r="E59" s="17">
        <f>IFERROR(__xludf.DUMMYFUNCTION("""COMPUTED_VALUE"""),10.0)</f>
        <v>10</v>
      </c>
      <c r="F59" s="17">
        <f>IFERROR(__xludf.DUMMYFUNCTION("""COMPUTED_VALUE"""),61.0)</f>
        <v>61</v>
      </c>
      <c r="G59" s="17">
        <f>IFERROR(__xludf.DUMMYFUNCTION("""COMPUTED_VALUE"""),5.0)</f>
        <v>5</v>
      </c>
      <c r="H59" s="17">
        <f>IFERROR(__xludf.DUMMYFUNCTION("""COMPUTED_VALUE"""),0.295)</f>
        <v>0.295</v>
      </c>
      <c r="I59" s="17">
        <f>IFERROR(__xludf.DUMMYFUNCTION("""COMPUTED_VALUE"""),0.337)</f>
        <v>0.337</v>
      </c>
      <c r="J59" s="17">
        <f>IFERROR(__xludf.DUMMYFUNCTION("""COMPUTED_VALUE"""),139.0)</f>
        <v>139</v>
      </c>
      <c r="K59" s="17">
        <f>IFERROR(__xludf.DUMMYFUNCTION("""COMPUTED_VALUE"""),28.0)</f>
        <v>28</v>
      </c>
      <c r="L59" s="17">
        <f>IFERROR(__xludf.DUMMYFUNCTION("""COMPUTED_VALUE"""),1.0)</f>
        <v>1</v>
      </c>
      <c r="M59" s="17">
        <f>IFERROR(__xludf.DUMMYFUNCTION("""COMPUTED_VALUE"""),26.0)</f>
        <v>26</v>
      </c>
      <c r="N59" s="17">
        <f>IFERROR(__xludf.DUMMYFUNCTION("""COMPUTED_VALUE"""),44.0)</f>
        <v>44</v>
      </c>
      <c r="O59" s="17">
        <f>IFERROR(__xludf.DUMMYFUNCTION("""COMPUTED_VALUE"""),0.421)</f>
        <v>0.421</v>
      </c>
      <c r="P59" s="17">
        <f>IFERROR(__xludf.DUMMYFUNCTION("""COMPUTED_VALUE"""),0.758)</f>
        <v>0.758</v>
      </c>
      <c r="Q59" s="34">
        <f>IFERROR(__xludf.DUMMYFUNCTION("""COMPUTED_VALUE"""),0.67)</f>
        <v>0.67</v>
      </c>
      <c r="R59" s="34">
        <f>IFERROR(__xludf.DUMMYFUNCTION("""COMPUTED_VALUE"""),0.75)</f>
        <v>0.75</v>
      </c>
      <c r="S59" s="34">
        <f>IFERROR(__xludf.DUMMYFUNCTION("""COMPUTED_VALUE"""),0.59)</f>
        <v>0.59</v>
      </c>
      <c r="T59" s="17" t="str">
        <f t="shared" si="1"/>
        <v>Jacob Wilson</v>
      </c>
    </row>
    <row r="60">
      <c r="A60" s="17">
        <f>IFERROR(__xludf.DUMMYFUNCTION("""COMPUTED_VALUE"""),59.0)</f>
        <v>59</v>
      </c>
      <c r="B60" s="17" t="str">
        <f>IFERROR(__xludf.DUMMYFUNCTION("""COMPUTED_VALUE"""),"Kevin McGonigle (DET - 3B,SS)")</f>
        <v>Kevin McGonigle (DET - 3B,SS)</v>
      </c>
      <c r="C60" s="17">
        <f>IFERROR(__xludf.DUMMYFUNCTION("""COMPUTED_VALUE"""),455.0)</f>
        <v>455</v>
      </c>
      <c r="D60" s="17">
        <f>IFERROR(__xludf.DUMMYFUNCTION("""COMPUTED_VALUE"""),70.0)</f>
        <v>70</v>
      </c>
      <c r="E60" s="17">
        <f>IFERROR(__xludf.DUMMYFUNCTION("""COMPUTED_VALUE"""),14.0)</f>
        <v>14</v>
      </c>
      <c r="F60" s="17">
        <f>IFERROR(__xludf.DUMMYFUNCTION("""COMPUTED_VALUE"""),60.0)</f>
        <v>60</v>
      </c>
      <c r="G60" s="17">
        <f>IFERROR(__xludf.DUMMYFUNCTION("""COMPUTED_VALUE"""),10.0)</f>
        <v>10</v>
      </c>
      <c r="H60" s="17">
        <f>IFERROR(__xludf.DUMMYFUNCTION("""COMPUTED_VALUE"""),0.263)</f>
        <v>0.263</v>
      </c>
      <c r="I60" s="17">
        <f>IFERROR(__xludf.DUMMYFUNCTION("""COMPUTED_VALUE"""),0.345)</f>
        <v>0.345</v>
      </c>
      <c r="J60" s="17">
        <f>IFERROR(__xludf.DUMMYFUNCTION("""COMPUTED_VALUE"""),120.0)</f>
        <v>120</v>
      </c>
      <c r="K60" s="17">
        <f>IFERROR(__xludf.DUMMYFUNCTION("""COMPUTED_VALUE"""),28.0)</f>
        <v>28</v>
      </c>
      <c r="L60" s="17">
        <f>IFERROR(__xludf.DUMMYFUNCTION("""COMPUTED_VALUE"""),4.0)</f>
        <v>4</v>
      </c>
      <c r="M60" s="17">
        <f>IFERROR(__xludf.DUMMYFUNCTION("""COMPUTED_VALUE"""),55.0)</f>
        <v>55</v>
      </c>
      <c r="N60" s="17">
        <f>IFERROR(__xludf.DUMMYFUNCTION("""COMPUTED_VALUE"""),73.0)</f>
        <v>73</v>
      </c>
      <c r="O60" s="17">
        <f>IFERROR(__xludf.DUMMYFUNCTION("""COMPUTED_VALUE"""),0.434)</f>
        <v>0.434</v>
      </c>
      <c r="P60" s="17">
        <f>IFERROR(__xludf.DUMMYFUNCTION("""COMPUTED_VALUE"""),0.779)</f>
        <v>0.779</v>
      </c>
      <c r="Q60" s="34">
        <f>IFERROR(__xludf.DUMMYFUNCTION("""COMPUTED_VALUE"""),0.89)</f>
        <v>0.89</v>
      </c>
      <c r="R60" s="34">
        <f>IFERROR(__xludf.DUMMYFUNCTION("""COMPUTED_VALUE"""),0.91)</f>
        <v>0.91</v>
      </c>
      <c r="S60" s="34">
        <f>IFERROR(__xludf.DUMMYFUNCTION("""COMPUTED_VALUE"""),0.88)</f>
        <v>0.88</v>
      </c>
      <c r="T60" s="17" t="str">
        <f t="shared" si="1"/>
        <v>Kevin McGonigle</v>
      </c>
    </row>
    <row r="61">
      <c r="A61" s="17">
        <f>IFERROR(__xludf.DUMMYFUNCTION("""COMPUTED_VALUE"""),60.0)</f>
        <v>60</v>
      </c>
      <c r="B61" s="17" t="str">
        <f>IFERROR(__xludf.DUMMYFUNCTION("""COMPUTED_VALUE"""),"Konnor Griffin (PIT - SS,CF)")</f>
        <v>Konnor Griffin (PIT - SS,CF)</v>
      </c>
      <c r="C61" s="17">
        <f>IFERROR(__xludf.DUMMYFUNCTION("""COMPUTED_VALUE"""),437.0)</f>
        <v>437</v>
      </c>
      <c r="D61" s="17">
        <f>IFERROR(__xludf.DUMMYFUNCTION("""COMPUTED_VALUE"""),64.0)</f>
        <v>64</v>
      </c>
      <c r="E61" s="17">
        <f>IFERROR(__xludf.DUMMYFUNCTION("""COMPUTED_VALUE"""),12.0)</f>
        <v>12</v>
      </c>
      <c r="F61" s="17">
        <f>IFERROR(__xludf.DUMMYFUNCTION("""COMPUTED_VALUE"""),56.0)</f>
        <v>56</v>
      </c>
      <c r="G61" s="17">
        <f>IFERROR(__xludf.DUMMYFUNCTION("""COMPUTED_VALUE"""),22.0)</f>
        <v>22</v>
      </c>
      <c r="H61" s="17">
        <f>IFERROR(__xludf.DUMMYFUNCTION("""COMPUTED_VALUE"""),0.257)</f>
        <v>0.257</v>
      </c>
      <c r="I61" s="17">
        <f>IFERROR(__xludf.DUMMYFUNCTION("""COMPUTED_VALUE"""),0.32)</f>
        <v>0.32</v>
      </c>
      <c r="J61" s="17">
        <f>IFERROR(__xludf.DUMMYFUNCTION("""COMPUTED_VALUE"""),113.0)</f>
        <v>113</v>
      </c>
      <c r="K61" s="17">
        <f>IFERROR(__xludf.DUMMYFUNCTION("""COMPUTED_VALUE"""),20.0)</f>
        <v>20</v>
      </c>
      <c r="L61" s="17">
        <f>IFERROR(__xludf.DUMMYFUNCTION("""COMPUTED_VALUE"""),2.0)</f>
        <v>2</v>
      </c>
      <c r="M61" s="17">
        <f>IFERROR(__xludf.DUMMYFUNCTION("""COMPUTED_VALUE"""),31.0)</f>
        <v>31</v>
      </c>
      <c r="N61" s="17">
        <f>IFERROR(__xludf.DUMMYFUNCTION("""COMPUTED_VALUE"""),122.0)</f>
        <v>122</v>
      </c>
      <c r="O61" s="17">
        <f>IFERROR(__xludf.DUMMYFUNCTION("""COMPUTED_VALUE"""),0.393)</f>
        <v>0.393</v>
      </c>
      <c r="P61" s="17">
        <f>IFERROR(__xludf.DUMMYFUNCTION("""COMPUTED_VALUE"""),0.714)</f>
        <v>0.714</v>
      </c>
      <c r="Q61" s="34">
        <f>IFERROR(__xludf.DUMMYFUNCTION("""COMPUTED_VALUE"""),0.64)</f>
        <v>0.64</v>
      </c>
      <c r="R61" s="34">
        <f>IFERROR(__xludf.DUMMYFUNCTION("""COMPUTED_VALUE"""),0.83)</f>
        <v>0.83</v>
      </c>
      <c r="S61" s="34">
        <f>IFERROR(__xludf.DUMMYFUNCTION("""COMPUTED_VALUE"""),0.45)</f>
        <v>0.45</v>
      </c>
      <c r="T61" s="17" t="str">
        <f t="shared" si="1"/>
        <v>Konnor Griffin</v>
      </c>
    </row>
    <row r="62">
      <c r="A62" s="17">
        <f>IFERROR(__xludf.DUMMYFUNCTION("""COMPUTED_VALUE"""),61.0)</f>
        <v>61</v>
      </c>
      <c r="B62" s="17" t="str">
        <f>IFERROR(__xludf.DUMMYFUNCTION("""COMPUTED_VALUE"""),"Tyler Soderstrom (ATH - 1B,LF)")</f>
        <v>Tyler Soderstrom (ATH - 1B,LF)</v>
      </c>
      <c r="C62" s="17">
        <f>IFERROR(__xludf.DUMMYFUNCTION("""COMPUTED_VALUE"""),435.0)</f>
        <v>435</v>
      </c>
      <c r="D62" s="17">
        <f>IFERROR(__xludf.DUMMYFUNCTION("""COMPUTED_VALUE"""),62.0)</f>
        <v>62</v>
      </c>
      <c r="E62" s="17">
        <f>IFERROR(__xludf.DUMMYFUNCTION("""COMPUTED_VALUE"""),21.0)</f>
        <v>21</v>
      </c>
      <c r="F62" s="17">
        <f>IFERROR(__xludf.DUMMYFUNCTION("""COMPUTED_VALUE"""),70.0)</f>
        <v>70</v>
      </c>
      <c r="G62" s="17">
        <f>IFERROR(__xludf.DUMMYFUNCTION("""COMPUTED_VALUE"""),4.0)</f>
        <v>4</v>
      </c>
      <c r="H62" s="17">
        <f>IFERROR(__xludf.DUMMYFUNCTION("""COMPUTED_VALUE"""),0.256)</f>
        <v>0.256</v>
      </c>
      <c r="I62" s="17">
        <f>IFERROR(__xludf.DUMMYFUNCTION("""COMPUTED_VALUE"""),0.331)</f>
        <v>0.331</v>
      </c>
      <c r="J62" s="17">
        <f>IFERROR(__xludf.DUMMYFUNCTION("""COMPUTED_VALUE"""),111.0)</f>
        <v>111</v>
      </c>
      <c r="K62" s="17">
        <f>IFERROR(__xludf.DUMMYFUNCTION("""COMPUTED_VALUE"""),24.0)</f>
        <v>24</v>
      </c>
      <c r="L62" s="17">
        <f>IFERROR(__xludf.DUMMYFUNCTION("""COMPUTED_VALUE"""),2.0)</f>
        <v>2</v>
      </c>
      <c r="M62" s="17">
        <f>IFERROR(__xludf.DUMMYFUNCTION("""COMPUTED_VALUE"""),44.0)</f>
        <v>44</v>
      </c>
      <c r="N62" s="17">
        <f>IFERROR(__xludf.DUMMYFUNCTION("""COMPUTED_VALUE"""),109.0)</f>
        <v>109</v>
      </c>
      <c r="O62" s="17">
        <f>IFERROR(__xludf.DUMMYFUNCTION("""COMPUTED_VALUE"""),0.461)</f>
        <v>0.461</v>
      </c>
      <c r="P62" s="17">
        <f>IFERROR(__xludf.DUMMYFUNCTION("""COMPUTED_VALUE"""),0.792)</f>
        <v>0.792</v>
      </c>
      <c r="Q62" s="34">
        <f>IFERROR(__xludf.DUMMYFUNCTION("""COMPUTED_VALUE"""),0.83)</f>
        <v>0.83</v>
      </c>
      <c r="R62" s="34">
        <f>IFERROR(__xludf.DUMMYFUNCTION("""COMPUTED_VALUE"""),0.94)</f>
        <v>0.94</v>
      </c>
      <c r="S62" s="34">
        <f>IFERROR(__xludf.DUMMYFUNCTION("""COMPUTED_VALUE"""),0.73)</f>
        <v>0.73</v>
      </c>
      <c r="T62" s="17" t="str">
        <f t="shared" si="1"/>
        <v>Tyler Soderstrom</v>
      </c>
    </row>
    <row r="63">
      <c r="A63" s="17">
        <f>IFERROR(__xludf.DUMMYFUNCTION("""COMPUTED_VALUE"""),62.0)</f>
        <v>62</v>
      </c>
      <c r="B63" s="17" t="str">
        <f>IFERROR(__xludf.DUMMYFUNCTION("""COMPUTED_VALUE"""),"William Contreras (MIL - C,DH)")</f>
        <v>William Contreras (MIL - C,DH)</v>
      </c>
      <c r="C63" s="17">
        <f>IFERROR(__xludf.DUMMYFUNCTION("""COMPUTED_VALUE"""),441.0)</f>
        <v>441</v>
      </c>
      <c r="D63" s="17">
        <f>IFERROR(__xludf.DUMMYFUNCTION("""COMPUTED_VALUE"""),66.0)</f>
        <v>66</v>
      </c>
      <c r="E63" s="17">
        <f>IFERROR(__xludf.DUMMYFUNCTION("""COMPUTED_VALUE"""),16.0)</f>
        <v>16</v>
      </c>
      <c r="F63" s="17">
        <f>IFERROR(__xludf.DUMMYFUNCTION("""COMPUTED_VALUE"""),64.0)</f>
        <v>64</v>
      </c>
      <c r="G63" s="17">
        <f>IFERROR(__xludf.DUMMYFUNCTION("""COMPUTED_VALUE"""),4.0)</f>
        <v>4</v>
      </c>
      <c r="H63" s="17">
        <f>IFERROR(__xludf.DUMMYFUNCTION("""COMPUTED_VALUE"""),0.27)</f>
        <v>0.27</v>
      </c>
      <c r="I63" s="17">
        <f>IFERROR(__xludf.DUMMYFUNCTION("""COMPUTED_VALUE"""),0.362)</f>
        <v>0.362</v>
      </c>
      <c r="J63" s="17">
        <f>IFERROR(__xludf.DUMMYFUNCTION("""COMPUTED_VALUE"""),119.0)</f>
        <v>119</v>
      </c>
      <c r="K63" s="17">
        <f>IFERROR(__xludf.DUMMYFUNCTION("""COMPUTED_VALUE"""),24.0)</f>
        <v>24</v>
      </c>
      <c r="L63" s="17">
        <f>IFERROR(__xludf.DUMMYFUNCTION("""COMPUTED_VALUE"""),1.0)</f>
        <v>1</v>
      </c>
      <c r="M63" s="17">
        <f>IFERROR(__xludf.DUMMYFUNCTION("""COMPUTED_VALUE"""),60.0)</f>
        <v>60</v>
      </c>
      <c r="N63" s="17">
        <f>IFERROR(__xludf.DUMMYFUNCTION("""COMPUTED_VALUE"""),92.0)</f>
        <v>92</v>
      </c>
      <c r="O63" s="17">
        <f>IFERROR(__xludf.DUMMYFUNCTION("""COMPUTED_VALUE"""),0.437)</f>
        <v>0.437</v>
      </c>
      <c r="P63" s="17">
        <f>IFERROR(__xludf.DUMMYFUNCTION("""COMPUTED_VALUE"""),0.799)</f>
        <v>0.799</v>
      </c>
      <c r="Q63" s="34">
        <f>IFERROR(__xludf.DUMMYFUNCTION("""COMPUTED_VALUE"""),0.98)</f>
        <v>0.98</v>
      </c>
      <c r="R63" s="34">
        <f>IFERROR(__xludf.DUMMYFUNCTION("""COMPUTED_VALUE"""),0.98)</f>
        <v>0.98</v>
      </c>
      <c r="S63" s="34">
        <f>IFERROR(__xludf.DUMMYFUNCTION("""COMPUTED_VALUE"""),0.98)</f>
        <v>0.98</v>
      </c>
      <c r="T63" s="17" t="str">
        <f t="shared" si="1"/>
        <v>William Contreras</v>
      </c>
    </row>
    <row r="64">
      <c r="A64" s="17">
        <f>IFERROR(__xludf.DUMMYFUNCTION("""COMPUTED_VALUE"""),63.0)</f>
        <v>63</v>
      </c>
      <c r="B64" s="17" t="str">
        <f>IFERROR(__xludf.DUMMYFUNCTION("""COMPUTED_VALUE"""),"Trevor Story (BOS - SS)")</f>
        <v>Trevor Story (BOS - SS)</v>
      </c>
      <c r="C64" s="17">
        <f>IFERROR(__xludf.DUMMYFUNCTION("""COMPUTED_VALUE"""),484.0)</f>
        <v>484</v>
      </c>
      <c r="D64" s="17">
        <f>IFERROR(__xludf.DUMMYFUNCTION("""COMPUTED_VALUE"""),62.0)</f>
        <v>62</v>
      </c>
      <c r="E64" s="17">
        <f>IFERROR(__xludf.DUMMYFUNCTION("""COMPUTED_VALUE"""),17.0)</f>
        <v>17</v>
      </c>
      <c r="F64" s="17">
        <f>IFERROR(__xludf.DUMMYFUNCTION("""COMPUTED_VALUE"""),65.0)</f>
        <v>65</v>
      </c>
      <c r="G64" s="17">
        <f>IFERROR(__xludf.DUMMYFUNCTION("""COMPUTED_VALUE"""),18.0)</f>
        <v>18</v>
      </c>
      <c r="H64" s="17">
        <f>IFERROR(__xludf.DUMMYFUNCTION("""COMPUTED_VALUE"""),0.245)</f>
        <v>0.245</v>
      </c>
      <c r="I64" s="17">
        <f>IFERROR(__xludf.DUMMYFUNCTION("""COMPUTED_VALUE"""),0.297)</f>
        <v>0.297</v>
      </c>
      <c r="J64" s="17">
        <f>IFERROR(__xludf.DUMMYFUNCTION("""COMPUTED_VALUE"""),118.0)</f>
        <v>118</v>
      </c>
      <c r="K64" s="17">
        <f>IFERROR(__xludf.DUMMYFUNCTION("""COMPUTED_VALUE"""),25.0)</f>
        <v>25</v>
      </c>
      <c r="L64" s="17">
        <f>IFERROR(__xludf.DUMMYFUNCTION("""COMPUTED_VALUE"""),2.0)</f>
        <v>2</v>
      </c>
      <c r="M64" s="17">
        <f>IFERROR(__xludf.DUMMYFUNCTION("""COMPUTED_VALUE"""),31.0)</f>
        <v>31</v>
      </c>
      <c r="N64" s="17">
        <f>IFERROR(__xludf.DUMMYFUNCTION("""COMPUTED_VALUE"""),145.0)</f>
        <v>145</v>
      </c>
      <c r="O64" s="17">
        <f>IFERROR(__xludf.DUMMYFUNCTION("""COMPUTED_VALUE"""),0.406)</f>
        <v>0.406</v>
      </c>
      <c r="P64" s="17">
        <f>IFERROR(__xludf.DUMMYFUNCTION("""COMPUTED_VALUE"""),0.703)</f>
        <v>0.703</v>
      </c>
      <c r="Q64" s="34">
        <f>IFERROR(__xludf.DUMMYFUNCTION("""COMPUTED_VALUE"""),0.47)</f>
        <v>0.47</v>
      </c>
      <c r="R64" s="34">
        <f>IFERROR(__xludf.DUMMYFUNCTION("""COMPUTED_VALUE"""),0.74)</f>
        <v>0.74</v>
      </c>
      <c r="S64" s="34">
        <f>IFERROR(__xludf.DUMMYFUNCTION("""COMPUTED_VALUE"""),0.2)</f>
        <v>0.2</v>
      </c>
      <c r="T64" s="17" t="str">
        <f t="shared" si="1"/>
        <v>Trevor Story</v>
      </c>
    </row>
    <row r="65">
      <c r="A65" s="17">
        <f>IFERROR(__xludf.DUMMYFUNCTION("""COMPUTED_VALUE"""),64.0)</f>
        <v>64</v>
      </c>
      <c r="B65" s="17" t="str">
        <f>IFERROR(__xludf.DUMMYFUNCTION("""COMPUTED_VALUE"""),"George Springer (TOR - LF,CF,RF,DH)")</f>
        <v>George Springer (TOR - LF,CF,RF,DH)</v>
      </c>
      <c r="C65" s="17">
        <f>IFERROR(__xludf.DUMMYFUNCTION("""COMPUTED_VALUE"""),417.0)</f>
        <v>417</v>
      </c>
      <c r="D65" s="17">
        <f>IFERROR(__xludf.DUMMYFUNCTION("""COMPUTED_VALUE"""),67.0)</f>
        <v>67</v>
      </c>
      <c r="E65" s="17">
        <f>IFERROR(__xludf.DUMMYFUNCTION("""COMPUTED_VALUE"""),19.0)</f>
        <v>19</v>
      </c>
      <c r="F65" s="17">
        <f>IFERROR(__xludf.DUMMYFUNCTION("""COMPUTED_VALUE"""),59.0)</f>
        <v>59</v>
      </c>
      <c r="G65" s="17">
        <f>IFERROR(__xludf.DUMMYFUNCTION("""COMPUTED_VALUE"""),10.0)</f>
        <v>10</v>
      </c>
      <c r="H65" s="17">
        <f>IFERROR(__xludf.DUMMYFUNCTION("""COMPUTED_VALUE"""),0.255)</f>
        <v>0.255</v>
      </c>
      <c r="I65" s="17">
        <f>IFERROR(__xludf.DUMMYFUNCTION("""COMPUTED_VALUE"""),0.341)</f>
        <v>0.341</v>
      </c>
      <c r="J65" s="17">
        <f>IFERROR(__xludf.DUMMYFUNCTION("""COMPUTED_VALUE"""),106.0)</f>
        <v>106</v>
      </c>
      <c r="K65" s="17">
        <f>IFERROR(__xludf.DUMMYFUNCTION("""COMPUTED_VALUE"""),19.0)</f>
        <v>19</v>
      </c>
      <c r="L65" s="17">
        <f>IFERROR(__xludf.DUMMYFUNCTION("""COMPUTED_VALUE"""),1.0)</f>
        <v>1</v>
      </c>
      <c r="M65" s="17">
        <f>IFERROR(__xludf.DUMMYFUNCTION("""COMPUTED_VALUE"""),51.0)</f>
        <v>51</v>
      </c>
      <c r="N65" s="17">
        <f>IFERROR(__xludf.DUMMYFUNCTION("""COMPUTED_VALUE"""),93.0)</f>
        <v>93</v>
      </c>
      <c r="O65" s="17">
        <f>IFERROR(__xludf.DUMMYFUNCTION("""COMPUTED_VALUE"""),0.445)</f>
        <v>0.445</v>
      </c>
      <c r="P65" s="17">
        <f>IFERROR(__xludf.DUMMYFUNCTION("""COMPUTED_VALUE"""),0.787)</f>
        <v>0.787</v>
      </c>
      <c r="Q65" s="34">
        <f>IFERROR(__xludf.DUMMYFUNCTION("""COMPUTED_VALUE"""),0.87)</f>
        <v>0.87</v>
      </c>
      <c r="R65" s="34">
        <f>IFERROR(__xludf.DUMMYFUNCTION("""COMPUTED_VALUE"""),0.92)</f>
        <v>0.92</v>
      </c>
      <c r="S65" s="34">
        <f>IFERROR(__xludf.DUMMYFUNCTION("""COMPUTED_VALUE"""),0.81)</f>
        <v>0.81</v>
      </c>
      <c r="T65" s="17" t="str">
        <f t="shared" si="1"/>
        <v>George Springer</v>
      </c>
    </row>
    <row r="66">
      <c r="A66" s="17">
        <f>IFERROR(__xludf.DUMMYFUNCTION("""COMPUTED_VALUE"""),65.0)</f>
        <v>65</v>
      </c>
      <c r="B66" s="17" t="str">
        <f>IFERROR(__xludf.DUMMYFUNCTION("""COMPUTED_VALUE"""),"Hunter Goodman (COL - C,DH)")</f>
        <v>Hunter Goodman (COL - C,DH)</v>
      </c>
      <c r="C66" s="17">
        <f>IFERROR(__xludf.DUMMYFUNCTION("""COMPUTED_VALUE"""),425.0)</f>
        <v>425</v>
      </c>
      <c r="D66" s="17">
        <f>IFERROR(__xludf.DUMMYFUNCTION("""COMPUTED_VALUE"""),60.0)</f>
        <v>60</v>
      </c>
      <c r="E66" s="17">
        <f>IFERROR(__xludf.DUMMYFUNCTION("""COMPUTED_VALUE"""),24.0)</f>
        <v>24</v>
      </c>
      <c r="F66" s="17">
        <f>IFERROR(__xludf.DUMMYFUNCTION("""COMPUTED_VALUE"""),71.0)</f>
        <v>71</v>
      </c>
      <c r="G66" s="17">
        <f>IFERROR(__xludf.DUMMYFUNCTION("""COMPUTED_VALUE"""),2.0)</f>
        <v>2</v>
      </c>
      <c r="H66" s="17">
        <f>IFERROR(__xludf.DUMMYFUNCTION("""COMPUTED_VALUE"""),0.252)</f>
        <v>0.252</v>
      </c>
      <c r="I66" s="17">
        <f>IFERROR(__xludf.DUMMYFUNCTION("""COMPUTED_VALUE"""),0.308)</f>
        <v>0.308</v>
      </c>
      <c r="J66" s="17">
        <f>IFERROR(__xludf.DUMMYFUNCTION("""COMPUTED_VALUE"""),107.0)</f>
        <v>107</v>
      </c>
      <c r="K66" s="17">
        <f>IFERROR(__xludf.DUMMYFUNCTION("""COMPUTED_VALUE"""),23.0)</f>
        <v>23</v>
      </c>
      <c r="L66" s="17">
        <f>IFERROR(__xludf.DUMMYFUNCTION("""COMPUTED_VALUE"""),2.0)</f>
        <v>2</v>
      </c>
      <c r="M66" s="17">
        <f>IFERROR(__xludf.DUMMYFUNCTION("""COMPUTED_VALUE"""),30.0)</f>
        <v>30</v>
      </c>
      <c r="N66" s="17">
        <f>IFERROR(__xludf.DUMMYFUNCTION("""COMPUTED_VALUE"""),125.0)</f>
        <v>125</v>
      </c>
      <c r="O66" s="17">
        <f>IFERROR(__xludf.DUMMYFUNCTION("""COMPUTED_VALUE"""),0.483)</f>
        <v>0.483</v>
      </c>
      <c r="P66" s="17">
        <f>IFERROR(__xludf.DUMMYFUNCTION("""COMPUTED_VALUE"""),0.79)</f>
        <v>0.79</v>
      </c>
      <c r="Q66" s="34">
        <f>IFERROR(__xludf.DUMMYFUNCTION("""COMPUTED_VALUE"""),0.85)</f>
        <v>0.85</v>
      </c>
      <c r="R66" s="34">
        <f>IFERROR(__xludf.DUMMYFUNCTION("""COMPUTED_VALUE"""),0.97)</f>
        <v>0.97</v>
      </c>
      <c r="S66" s="34">
        <f>IFERROR(__xludf.DUMMYFUNCTION("""COMPUTED_VALUE"""),0.73)</f>
        <v>0.73</v>
      </c>
      <c r="T66" s="17" t="str">
        <f t="shared" si="1"/>
        <v>Hunter Goodman</v>
      </c>
    </row>
    <row r="67">
      <c r="A67" s="17">
        <f>IFERROR(__xludf.DUMMYFUNCTION("""COMPUTED_VALUE"""),66.0)</f>
        <v>66</v>
      </c>
      <c r="B67" s="17" t="str">
        <f>IFERROR(__xludf.DUMMYFUNCTION("""COMPUTED_VALUE"""),"Vinnie Pasquantino (KC - 1B,DH)")</f>
        <v>Vinnie Pasquantino (KC - 1B,DH)</v>
      </c>
      <c r="C67" s="17">
        <f>IFERROR(__xludf.DUMMYFUNCTION("""COMPUTED_VALUE"""),456.0)</f>
        <v>456</v>
      </c>
      <c r="D67" s="17">
        <f>IFERROR(__xludf.DUMMYFUNCTION("""COMPUTED_VALUE"""),61.0)</f>
        <v>61</v>
      </c>
      <c r="E67" s="17">
        <f>IFERROR(__xludf.DUMMYFUNCTION("""COMPUTED_VALUE"""),21.0)</f>
        <v>21</v>
      </c>
      <c r="F67" s="17">
        <f>IFERROR(__xludf.DUMMYFUNCTION("""COMPUTED_VALUE"""),74.0)</f>
        <v>74</v>
      </c>
      <c r="G67" s="17">
        <f>IFERROR(__xludf.DUMMYFUNCTION("""COMPUTED_VALUE"""),1.0)</f>
        <v>1</v>
      </c>
      <c r="H67" s="17">
        <f>IFERROR(__xludf.DUMMYFUNCTION("""COMPUTED_VALUE"""),0.255)</f>
        <v>0.255</v>
      </c>
      <c r="I67" s="17">
        <f>IFERROR(__xludf.DUMMYFUNCTION("""COMPUTED_VALUE"""),0.33)</f>
        <v>0.33</v>
      </c>
      <c r="J67" s="17">
        <f>IFERROR(__xludf.DUMMYFUNCTION("""COMPUTED_VALUE"""),116.0)</f>
        <v>116</v>
      </c>
      <c r="K67" s="17">
        <f>IFERROR(__xludf.DUMMYFUNCTION("""COMPUTED_VALUE"""),24.0)</f>
        <v>24</v>
      </c>
      <c r="L67" s="17">
        <f>IFERROR(__xludf.DUMMYFUNCTION("""COMPUTED_VALUE"""),2.0)</f>
        <v>2</v>
      </c>
      <c r="M67" s="17">
        <f>IFERROR(__xludf.DUMMYFUNCTION("""COMPUTED_VALUE"""),47.0)</f>
        <v>47</v>
      </c>
      <c r="N67" s="17">
        <f>IFERROR(__xludf.DUMMYFUNCTION("""COMPUTED_VALUE"""),78.0)</f>
        <v>78</v>
      </c>
      <c r="O67" s="17">
        <f>IFERROR(__xludf.DUMMYFUNCTION("""COMPUTED_VALUE"""),0.454)</f>
        <v>0.454</v>
      </c>
      <c r="P67" s="17">
        <f>IFERROR(__xludf.DUMMYFUNCTION("""COMPUTED_VALUE"""),0.784)</f>
        <v>0.784</v>
      </c>
      <c r="Q67" s="34">
        <f>IFERROR(__xludf.DUMMYFUNCTION("""COMPUTED_VALUE"""),0.76)</f>
        <v>0.76</v>
      </c>
      <c r="R67" s="34">
        <f>IFERROR(__xludf.DUMMYFUNCTION("""COMPUTED_VALUE"""),0.86)</f>
        <v>0.86</v>
      </c>
      <c r="S67" s="34">
        <f>IFERROR(__xludf.DUMMYFUNCTION("""COMPUTED_VALUE"""),0.67)</f>
        <v>0.67</v>
      </c>
      <c r="T67" s="17" t="str">
        <f t="shared" si="1"/>
        <v>Vinnie Pasquantino</v>
      </c>
    </row>
    <row r="68">
      <c r="A68" s="17">
        <f>IFERROR(__xludf.DUMMYFUNCTION("""COMPUTED_VALUE"""),67.0)</f>
        <v>67</v>
      </c>
      <c r="B68" s="17" t="str">
        <f>IFERROR(__xludf.DUMMYFUNCTION("""COMPUTED_VALUE"""),"Alec Burleson (STL - 1B,LF,RF,DH)")</f>
        <v>Alec Burleson (STL - 1B,LF,RF,DH)</v>
      </c>
      <c r="C68" s="17">
        <f>IFERROR(__xludf.DUMMYFUNCTION("""COMPUTED_VALUE"""),448.0)</f>
        <v>448</v>
      </c>
      <c r="D68" s="17">
        <f>IFERROR(__xludf.DUMMYFUNCTION("""COMPUTED_VALUE"""),58.0)</f>
        <v>58</v>
      </c>
      <c r="E68" s="17">
        <f>IFERROR(__xludf.DUMMYFUNCTION("""COMPUTED_VALUE"""),17.0)</f>
        <v>17</v>
      </c>
      <c r="F68" s="17">
        <f>IFERROR(__xludf.DUMMYFUNCTION("""COMPUTED_VALUE"""),65.0)</f>
        <v>65</v>
      </c>
      <c r="G68" s="17">
        <f>IFERROR(__xludf.DUMMYFUNCTION("""COMPUTED_VALUE"""),5.0)</f>
        <v>5</v>
      </c>
      <c r="H68" s="17">
        <f>IFERROR(__xludf.DUMMYFUNCTION("""COMPUTED_VALUE"""),0.272)</f>
        <v>0.272</v>
      </c>
      <c r="I68" s="17">
        <f>IFERROR(__xludf.DUMMYFUNCTION("""COMPUTED_VALUE"""),0.331)</f>
        <v>0.331</v>
      </c>
      <c r="J68" s="17">
        <f>IFERROR(__xludf.DUMMYFUNCTION("""COMPUTED_VALUE"""),122.0)</f>
        <v>122</v>
      </c>
      <c r="K68" s="17">
        <f>IFERROR(__xludf.DUMMYFUNCTION("""COMPUTED_VALUE"""),22.0)</f>
        <v>22</v>
      </c>
      <c r="L68" s="17">
        <f>IFERROR(__xludf.DUMMYFUNCTION("""COMPUTED_VALUE"""),1.0)</f>
        <v>1</v>
      </c>
      <c r="M68" s="17">
        <f>IFERROR(__xludf.DUMMYFUNCTION("""COMPUTED_VALUE"""),38.0)</f>
        <v>38</v>
      </c>
      <c r="N68" s="17">
        <f>IFERROR(__xludf.DUMMYFUNCTION("""COMPUTED_VALUE"""),69.0)</f>
        <v>69</v>
      </c>
      <c r="O68" s="17">
        <f>IFERROR(__xludf.DUMMYFUNCTION("""COMPUTED_VALUE"""),0.441)</f>
        <v>0.441</v>
      </c>
      <c r="P68" s="17">
        <f>IFERROR(__xludf.DUMMYFUNCTION("""COMPUTED_VALUE"""),0.772)</f>
        <v>0.772</v>
      </c>
      <c r="Q68" s="34">
        <f>IFERROR(__xludf.DUMMYFUNCTION("""COMPUTED_VALUE"""),0.88)</f>
        <v>0.88</v>
      </c>
      <c r="R68" s="34">
        <f>IFERROR(__xludf.DUMMYFUNCTION("""COMPUTED_VALUE"""),0.88)</f>
        <v>0.88</v>
      </c>
      <c r="S68" s="34">
        <f>IFERROR(__xludf.DUMMYFUNCTION("""COMPUTED_VALUE"""),0.87)</f>
        <v>0.87</v>
      </c>
      <c r="T68" s="17" t="str">
        <f t="shared" si="1"/>
        <v>Alec Burleson</v>
      </c>
    </row>
    <row r="69">
      <c r="A69" s="17">
        <f>IFERROR(__xludf.DUMMYFUNCTION("""COMPUTED_VALUE"""),68.0)</f>
        <v>68</v>
      </c>
      <c r="B69" s="17" t="str">
        <f>IFERROR(__xludf.DUMMYFUNCTION("""COMPUTED_VALUE"""),"Jo Adell (LAA - LF,CF,RF)")</f>
        <v>Jo Adell (LAA - LF,CF,RF)</v>
      </c>
      <c r="C69" s="17">
        <f>IFERROR(__xludf.DUMMYFUNCTION("""COMPUTED_VALUE"""),441.0)</f>
        <v>441</v>
      </c>
      <c r="D69" s="17">
        <f>IFERROR(__xludf.DUMMYFUNCTION("""COMPUTED_VALUE"""),59.0)</f>
        <v>59</v>
      </c>
      <c r="E69" s="17">
        <f>IFERROR(__xludf.DUMMYFUNCTION("""COMPUTED_VALUE"""),25.0)</f>
        <v>25</v>
      </c>
      <c r="F69" s="17">
        <f>IFERROR(__xludf.DUMMYFUNCTION("""COMPUTED_VALUE"""),72.0)</f>
        <v>72</v>
      </c>
      <c r="G69" s="17">
        <f>IFERROR(__xludf.DUMMYFUNCTION("""COMPUTED_VALUE"""),7.0)</f>
        <v>7</v>
      </c>
      <c r="H69" s="17">
        <f>IFERROR(__xludf.DUMMYFUNCTION("""COMPUTED_VALUE"""),0.237)</f>
        <v>0.237</v>
      </c>
      <c r="I69" s="17">
        <f>IFERROR(__xludf.DUMMYFUNCTION("""COMPUTED_VALUE"""),0.3)</f>
        <v>0.3</v>
      </c>
      <c r="J69" s="17">
        <f>IFERROR(__xludf.DUMMYFUNCTION("""COMPUTED_VALUE"""),104.0)</f>
        <v>104</v>
      </c>
      <c r="K69" s="17">
        <f>IFERROR(__xludf.DUMMYFUNCTION("""COMPUTED_VALUE"""),18.0)</f>
        <v>18</v>
      </c>
      <c r="L69" s="17">
        <f>IFERROR(__xludf.DUMMYFUNCTION("""COMPUTED_VALUE"""),1.0)</f>
        <v>1</v>
      </c>
      <c r="M69" s="17">
        <f>IFERROR(__xludf.DUMMYFUNCTION("""COMPUTED_VALUE"""),33.0)</f>
        <v>33</v>
      </c>
      <c r="N69" s="17">
        <f>IFERROR(__xludf.DUMMYFUNCTION("""COMPUTED_VALUE"""),127.0)</f>
        <v>127</v>
      </c>
      <c r="O69" s="17">
        <f>IFERROR(__xludf.DUMMYFUNCTION("""COMPUTED_VALUE"""),0.453)</f>
        <v>0.453</v>
      </c>
      <c r="P69" s="17">
        <f>IFERROR(__xludf.DUMMYFUNCTION("""COMPUTED_VALUE"""),0.753)</f>
        <v>0.753</v>
      </c>
      <c r="Q69" s="34">
        <f>IFERROR(__xludf.DUMMYFUNCTION("""COMPUTED_VALUE"""),0.66)</f>
        <v>0.66</v>
      </c>
      <c r="R69" s="34">
        <f>IFERROR(__xludf.DUMMYFUNCTION("""COMPUTED_VALUE"""),0.88)</f>
        <v>0.88</v>
      </c>
      <c r="S69" s="34">
        <f>IFERROR(__xludf.DUMMYFUNCTION("""COMPUTED_VALUE"""),0.44)</f>
        <v>0.44</v>
      </c>
      <c r="T69" s="17" t="str">
        <f t="shared" si="1"/>
        <v>Jo Adell</v>
      </c>
    </row>
    <row r="70">
      <c r="A70" s="17">
        <f>IFERROR(__xludf.DUMMYFUNCTION("""COMPUTED_VALUE"""),69.0)</f>
        <v>69</v>
      </c>
      <c r="B70" s="17" t="str">
        <f>IFERROR(__xludf.DUMMYFUNCTION("""COMPUTED_VALUE"""),"Brandon Nimmo (TEX - LF,CF,RF)")</f>
        <v>Brandon Nimmo (TEX - LF,CF,RF)</v>
      </c>
      <c r="C70" s="17">
        <f>IFERROR(__xludf.DUMMYFUNCTION("""COMPUTED_VALUE"""),455.0)</f>
        <v>455</v>
      </c>
      <c r="D70" s="17">
        <f>IFERROR(__xludf.DUMMYFUNCTION("""COMPUTED_VALUE"""),68.0)</f>
        <v>68</v>
      </c>
      <c r="E70" s="17">
        <f>IFERROR(__xludf.DUMMYFUNCTION("""COMPUTED_VALUE"""),18.0)</f>
        <v>18</v>
      </c>
      <c r="F70" s="17">
        <f>IFERROR(__xludf.DUMMYFUNCTION("""COMPUTED_VALUE"""),59.0)</f>
        <v>59</v>
      </c>
      <c r="G70" s="17">
        <f>IFERROR(__xludf.DUMMYFUNCTION("""COMPUTED_VALUE"""),7.0)</f>
        <v>7</v>
      </c>
      <c r="H70" s="17">
        <f>IFERROR(__xludf.DUMMYFUNCTION("""COMPUTED_VALUE"""),0.256)</f>
        <v>0.256</v>
      </c>
      <c r="I70" s="17">
        <f>IFERROR(__xludf.DUMMYFUNCTION("""COMPUTED_VALUE"""),0.339)</f>
        <v>0.339</v>
      </c>
      <c r="J70" s="17">
        <f>IFERROR(__xludf.DUMMYFUNCTION("""COMPUTED_VALUE"""),117.0)</f>
        <v>117</v>
      </c>
      <c r="K70" s="17">
        <f>IFERROR(__xludf.DUMMYFUNCTION("""COMPUTED_VALUE"""),21.0)</f>
        <v>21</v>
      </c>
      <c r="L70" s="17">
        <f>IFERROR(__xludf.DUMMYFUNCTION("""COMPUTED_VALUE"""),3.0)</f>
        <v>3</v>
      </c>
      <c r="M70" s="17">
        <f>IFERROR(__xludf.DUMMYFUNCTION("""COMPUTED_VALUE"""),51.0)</f>
        <v>51</v>
      </c>
      <c r="N70" s="17">
        <f>IFERROR(__xludf.DUMMYFUNCTION("""COMPUTED_VALUE"""),111.0)</f>
        <v>111</v>
      </c>
      <c r="O70" s="17">
        <f>IFERROR(__xludf.DUMMYFUNCTION("""COMPUTED_VALUE"""),0.431)</f>
        <v>0.431</v>
      </c>
      <c r="P70" s="17">
        <f>IFERROR(__xludf.DUMMYFUNCTION("""COMPUTED_VALUE"""),0.77)</f>
        <v>0.77</v>
      </c>
      <c r="Q70" s="34">
        <f>IFERROR(__xludf.DUMMYFUNCTION("""COMPUTED_VALUE"""),0.88)</f>
        <v>0.88</v>
      </c>
      <c r="R70" s="34">
        <f>IFERROR(__xludf.DUMMYFUNCTION("""COMPUTED_VALUE"""),0.91)</f>
        <v>0.91</v>
      </c>
      <c r="S70" s="34">
        <f>IFERROR(__xludf.DUMMYFUNCTION("""COMPUTED_VALUE"""),0.86)</f>
        <v>0.86</v>
      </c>
      <c r="T70" s="17" t="str">
        <f t="shared" si="1"/>
        <v>Brandon Nimmo</v>
      </c>
    </row>
    <row r="71">
      <c r="A71" s="17">
        <f>IFERROR(__xludf.DUMMYFUNCTION("""COMPUTED_VALUE"""),70.0)</f>
        <v>70</v>
      </c>
      <c r="B71" s="17" t="str">
        <f>IFERROR(__xludf.DUMMYFUNCTION("""COMPUTED_VALUE"""),"Dansby Swanson (CHC - SS)")</f>
        <v>Dansby Swanson (CHC - SS)</v>
      </c>
      <c r="C71" s="17">
        <f>IFERROR(__xludf.DUMMYFUNCTION("""COMPUTED_VALUE"""),478.0)</f>
        <v>478</v>
      </c>
      <c r="D71" s="17">
        <f>IFERROR(__xludf.DUMMYFUNCTION("""COMPUTED_VALUE"""),67.0)</f>
        <v>67</v>
      </c>
      <c r="E71" s="17">
        <f>IFERROR(__xludf.DUMMYFUNCTION("""COMPUTED_VALUE"""),18.0)</f>
        <v>18</v>
      </c>
      <c r="F71" s="17">
        <f>IFERROR(__xludf.DUMMYFUNCTION("""COMPUTED_VALUE"""),65.0)</f>
        <v>65</v>
      </c>
      <c r="G71" s="17">
        <f>IFERROR(__xludf.DUMMYFUNCTION("""COMPUTED_VALUE"""),12.0)</f>
        <v>12</v>
      </c>
      <c r="H71" s="17">
        <f>IFERROR(__xludf.DUMMYFUNCTION("""COMPUTED_VALUE"""),0.24)</f>
        <v>0.24</v>
      </c>
      <c r="I71" s="17">
        <f>IFERROR(__xludf.DUMMYFUNCTION("""COMPUTED_VALUE"""),0.314)</f>
        <v>0.314</v>
      </c>
      <c r="J71" s="17">
        <f>IFERROR(__xludf.DUMMYFUNCTION("""COMPUTED_VALUE"""),115.0)</f>
        <v>115</v>
      </c>
      <c r="K71" s="17">
        <f>IFERROR(__xludf.DUMMYFUNCTION("""COMPUTED_VALUE"""),21.0)</f>
        <v>21</v>
      </c>
      <c r="L71" s="17">
        <f>IFERROR(__xludf.DUMMYFUNCTION("""COMPUTED_VALUE"""),2.0)</f>
        <v>2</v>
      </c>
      <c r="M71" s="17">
        <f>IFERROR(__xludf.DUMMYFUNCTION("""COMPUTED_VALUE"""),49.0)</f>
        <v>49</v>
      </c>
      <c r="N71" s="17">
        <f>IFERROR(__xludf.DUMMYFUNCTION("""COMPUTED_VALUE"""),133.0)</f>
        <v>133</v>
      </c>
      <c r="O71" s="17">
        <f>IFERROR(__xludf.DUMMYFUNCTION("""COMPUTED_VALUE"""),0.406)</f>
        <v>0.406</v>
      </c>
      <c r="P71" s="17">
        <f>IFERROR(__xludf.DUMMYFUNCTION("""COMPUTED_VALUE"""),0.72)</f>
        <v>0.72</v>
      </c>
      <c r="Q71" s="34">
        <f>IFERROR(__xludf.DUMMYFUNCTION("""COMPUTED_VALUE"""),0.65)</f>
        <v>0.65</v>
      </c>
      <c r="R71" s="34">
        <f>IFERROR(__xludf.DUMMYFUNCTION("""COMPUTED_VALUE"""),0.86)</f>
        <v>0.86</v>
      </c>
      <c r="S71" s="34">
        <f>IFERROR(__xludf.DUMMYFUNCTION("""COMPUTED_VALUE"""),0.43)</f>
        <v>0.43</v>
      </c>
      <c r="T71" s="17" t="str">
        <f t="shared" si="1"/>
        <v>Dansby Swanson</v>
      </c>
    </row>
    <row r="72">
      <c r="A72" s="17">
        <f>IFERROR(__xludf.DUMMYFUNCTION("""COMPUTED_VALUE"""),71.0)</f>
        <v>71</v>
      </c>
      <c r="B72" s="17" t="str">
        <f>IFERROR(__xludf.DUMMYFUNCTION("""COMPUTED_VALUE"""),"Jose Altuve (HOU - 2B,LF,DH)")</f>
        <v>Jose Altuve (HOU - 2B,LF,DH)</v>
      </c>
      <c r="C72" s="17">
        <f>IFERROR(__xludf.DUMMYFUNCTION("""COMPUTED_VALUE"""),447.0)</f>
        <v>447</v>
      </c>
      <c r="D72" s="17">
        <f>IFERROR(__xludf.DUMMYFUNCTION("""COMPUTED_VALUE"""),64.0)</f>
        <v>64</v>
      </c>
      <c r="E72" s="17">
        <f>IFERROR(__xludf.DUMMYFUNCTION("""COMPUTED_VALUE"""),16.0)</f>
        <v>16</v>
      </c>
      <c r="F72" s="17">
        <f>IFERROR(__xludf.DUMMYFUNCTION("""COMPUTED_VALUE"""),58.0)</f>
        <v>58</v>
      </c>
      <c r="G72" s="17">
        <f>IFERROR(__xludf.DUMMYFUNCTION("""COMPUTED_VALUE"""),10.0)</f>
        <v>10</v>
      </c>
      <c r="H72" s="17">
        <f>IFERROR(__xludf.DUMMYFUNCTION("""COMPUTED_VALUE"""),0.261)</f>
        <v>0.261</v>
      </c>
      <c r="I72" s="17">
        <f>IFERROR(__xludf.DUMMYFUNCTION("""COMPUTED_VALUE"""),0.336)</f>
        <v>0.336</v>
      </c>
      <c r="J72" s="17">
        <f>IFERROR(__xludf.DUMMYFUNCTION("""COMPUTED_VALUE"""),117.0)</f>
        <v>117</v>
      </c>
      <c r="K72" s="17">
        <f>IFERROR(__xludf.DUMMYFUNCTION("""COMPUTED_VALUE"""),22.0)</f>
        <v>22</v>
      </c>
      <c r="L72" s="17">
        <f>IFERROR(__xludf.DUMMYFUNCTION("""COMPUTED_VALUE"""),1.0)</f>
        <v>1</v>
      </c>
      <c r="M72" s="17">
        <f>IFERROR(__xludf.DUMMYFUNCTION("""COMPUTED_VALUE"""),46.0)</f>
        <v>46</v>
      </c>
      <c r="N72" s="17">
        <f>IFERROR(__xludf.DUMMYFUNCTION("""COMPUTED_VALUE"""),87.0)</f>
        <v>87</v>
      </c>
      <c r="O72" s="17">
        <f>IFERROR(__xludf.DUMMYFUNCTION("""COMPUTED_VALUE"""),0.424)</f>
        <v>0.424</v>
      </c>
      <c r="P72" s="17">
        <f>IFERROR(__xludf.DUMMYFUNCTION("""COMPUTED_VALUE"""),0.76)</f>
        <v>0.76</v>
      </c>
      <c r="Q72" s="34">
        <f>IFERROR(__xludf.DUMMYFUNCTION("""COMPUTED_VALUE"""),0.96)</f>
        <v>0.96</v>
      </c>
      <c r="R72" s="34">
        <f>IFERROR(__xludf.DUMMYFUNCTION("""COMPUTED_VALUE"""),0.96)</f>
        <v>0.96</v>
      </c>
      <c r="S72" s="34">
        <f>IFERROR(__xludf.DUMMYFUNCTION("""COMPUTED_VALUE"""),0.96)</f>
        <v>0.96</v>
      </c>
      <c r="T72" s="17" t="str">
        <f t="shared" si="1"/>
        <v>Jose Altuve</v>
      </c>
    </row>
    <row r="73">
      <c r="A73" s="17">
        <f>IFERROR(__xludf.DUMMYFUNCTION("""COMPUTED_VALUE"""),72.0)</f>
        <v>72</v>
      </c>
      <c r="B73" s="17" t="str">
        <f>IFERROR(__xludf.DUMMYFUNCTION("""COMPUTED_VALUE"""),"Willson Contreras (BOS - 1B)")</f>
        <v>Willson Contreras (BOS - 1B)</v>
      </c>
      <c r="C73" s="17">
        <f>IFERROR(__xludf.DUMMYFUNCTION("""COMPUTED_VALUE"""),427.0)</f>
        <v>427</v>
      </c>
      <c r="D73" s="17">
        <f>IFERROR(__xludf.DUMMYFUNCTION("""COMPUTED_VALUE"""),64.0)</f>
        <v>64</v>
      </c>
      <c r="E73" s="17">
        <f>IFERROR(__xludf.DUMMYFUNCTION("""COMPUTED_VALUE"""),20.0)</f>
        <v>20</v>
      </c>
      <c r="F73" s="17">
        <f>IFERROR(__xludf.DUMMYFUNCTION("""COMPUTED_VALUE"""),67.0)</f>
        <v>67</v>
      </c>
      <c r="G73" s="17">
        <f>IFERROR(__xludf.DUMMYFUNCTION("""COMPUTED_VALUE"""),4.0)</f>
        <v>4</v>
      </c>
      <c r="H73" s="17">
        <f>IFERROR(__xludf.DUMMYFUNCTION("""COMPUTED_VALUE"""),0.251)</f>
        <v>0.251</v>
      </c>
      <c r="I73" s="17">
        <f>IFERROR(__xludf.DUMMYFUNCTION("""COMPUTED_VALUE"""),0.347)</f>
        <v>0.347</v>
      </c>
      <c r="J73" s="17">
        <f>IFERROR(__xludf.DUMMYFUNCTION("""COMPUTED_VALUE"""),107.0)</f>
        <v>107</v>
      </c>
      <c r="K73" s="17">
        <f>IFERROR(__xludf.DUMMYFUNCTION("""COMPUTED_VALUE"""),22.0)</f>
        <v>22</v>
      </c>
      <c r="L73" s="17">
        <f>IFERROR(__xludf.DUMMYFUNCTION("""COMPUTED_VALUE"""),1.0)</f>
        <v>1</v>
      </c>
      <c r="M73" s="17">
        <f>IFERROR(__xludf.DUMMYFUNCTION("""COMPUTED_VALUE"""),49.0)</f>
        <v>49</v>
      </c>
      <c r="N73" s="17">
        <f>IFERROR(__xludf.DUMMYFUNCTION("""COMPUTED_VALUE"""),127.0)</f>
        <v>127</v>
      </c>
      <c r="O73" s="17">
        <f>IFERROR(__xludf.DUMMYFUNCTION("""COMPUTED_VALUE"""),0.447)</f>
        <v>0.447</v>
      </c>
      <c r="P73" s="17">
        <f>IFERROR(__xludf.DUMMYFUNCTION("""COMPUTED_VALUE"""),0.794)</f>
        <v>0.794</v>
      </c>
      <c r="Q73" s="34">
        <f>IFERROR(__xludf.DUMMYFUNCTION("""COMPUTED_VALUE"""),0.58)</f>
        <v>0.58</v>
      </c>
      <c r="R73" s="34">
        <f>IFERROR(__xludf.DUMMYFUNCTION("""COMPUTED_VALUE"""),0.89)</f>
        <v>0.89</v>
      </c>
      <c r="S73" s="34">
        <f>IFERROR(__xludf.DUMMYFUNCTION("""COMPUTED_VALUE"""),0.26)</f>
        <v>0.26</v>
      </c>
      <c r="T73" s="17" t="str">
        <f t="shared" si="1"/>
        <v>Willson Contreras</v>
      </c>
    </row>
    <row r="74">
      <c r="A74" s="17">
        <f>IFERROR(__xludf.DUMMYFUNCTION("""COMPUTED_VALUE"""),73.0)</f>
        <v>73</v>
      </c>
      <c r="B74" s="17" t="str">
        <f>IFERROR(__xludf.DUMMYFUNCTION("""COMPUTED_VALUE"""),"Matt Chapman (SF - 3B)")</f>
        <v>Matt Chapman (SF - 3B)</v>
      </c>
      <c r="C74" s="17">
        <f>IFERROR(__xludf.DUMMYFUNCTION("""COMPUTED_VALUE"""),469.0)</f>
        <v>469</v>
      </c>
      <c r="D74" s="17">
        <f>IFERROR(__xludf.DUMMYFUNCTION("""COMPUTED_VALUE"""),70.0)</f>
        <v>70</v>
      </c>
      <c r="E74" s="17">
        <f>IFERROR(__xludf.DUMMYFUNCTION("""COMPUTED_VALUE"""),19.0)</f>
        <v>19</v>
      </c>
      <c r="F74" s="17">
        <f>IFERROR(__xludf.DUMMYFUNCTION("""COMPUTED_VALUE"""),64.0)</f>
        <v>64</v>
      </c>
      <c r="G74" s="17">
        <f>IFERROR(__xludf.DUMMYFUNCTION("""COMPUTED_VALUE"""),7.0)</f>
        <v>7</v>
      </c>
      <c r="H74" s="17">
        <f>IFERROR(__xludf.DUMMYFUNCTION("""COMPUTED_VALUE"""),0.242)</f>
        <v>0.242</v>
      </c>
      <c r="I74" s="17">
        <f>IFERROR(__xludf.DUMMYFUNCTION("""COMPUTED_VALUE"""),0.337)</f>
        <v>0.337</v>
      </c>
      <c r="J74" s="17">
        <f>IFERROR(__xludf.DUMMYFUNCTION("""COMPUTED_VALUE"""),114.0)</f>
        <v>114</v>
      </c>
      <c r="K74" s="17">
        <f>IFERROR(__xludf.DUMMYFUNCTION("""COMPUTED_VALUE"""),25.0)</f>
        <v>25</v>
      </c>
      <c r="L74" s="17">
        <f>IFERROR(__xludf.DUMMYFUNCTION("""COMPUTED_VALUE"""),2.0)</f>
        <v>2</v>
      </c>
      <c r="M74" s="17">
        <f>IFERROR(__xludf.DUMMYFUNCTION("""COMPUTED_VALUE"""),62.0)</f>
        <v>62</v>
      </c>
      <c r="N74" s="17">
        <f>IFERROR(__xludf.DUMMYFUNCTION("""COMPUTED_VALUE"""),129.0)</f>
        <v>129</v>
      </c>
      <c r="O74" s="17">
        <f>IFERROR(__xludf.DUMMYFUNCTION("""COMPUTED_VALUE"""),0.429)</f>
        <v>0.429</v>
      </c>
      <c r="P74" s="17">
        <f>IFERROR(__xludf.DUMMYFUNCTION("""COMPUTED_VALUE"""),0.766)</f>
        <v>0.766</v>
      </c>
      <c r="Q74" s="34">
        <f>IFERROR(__xludf.DUMMYFUNCTION("""COMPUTED_VALUE"""),0.81)</f>
        <v>0.81</v>
      </c>
      <c r="R74" s="34">
        <f>IFERROR(__xludf.DUMMYFUNCTION("""COMPUTED_VALUE"""),0.88)</f>
        <v>0.88</v>
      </c>
      <c r="S74" s="34">
        <f>IFERROR(__xludf.DUMMYFUNCTION("""COMPUTED_VALUE"""),0.75)</f>
        <v>0.75</v>
      </c>
      <c r="T74" s="17" t="str">
        <f t="shared" si="1"/>
        <v>Matt Chapman</v>
      </c>
    </row>
    <row r="75">
      <c r="A75" s="17">
        <f>IFERROR(__xludf.DUMMYFUNCTION("""COMPUTED_VALUE"""),74.0)</f>
        <v>74</v>
      </c>
      <c r="B75" s="17" t="str">
        <f>IFERROR(__xludf.DUMMYFUNCTION("""COMPUTED_VALUE"""),"Willy Adames (SF - SS)")</f>
        <v>Willy Adames (SF - SS)</v>
      </c>
      <c r="C75" s="17">
        <f>IFERROR(__xludf.DUMMYFUNCTION("""COMPUTED_VALUE"""),486.0)</f>
        <v>486</v>
      </c>
      <c r="D75" s="17">
        <f>IFERROR(__xludf.DUMMYFUNCTION("""COMPUTED_VALUE"""),70.0)</f>
        <v>70</v>
      </c>
      <c r="E75" s="17">
        <f>IFERROR(__xludf.DUMMYFUNCTION("""COMPUTED_VALUE"""),21.0)</f>
        <v>21</v>
      </c>
      <c r="F75" s="17">
        <f>IFERROR(__xludf.DUMMYFUNCTION("""COMPUTED_VALUE"""),66.0)</f>
        <v>66</v>
      </c>
      <c r="G75" s="17">
        <f>IFERROR(__xludf.DUMMYFUNCTION("""COMPUTED_VALUE"""),10.0)</f>
        <v>10</v>
      </c>
      <c r="H75" s="17">
        <f>IFERROR(__xludf.DUMMYFUNCTION("""COMPUTED_VALUE"""),0.231)</f>
        <v>0.231</v>
      </c>
      <c r="I75" s="17">
        <f>IFERROR(__xludf.DUMMYFUNCTION("""COMPUTED_VALUE"""),0.318)</f>
        <v>0.318</v>
      </c>
      <c r="J75" s="17">
        <f>IFERROR(__xludf.DUMMYFUNCTION("""COMPUTED_VALUE"""),112.0)</f>
        <v>112</v>
      </c>
      <c r="K75" s="17">
        <f>IFERROR(__xludf.DUMMYFUNCTION("""COMPUTED_VALUE"""),24.0)</f>
        <v>24</v>
      </c>
      <c r="L75" s="17">
        <f>IFERROR(__xludf.DUMMYFUNCTION("""COMPUTED_VALUE"""),1.0)</f>
        <v>1</v>
      </c>
      <c r="M75" s="17">
        <f>IFERROR(__xludf.DUMMYFUNCTION("""COMPUTED_VALUE"""),58.0)</f>
        <v>58</v>
      </c>
      <c r="N75" s="17">
        <f>IFERROR(__xludf.DUMMYFUNCTION("""COMPUTED_VALUE"""),140.0)</f>
        <v>140</v>
      </c>
      <c r="O75" s="17">
        <f>IFERROR(__xludf.DUMMYFUNCTION("""COMPUTED_VALUE"""),0.415)</f>
        <v>0.415</v>
      </c>
      <c r="P75" s="17">
        <f>IFERROR(__xludf.DUMMYFUNCTION("""COMPUTED_VALUE"""),0.734)</f>
        <v>0.734</v>
      </c>
      <c r="Q75" s="34">
        <f>IFERROR(__xludf.DUMMYFUNCTION("""COMPUTED_VALUE"""),0.71)</f>
        <v>0.71</v>
      </c>
      <c r="R75" s="34">
        <f>IFERROR(__xludf.DUMMYFUNCTION("""COMPUTED_VALUE"""),0.82)</f>
        <v>0.82</v>
      </c>
      <c r="S75" s="34">
        <f>IFERROR(__xludf.DUMMYFUNCTION("""COMPUTED_VALUE"""),0.61)</f>
        <v>0.61</v>
      </c>
      <c r="T75" s="17" t="str">
        <f t="shared" si="1"/>
        <v>Willy Adames</v>
      </c>
    </row>
    <row r="76">
      <c r="A76" s="17">
        <f>IFERROR(__xludf.DUMMYFUNCTION("""COMPUTED_VALUE"""),75.0)</f>
        <v>75</v>
      </c>
      <c r="B76" s="17" t="str">
        <f>IFERROR(__xludf.DUMMYFUNCTION("""COMPUTED_VALUE"""),"Mike Trout (LAA - CF,RF,DH)")</f>
        <v>Mike Trout (LAA - CF,RF,DH)</v>
      </c>
      <c r="C76" s="17">
        <f>IFERROR(__xludf.DUMMYFUNCTION("""COMPUTED_VALUE"""),381.0)</f>
        <v>381</v>
      </c>
      <c r="D76" s="17">
        <f>IFERROR(__xludf.DUMMYFUNCTION("""COMPUTED_VALUE"""),66.0)</f>
        <v>66</v>
      </c>
      <c r="E76" s="17">
        <f>IFERROR(__xludf.DUMMYFUNCTION("""COMPUTED_VALUE"""),23.0)</f>
        <v>23</v>
      </c>
      <c r="F76" s="17">
        <f>IFERROR(__xludf.DUMMYFUNCTION("""COMPUTED_VALUE"""),62.0)</f>
        <v>62</v>
      </c>
      <c r="G76" s="17">
        <f>IFERROR(__xludf.DUMMYFUNCTION("""COMPUTED_VALUE"""),5.0)</f>
        <v>5</v>
      </c>
      <c r="H76" s="17">
        <f>IFERROR(__xludf.DUMMYFUNCTION("""COMPUTED_VALUE"""),0.24)</f>
        <v>0.24</v>
      </c>
      <c r="I76" s="17">
        <f>IFERROR(__xludf.DUMMYFUNCTION("""COMPUTED_VALUE"""),0.373)</f>
        <v>0.373</v>
      </c>
      <c r="J76" s="17">
        <f>IFERROR(__xludf.DUMMYFUNCTION("""COMPUTED_VALUE"""),92.0)</f>
        <v>92</v>
      </c>
      <c r="K76" s="17">
        <f>IFERROR(__xludf.DUMMYFUNCTION("""COMPUTED_VALUE"""),16.0)</f>
        <v>16</v>
      </c>
      <c r="L76" s="17">
        <f>IFERROR(__xludf.DUMMYFUNCTION("""COMPUTED_VALUE"""),1.0)</f>
        <v>1</v>
      </c>
      <c r="M76" s="17">
        <f>IFERROR(__xludf.DUMMYFUNCTION("""COMPUTED_VALUE"""),70.0)</f>
        <v>70</v>
      </c>
      <c r="N76" s="17">
        <f>IFERROR(__xludf.DUMMYFUNCTION("""COMPUTED_VALUE"""),132.0)</f>
        <v>132</v>
      </c>
      <c r="O76" s="17">
        <f>IFERROR(__xludf.DUMMYFUNCTION("""COMPUTED_VALUE"""),0.47)</f>
        <v>0.47</v>
      </c>
      <c r="P76" s="17">
        <f>IFERROR(__xludf.DUMMYFUNCTION("""COMPUTED_VALUE"""),0.842)</f>
        <v>0.842</v>
      </c>
      <c r="Q76" s="34">
        <f>IFERROR(__xludf.DUMMYFUNCTION("""COMPUTED_VALUE"""),0.97)</f>
        <v>0.97</v>
      </c>
      <c r="R76" s="34">
        <f>IFERROR(__xludf.DUMMYFUNCTION("""COMPUTED_VALUE"""),0.96)</f>
        <v>0.96</v>
      </c>
      <c r="S76" s="34">
        <f>IFERROR(__xludf.DUMMYFUNCTION("""COMPUTED_VALUE"""),0.97)</f>
        <v>0.97</v>
      </c>
      <c r="T76" s="17" t="str">
        <f t="shared" si="1"/>
        <v>Mike Trout</v>
      </c>
    </row>
    <row r="77">
      <c r="A77" s="17">
        <f>IFERROR(__xludf.DUMMYFUNCTION("""COMPUTED_VALUE"""),76.0)</f>
        <v>76</v>
      </c>
      <c r="B77" s="17" t="str">
        <f>IFERROR(__xludf.DUMMYFUNCTION("""COMPUTED_VALUE"""),"Mickey Moniak (COL - LF,CF,RF)")</f>
        <v>Mickey Moniak (COL - LF,CF,RF)</v>
      </c>
      <c r="C77" s="17">
        <f>IFERROR(__xludf.DUMMYFUNCTION("""COMPUTED_VALUE"""),392.0)</f>
        <v>392</v>
      </c>
      <c r="D77" s="17">
        <f>IFERROR(__xludf.DUMMYFUNCTION("""COMPUTED_VALUE"""),56.0)</f>
        <v>56</v>
      </c>
      <c r="E77" s="17">
        <f>IFERROR(__xludf.DUMMYFUNCTION("""COMPUTED_VALUE"""),20.0)</f>
        <v>20</v>
      </c>
      <c r="F77" s="17">
        <f>IFERROR(__xludf.DUMMYFUNCTION("""COMPUTED_VALUE"""),60.0)</f>
        <v>60</v>
      </c>
      <c r="G77" s="17">
        <f>IFERROR(__xludf.DUMMYFUNCTION("""COMPUTED_VALUE"""),8.0)</f>
        <v>8</v>
      </c>
      <c r="H77" s="17">
        <f>IFERROR(__xludf.DUMMYFUNCTION("""COMPUTED_VALUE"""),0.262)</f>
        <v>0.262</v>
      </c>
      <c r="I77" s="17">
        <f>IFERROR(__xludf.DUMMYFUNCTION("""COMPUTED_VALUE"""),0.308)</f>
        <v>0.308</v>
      </c>
      <c r="J77" s="17">
        <f>IFERROR(__xludf.DUMMYFUNCTION("""COMPUTED_VALUE"""),103.0)</f>
        <v>103</v>
      </c>
      <c r="K77" s="17">
        <f>IFERROR(__xludf.DUMMYFUNCTION("""COMPUTED_VALUE"""),20.0)</f>
        <v>20</v>
      </c>
      <c r="L77" s="17">
        <f>IFERROR(__xludf.DUMMYFUNCTION("""COMPUTED_VALUE"""),4.0)</f>
        <v>4</v>
      </c>
      <c r="M77" s="17">
        <f>IFERROR(__xludf.DUMMYFUNCTION("""COMPUTED_VALUE"""),23.0)</f>
        <v>23</v>
      </c>
      <c r="N77" s="17">
        <f>IFERROR(__xludf.DUMMYFUNCTION("""COMPUTED_VALUE"""),104.0)</f>
        <v>104</v>
      </c>
      <c r="O77" s="17">
        <f>IFERROR(__xludf.DUMMYFUNCTION("""COMPUTED_VALUE"""),0.483)</f>
        <v>0.483</v>
      </c>
      <c r="P77" s="17">
        <f>IFERROR(__xludf.DUMMYFUNCTION("""COMPUTED_VALUE"""),0.791)</f>
        <v>0.791</v>
      </c>
      <c r="Q77" s="34">
        <f>IFERROR(__xludf.DUMMYFUNCTION("""COMPUTED_VALUE"""),0.47)</f>
        <v>0.47</v>
      </c>
      <c r="R77" s="34">
        <f>IFERROR(__xludf.DUMMYFUNCTION("""COMPUTED_VALUE"""),0.53)</f>
        <v>0.53</v>
      </c>
      <c r="S77" s="34">
        <f>IFERROR(__xludf.DUMMYFUNCTION("""COMPUTED_VALUE"""),0.41)</f>
        <v>0.41</v>
      </c>
      <c r="T77" s="17" t="str">
        <f t="shared" si="1"/>
        <v>Mickey Moniak</v>
      </c>
    </row>
    <row r="78">
      <c r="A78" s="17">
        <f>IFERROR(__xludf.DUMMYFUNCTION("""COMPUTED_VALUE"""),77.0)</f>
        <v>77</v>
      </c>
      <c r="B78" s="17" t="str">
        <f>IFERROR(__xludf.DUMMYFUNCTION("""COMPUTED_VALUE"""),"Ian Happ (CHC - LF)")</f>
        <v>Ian Happ (CHC - LF)</v>
      </c>
      <c r="C78" s="17">
        <f>IFERROR(__xludf.DUMMYFUNCTION("""COMPUTED_VALUE"""),459.0)</f>
        <v>459</v>
      </c>
      <c r="D78" s="17">
        <f>IFERROR(__xludf.DUMMYFUNCTION("""COMPUTED_VALUE"""),69.0)</f>
        <v>69</v>
      </c>
      <c r="E78" s="17">
        <f>IFERROR(__xludf.DUMMYFUNCTION("""COMPUTED_VALUE"""),19.0)</f>
        <v>19</v>
      </c>
      <c r="F78" s="17">
        <f>IFERROR(__xludf.DUMMYFUNCTION("""COMPUTED_VALUE"""),66.0)</f>
        <v>66</v>
      </c>
      <c r="G78" s="17">
        <f>IFERROR(__xludf.DUMMYFUNCTION("""COMPUTED_VALUE"""),6.0)</f>
        <v>6</v>
      </c>
      <c r="H78" s="17">
        <f>IFERROR(__xludf.DUMMYFUNCTION("""COMPUTED_VALUE"""),0.241)</f>
        <v>0.241</v>
      </c>
      <c r="I78" s="17">
        <f>IFERROR(__xludf.DUMMYFUNCTION("""COMPUTED_VALUE"""),0.345)</f>
        <v>0.345</v>
      </c>
      <c r="J78" s="17">
        <f>IFERROR(__xludf.DUMMYFUNCTION("""COMPUTED_VALUE"""),111.0)</f>
        <v>111</v>
      </c>
      <c r="K78" s="17">
        <f>IFERROR(__xludf.DUMMYFUNCTION("""COMPUTED_VALUE"""),25.0)</f>
        <v>25</v>
      </c>
      <c r="L78" s="17">
        <f>IFERROR(__xludf.DUMMYFUNCTION("""COMPUTED_VALUE"""),1.0)</f>
        <v>1</v>
      </c>
      <c r="M78" s="17">
        <f>IFERROR(__xludf.DUMMYFUNCTION("""COMPUTED_VALUE"""),69.0)</f>
        <v>69</v>
      </c>
      <c r="N78" s="17">
        <f>IFERROR(__xludf.DUMMYFUNCTION("""COMPUTED_VALUE"""),128.0)</f>
        <v>128</v>
      </c>
      <c r="O78" s="17">
        <f>IFERROR(__xludf.DUMMYFUNCTION("""COMPUTED_VALUE"""),0.424)</f>
        <v>0.424</v>
      </c>
      <c r="P78" s="17">
        <f>IFERROR(__xludf.DUMMYFUNCTION("""COMPUTED_VALUE"""),0.769)</f>
        <v>0.769</v>
      </c>
      <c r="Q78" s="34">
        <f>IFERROR(__xludf.DUMMYFUNCTION("""COMPUTED_VALUE"""),0.85)</f>
        <v>0.85</v>
      </c>
      <c r="R78" s="34">
        <f>IFERROR(__xludf.DUMMYFUNCTION("""COMPUTED_VALUE"""),0.89)</f>
        <v>0.89</v>
      </c>
      <c r="S78" s="34">
        <f>IFERROR(__xludf.DUMMYFUNCTION("""COMPUTED_VALUE"""),0.82)</f>
        <v>0.82</v>
      </c>
      <c r="T78" s="17" t="str">
        <f t="shared" si="1"/>
        <v>Ian Happ</v>
      </c>
    </row>
    <row r="79">
      <c r="A79" s="17">
        <f>IFERROR(__xludf.DUMMYFUNCTION("""COMPUTED_VALUE"""),78.0)</f>
        <v>78</v>
      </c>
      <c r="B79" s="17" t="str">
        <f>IFERROR(__xludf.DUMMYFUNCTION("""COMPUTED_VALUE"""),"Wyatt Langford (TEX - LF,CF) IL10")</f>
        <v>Wyatt Langford (TEX - LF,CF) IL10</v>
      </c>
      <c r="C79" s="17">
        <f>IFERROR(__xludf.DUMMYFUNCTION("""COMPUTED_VALUE"""),382.0)</f>
        <v>382</v>
      </c>
      <c r="D79" s="17">
        <f>IFERROR(__xludf.DUMMYFUNCTION("""COMPUTED_VALUE"""),61.0)</f>
        <v>61</v>
      </c>
      <c r="E79" s="17">
        <f>IFERROR(__xludf.DUMMYFUNCTION("""COMPUTED_VALUE"""),17.0)</f>
        <v>17</v>
      </c>
      <c r="F79" s="17">
        <f>IFERROR(__xludf.DUMMYFUNCTION("""COMPUTED_VALUE"""),55.0)</f>
        <v>55</v>
      </c>
      <c r="G79" s="17">
        <f>IFERROR(__xludf.DUMMYFUNCTION("""COMPUTED_VALUE"""),15.0)</f>
        <v>15</v>
      </c>
      <c r="H79" s="17">
        <f>IFERROR(__xludf.DUMMYFUNCTION("""COMPUTED_VALUE"""),0.255)</f>
        <v>0.255</v>
      </c>
      <c r="I79" s="17">
        <f>IFERROR(__xludf.DUMMYFUNCTION("""COMPUTED_VALUE"""),0.348)</f>
        <v>0.348</v>
      </c>
      <c r="J79" s="17">
        <f>IFERROR(__xludf.DUMMYFUNCTION("""COMPUTED_VALUE"""),97.0)</f>
        <v>97</v>
      </c>
      <c r="K79" s="17">
        <f>IFERROR(__xludf.DUMMYFUNCTION("""COMPUTED_VALUE"""),20.0)</f>
        <v>20</v>
      </c>
      <c r="L79" s="17">
        <f>IFERROR(__xludf.DUMMYFUNCTION("""COMPUTED_VALUE"""),2.0)</f>
        <v>2</v>
      </c>
      <c r="M79" s="17">
        <f>IFERROR(__xludf.DUMMYFUNCTION("""COMPUTED_VALUE"""),50.0)</f>
        <v>50</v>
      </c>
      <c r="N79" s="17">
        <f>IFERROR(__xludf.DUMMYFUNCTION("""COMPUTED_VALUE"""),99.0)</f>
        <v>99</v>
      </c>
      <c r="O79" s="17">
        <f>IFERROR(__xludf.DUMMYFUNCTION("""COMPUTED_VALUE"""),0.451)</f>
        <v>0.451</v>
      </c>
      <c r="P79" s="17">
        <f>IFERROR(__xludf.DUMMYFUNCTION("""COMPUTED_VALUE"""),0.799)</f>
        <v>0.799</v>
      </c>
      <c r="Q79" s="34">
        <f>IFERROR(__xludf.DUMMYFUNCTION("""COMPUTED_VALUE"""),0.78)</f>
        <v>0.78</v>
      </c>
      <c r="R79" s="34">
        <f>IFERROR(__xludf.DUMMYFUNCTION("""COMPUTED_VALUE"""),0.91)</f>
        <v>0.91</v>
      </c>
      <c r="S79" s="34">
        <f>IFERROR(__xludf.DUMMYFUNCTION("""COMPUTED_VALUE"""),0.66)</f>
        <v>0.66</v>
      </c>
      <c r="T79" s="17" t="str">
        <f t="shared" si="1"/>
        <v>Wyatt Langford</v>
      </c>
    </row>
    <row r="80">
      <c r="A80" s="17">
        <f>IFERROR(__xludf.DUMMYFUNCTION("""COMPUTED_VALUE"""),79.0)</f>
        <v>79</v>
      </c>
      <c r="B80" s="17" t="str">
        <f>IFERROR(__xludf.DUMMYFUNCTION("""COMPUTED_VALUE"""),"Luis Robert Jr. (NYM - CF) IL10")</f>
        <v>Luis Robert Jr. (NYM - CF) IL10</v>
      </c>
      <c r="C80" s="17">
        <f>IFERROR(__xludf.DUMMYFUNCTION("""COMPUTED_VALUE"""),415.0)</f>
        <v>415</v>
      </c>
      <c r="D80" s="17">
        <f>IFERROR(__xludf.DUMMYFUNCTION("""COMPUTED_VALUE"""),58.0)</f>
        <v>58</v>
      </c>
      <c r="E80" s="17">
        <f>IFERROR(__xludf.DUMMYFUNCTION("""COMPUTED_VALUE"""),17.0)</f>
        <v>17</v>
      </c>
      <c r="F80" s="17">
        <f>IFERROR(__xludf.DUMMYFUNCTION("""COMPUTED_VALUE"""),57.0)</f>
        <v>57</v>
      </c>
      <c r="G80" s="17">
        <f>IFERROR(__xludf.DUMMYFUNCTION("""COMPUTED_VALUE"""),23.0)</f>
        <v>23</v>
      </c>
      <c r="H80" s="17">
        <f>IFERROR(__xludf.DUMMYFUNCTION("""COMPUTED_VALUE"""),0.238)</f>
        <v>0.238</v>
      </c>
      <c r="I80" s="17">
        <f>IFERROR(__xludf.DUMMYFUNCTION("""COMPUTED_VALUE"""),0.309)</f>
        <v>0.309</v>
      </c>
      <c r="J80" s="17">
        <f>IFERROR(__xludf.DUMMYFUNCTION("""COMPUTED_VALUE"""),99.0)</f>
        <v>99</v>
      </c>
      <c r="K80" s="17">
        <f>IFERROR(__xludf.DUMMYFUNCTION("""COMPUTED_VALUE"""),19.0)</f>
        <v>19</v>
      </c>
      <c r="L80" s="17">
        <f>IFERROR(__xludf.DUMMYFUNCTION("""COMPUTED_VALUE"""),1.0)</f>
        <v>1</v>
      </c>
      <c r="M80" s="17">
        <f>IFERROR(__xludf.DUMMYFUNCTION("""COMPUTED_VALUE"""),37.0)</f>
        <v>37</v>
      </c>
      <c r="N80" s="17">
        <f>IFERROR(__xludf.DUMMYFUNCTION("""COMPUTED_VALUE"""),124.0)</f>
        <v>124</v>
      </c>
      <c r="O80" s="17">
        <f>IFERROR(__xludf.DUMMYFUNCTION("""COMPUTED_VALUE"""),0.408)</f>
        <v>0.408</v>
      </c>
      <c r="P80" s="17">
        <f>IFERROR(__xludf.DUMMYFUNCTION("""COMPUTED_VALUE"""),0.717)</f>
        <v>0.717</v>
      </c>
      <c r="Q80" s="34">
        <f>IFERROR(__xludf.DUMMYFUNCTION("""COMPUTED_VALUE"""),0.5)</f>
        <v>0.5</v>
      </c>
      <c r="R80" s="34">
        <f>IFERROR(__xludf.DUMMYFUNCTION("""COMPUTED_VALUE"""),0.7)</f>
        <v>0.7</v>
      </c>
      <c r="S80" s="34">
        <f>IFERROR(__xludf.DUMMYFUNCTION("""COMPUTED_VALUE"""),0.31)</f>
        <v>0.31</v>
      </c>
      <c r="T80" s="17" t="str">
        <f t="shared" si="1"/>
        <v>Luis Robert Jr.</v>
      </c>
    </row>
    <row r="81">
      <c r="A81" s="17">
        <f>IFERROR(__xludf.DUMMYFUNCTION("""COMPUTED_VALUE"""),80.0)</f>
        <v>80</v>
      </c>
      <c r="B81" s="17" t="str">
        <f>IFERROR(__xludf.DUMMYFUNCTION("""COMPUTED_VALUE"""),"Ivan Herrera (STL - C,DH)")</f>
        <v>Ivan Herrera (STL - C,DH)</v>
      </c>
      <c r="C81" s="17">
        <f>IFERROR(__xludf.DUMMYFUNCTION("""COMPUTED_VALUE"""),403.0)</f>
        <v>403</v>
      </c>
      <c r="D81" s="17">
        <f>IFERROR(__xludf.DUMMYFUNCTION("""COMPUTED_VALUE"""),61.0)</f>
        <v>61</v>
      </c>
      <c r="E81" s="17">
        <f>IFERROR(__xludf.DUMMYFUNCTION("""COMPUTED_VALUE"""),16.0)</f>
        <v>16</v>
      </c>
      <c r="F81" s="17">
        <f>IFERROR(__xludf.DUMMYFUNCTION("""COMPUTED_VALUE"""),57.0)</f>
        <v>57</v>
      </c>
      <c r="G81" s="17">
        <f>IFERROR(__xludf.DUMMYFUNCTION("""COMPUTED_VALUE"""),7.0)</f>
        <v>7</v>
      </c>
      <c r="H81" s="17">
        <f>IFERROR(__xludf.DUMMYFUNCTION("""COMPUTED_VALUE"""),0.27)</f>
        <v>0.27</v>
      </c>
      <c r="I81" s="17">
        <f>IFERROR(__xludf.DUMMYFUNCTION("""COMPUTED_VALUE"""),0.37)</f>
        <v>0.37</v>
      </c>
      <c r="J81" s="17">
        <f>IFERROR(__xludf.DUMMYFUNCTION("""COMPUTED_VALUE"""),109.0)</f>
        <v>109</v>
      </c>
      <c r="K81" s="17">
        <f>IFERROR(__xludf.DUMMYFUNCTION("""COMPUTED_VALUE"""),19.0)</f>
        <v>19</v>
      </c>
      <c r="L81" s="17">
        <f>IFERROR(__xludf.DUMMYFUNCTION("""COMPUTED_VALUE"""),1.0)</f>
        <v>1</v>
      </c>
      <c r="M81" s="17">
        <f>IFERROR(__xludf.DUMMYFUNCTION("""COMPUTED_VALUE"""),53.0)</f>
        <v>53</v>
      </c>
      <c r="N81" s="17">
        <f>IFERROR(__xludf.DUMMYFUNCTION("""COMPUTED_VALUE"""),89.0)</f>
        <v>89</v>
      </c>
      <c r="O81" s="17">
        <f>IFERROR(__xludf.DUMMYFUNCTION("""COMPUTED_VALUE"""),0.438)</f>
        <v>0.438</v>
      </c>
      <c r="P81" s="17">
        <f>IFERROR(__xludf.DUMMYFUNCTION("""COMPUTED_VALUE"""),0.808)</f>
        <v>0.808</v>
      </c>
      <c r="Q81" s="34">
        <f>IFERROR(__xludf.DUMMYFUNCTION("""COMPUTED_VALUE"""),0.57)</f>
        <v>0.57</v>
      </c>
      <c r="R81" s="34">
        <f>IFERROR(__xludf.DUMMYFUNCTION("""COMPUTED_VALUE"""),0.83)</f>
        <v>0.83</v>
      </c>
      <c r="S81" s="34">
        <f>IFERROR(__xludf.DUMMYFUNCTION("""COMPUTED_VALUE"""),0.32)</f>
        <v>0.32</v>
      </c>
      <c r="T81" s="17" t="str">
        <f t="shared" si="1"/>
        <v>Ivan Herrera</v>
      </c>
    </row>
    <row r="82">
      <c r="A82" s="17">
        <f>IFERROR(__xludf.DUMMYFUNCTION("""COMPUTED_VALUE"""),81.0)</f>
        <v>81</v>
      </c>
      <c r="B82" s="17" t="str">
        <f>IFERROR(__xludf.DUMMYFUNCTION("""COMPUTED_VALUE"""),"Drake Baldwin (ATL - C,DH)")</f>
        <v>Drake Baldwin (ATL - C,DH)</v>
      </c>
      <c r="C82" s="17">
        <f>IFERROR(__xludf.DUMMYFUNCTION("""COMPUTED_VALUE"""),423.0)</f>
        <v>423</v>
      </c>
      <c r="D82" s="17">
        <f>IFERROR(__xludf.DUMMYFUNCTION("""COMPUTED_VALUE"""),61.0)</f>
        <v>61</v>
      </c>
      <c r="E82" s="17">
        <f>IFERROR(__xludf.DUMMYFUNCTION("""COMPUTED_VALUE"""),18.0)</f>
        <v>18</v>
      </c>
      <c r="F82" s="17">
        <f>IFERROR(__xludf.DUMMYFUNCTION("""COMPUTED_VALUE"""),64.0)</f>
        <v>64</v>
      </c>
      <c r="G82" s="17">
        <f>IFERROR(__xludf.DUMMYFUNCTION("""COMPUTED_VALUE"""),1.0)</f>
        <v>1</v>
      </c>
      <c r="H82" s="17">
        <f>IFERROR(__xludf.DUMMYFUNCTION("""COMPUTED_VALUE"""),0.267)</f>
        <v>0.267</v>
      </c>
      <c r="I82" s="17">
        <f>IFERROR(__xludf.DUMMYFUNCTION("""COMPUTED_VALUE"""),0.341)</f>
        <v>0.341</v>
      </c>
      <c r="J82" s="17">
        <f>IFERROR(__xludf.DUMMYFUNCTION("""COMPUTED_VALUE"""),113.0)</f>
        <v>113</v>
      </c>
      <c r="K82" s="17">
        <f>IFERROR(__xludf.DUMMYFUNCTION("""COMPUTED_VALUE"""),20.0)</f>
        <v>20</v>
      </c>
      <c r="L82" s="17">
        <f>IFERROR(__xludf.DUMMYFUNCTION("""COMPUTED_VALUE"""),1.0)</f>
        <v>1</v>
      </c>
      <c r="M82" s="17">
        <f>IFERROR(__xludf.DUMMYFUNCTION("""COMPUTED_VALUE"""),45.0)</f>
        <v>45</v>
      </c>
      <c r="N82" s="17">
        <f>IFERROR(__xludf.DUMMYFUNCTION("""COMPUTED_VALUE"""),86.0)</f>
        <v>86</v>
      </c>
      <c r="O82" s="17">
        <f>IFERROR(__xludf.DUMMYFUNCTION("""COMPUTED_VALUE"""),0.449)</f>
        <v>0.449</v>
      </c>
      <c r="P82" s="17">
        <f>IFERROR(__xludf.DUMMYFUNCTION("""COMPUTED_VALUE"""),0.79)</f>
        <v>0.79</v>
      </c>
      <c r="Q82" s="34">
        <f>IFERROR(__xludf.DUMMYFUNCTION("""COMPUTED_VALUE"""),0.97)</f>
        <v>0.97</v>
      </c>
      <c r="R82" s="34">
        <f>IFERROR(__xludf.DUMMYFUNCTION("""COMPUTED_VALUE"""),0.97)</f>
        <v>0.97</v>
      </c>
      <c r="S82" s="34">
        <f>IFERROR(__xludf.DUMMYFUNCTION("""COMPUTED_VALUE"""),0.97)</f>
        <v>0.97</v>
      </c>
      <c r="T82" s="17" t="str">
        <f t="shared" si="1"/>
        <v>Drake Baldwin</v>
      </c>
    </row>
    <row r="83">
      <c r="A83" s="17">
        <f>IFERROR(__xludf.DUMMYFUNCTION("""COMPUTED_VALUE"""),82.0)</f>
        <v>82</v>
      </c>
      <c r="B83" s="17" t="str">
        <f>IFERROR(__xludf.DUMMYFUNCTION("""COMPUTED_VALUE"""),"Alex Bregman (CHC - 3B)")</f>
        <v>Alex Bregman (CHC - 3B)</v>
      </c>
      <c r="C83" s="17">
        <f>IFERROR(__xludf.DUMMYFUNCTION("""COMPUTED_VALUE"""),472.0)</f>
        <v>472</v>
      </c>
      <c r="D83" s="17">
        <f>IFERROR(__xludf.DUMMYFUNCTION("""COMPUTED_VALUE"""),67.0)</f>
        <v>67</v>
      </c>
      <c r="E83" s="17">
        <f>IFERROR(__xludf.DUMMYFUNCTION("""COMPUTED_VALUE"""),18.0)</f>
        <v>18</v>
      </c>
      <c r="F83" s="17">
        <f>IFERROR(__xludf.DUMMYFUNCTION("""COMPUTED_VALUE"""),67.0)</f>
        <v>67</v>
      </c>
      <c r="G83" s="17">
        <f>IFERROR(__xludf.DUMMYFUNCTION("""COMPUTED_VALUE"""),2.0)</f>
        <v>2</v>
      </c>
      <c r="H83" s="17">
        <f>IFERROR(__xludf.DUMMYFUNCTION("""COMPUTED_VALUE"""),0.252)</f>
        <v>0.252</v>
      </c>
      <c r="I83" s="17">
        <f>IFERROR(__xludf.DUMMYFUNCTION("""COMPUTED_VALUE"""),0.342)</f>
        <v>0.342</v>
      </c>
      <c r="J83" s="17">
        <f>IFERROR(__xludf.DUMMYFUNCTION("""COMPUTED_VALUE"""),119.0)</f>
        <v>119</v>
      </c>
      <c r="K83" s="17">
        <f>IFERROR(__xludf.DUMMYFUNCTION("""COMPUTED_VALUE"""),23.0)</f>
        <v>23</v>
      </c>
      <c r="L83" s="17">
        <f>IFERROR(__xludf.DUMMYFUNCTION("""COMPUTED_VALUE"""),1.0)</f>
        <v>1</v>
      </c>
      <c r="M83" s="17">
        <f>IFERROR(__xludf.DUMMYFUNCTION("""COMPUTED_VALUE"""),59.0)</f>
        <v>59</v>
      </c>
      <c r="N83" s="17">
        <f>IFERROR(__xludf.DUMMYFUNCTION("""COMPUTED_VALUE"""),76.0)</f>
        <v>76</v>
      </c>
      <c r="O83" s="17">
        <f>IFERROR(__xludf.DUMMYFUNCTION("""COMPUTED_VALUE"""),0.42)</f>
        <v>0.42</v>
      </c>
      <c r="P83" s="17">
        <f>IFERROR(__xludf.DUMMYFUNCTION("""COMPUTED_VALUE"""),0.763)</f>
        <v>0.763</v>
      </c>
      <c r="Q83" s="34">
        <f>IFERROR(__xludf.DUMMYFUNCTION("""COMPUTED_VALUE"""),0.96)</f>
        <v>0.96</v>
      </c>
      <c r="R83" s="34">
        <f>IFERROR(__xludf.DUMMYFUNCTION("""COMPUTED_VALUE"""),0.96)</f>
        <v>0.96</v>
      </c>
      <c r="S83" s="34">
        <f>IFERROR(__xludf.DUMMYFUNCTION("""COMPUTED_VALUE"""),0.95)</f>
        <v>0.95</v>
      </c>
      <c r="T83" s="17" t="str">
        <f t="shared" si="1"/>
        <v>Alex Bregman</v>
      </c>
    </row>
    <row r="84">
      <c r="A84" s="17">
        <f>IFERROR(__xludf.DUMMYFUNCTION("""COMPUTED_VALUE"""),83.0)</f>
        <v>83</v>
      </c>
      <c r="B84" s="17" t="str">
        <f>IFERROR(__xludf.DUMMYFUNCTION("""COMPUTED_VALUE"""),"Luis Arraez (SF - 1B,2B,DH)")</f>
        <v>Luis Arraez (SF - 1B,2B,DH)</v>
      </c>
      <c r="C84" s="17">
        <f>IFERROR(__xludf.DUMMYFUNCTION("""COMPUTED_VALUE"""),475.0)</f>
        <v>475</v>
      </c>
      <c r="D84" s="17">
        <f>IFERROR(__xludf.DUMMYFUNCTION("""COMPUTED_VALUE"""),59.0)</f>
        <v>59</v>
      </c>
      <c r="E84" s="17">
        <f>IFERROR(__xludf.DUMMYFUNCTION("""COMPUTED_VALUE"""),4.0)</f>
        <v>4</v>
      </c>
      <c r="F84" s="17">
        <f>IFERROR(__xludf.DUMMYFUNCTION("""COMPUTED_VALUE"""),49.0)</f>
        <v>49</v>
      </c>
      <c r="G84" s="17">
        <f>IFERROR(__xludf.DUMMYFUNCTION("""COMPUTED_VALUE"""),8.0)</f>
        <v>8</v>
      </c>
      <c r="H84" s="17">
        <f>IFERROR(__xludf.DUMMYFUNCTION("""COMPUTED_VALUE"""),0.304)</f>
        <v>0.304</v>
      </c>
      <c r="I84" s="17">
        <f>IFERROR(__xludf.DUMMYFUNCTION("""COMPUTED_VALUE"""),0.344)</f>
        <v>0.344</v>
      </c>
      <c r="J84" s="17">
        <f>IFERROR(__xludf.DUMMYFUNCTION("""COMPUTED_VALUE"""),145.0)</f>
        <v>145</v>
      </c>
      <c r="K84" s="17">
        <f>IFERROR(__xludf.DUMMYFUNCTION("""COMPUTED_VALUE"""),23.0)</f>
        <v>23</v>
      </c>
      <c r="L84" s="17">
        <f>IFERROR(__xludf.DUMMYFUNCTION("""COMPUTED_VALUE"""),3.0)</f>
        <v>3</v>
      </c>
      <c r="M84" s="17">
        <f>IFERROR(__xludf.DUMMYFUNCTION("""COMPUTED_VALUE"""),28.0)</f>
        <v>28</v>
      </c>
      <c r="N84" s="17">
        <f>IFERROR(__xludf.DUMMYFUNCTION("""COMPUTED_VALUE"""),21.0)</f>
        <v>21</v>
      </c>
      <c r="O84" s="17">
        <f>IFERROR(__xludf.DUMMYFUNCTION("""COMPUTED_VALUE"""),0.391)</f>
        <v>0.391</v>
      </c>
      <c r="P84" s="17">
        <f>IFERROR(__xludf.DUMMYFUNCTION("""COMPUTED_VALUE"""),0.735)</f>
        <v>0.735</v>
      </c>
      <c r="Q84" s="34">
        <f>IFERROR(__xludf.DUMMYFUNCTION("""COMPUTED_VALUE"""),0.68)</f>
        <v>0.68</v>
      </c>
      <c r="R84" s="34">
        <f>IFERROR(__xludf.DUMMYFUNCTION("""COMPUTED_VALUE"""),0.67)</f>
        <v>0.67</v>
      </c>
      <c r="S84" s="34">
        <f>IFERROR(__xludf.DUMMYFUNCTION("""COMPUTED_VALUE"""),0.69)</f>
        <v>0.69</v>
      </c>
      <c r="T84" s="17" t="str">
        <f t="shared" si="1"/>
        <v>Luis Arraez</v>
      </c>
    </row>
    <row r="85">
      <c r="A85" s="17">
        <f>IFERROR(__xludf.DUMMYFUNCTION("""COMPUTED_VALUE"""),84.0)</f>
        <v>84</v>
      </c>
      <c r="B85" s="17" t="str">
        <f>IFERROR(__xludf.DUMMYFUNCTION("""COMPUTED_VALUE"""),"Roman Anthony (BOS - LF,CF,RF,DH)")</f>
        <v>Roman Anthony (BOS - LF,CF,RF,DH)</v>
      </c>
      <c r="C85" s="17">
        <f>IFERROR(__xludf.DUMMYFUNCTION("""COMPUTED_VALUE"""),428.0)</f>
        <v>428</v>
      </c>
      <c r="D85" s="17">
        <f>IFERROR(__xludf.DUMMYFUNCTION("""COMPUTED_VALUE"""),69.0)</f>
        <v>69</v>
      </c>
      <c r="E85" s="17">
        <f>IFERROR(__xludf.DUMMYFUNCTION("""COMPUTED_VALUE"""),14.0)</f>
        <v>14</v>
      </c>
      <c r="F85" s="17">
        <f>IFERROR(__xludf.DUMMYFUNCTION("""COMPUTED_VALUE"""),56.0)</f>
        <v>56</v>
      </c>
      <c r="G85" s="17">
        <f>IFERROR(__xludf.DUMMYFUNCTION("""COMPUTED_VALUE"""),8.0)</f>
        <v>8</v>
      </c>
      <c r="H85" s="17">
        <f>IFERROR(__xludf.DUMMYFUNCTION("""COMPUTED_VALUE"""),0.258)</f>
        <v>0.258</v>
      </c>
      <c r="I85" s="17">
        <f>IFERROR(__xludf.DUMMYFUNCTION("""COMPUTED_VALUE"""),0.363)</f>
        <v>0.363</v>
      </c>
      <c r="J85" s="17">
        <f>IFERROR(__xludf.DUMMYFUNCTION("""COMPUTED_VALUE"""),111.0)</f>
        <v>111</v>
      </c>
      <c r="K85" s="17">
        <f>IFERROR(__xludf.DUMMYFUNCTION("""COMPUTED_VALUE"""),24.0)</f>
        <v>24</v>
      </c>
      <c r="L85" s="17">
        <f>IFERROR(__xludf.DUMMYFUNCTION("""COMPUTED_VALUE"""),2.0)</f>
        <v>2</v>
      </c>
      <c r="M85" s="17">
        <f>IFERROR(__xludf.DUMMYFUNCTION("""COMPUTED_VALUE"""),67.0)</f>
        <v>67</v>
      </c>
      <c r="N85" s="17">
        <f>IFERROR(__xludf.DUMMYFUNCTION("""COMPUTED_VALUE"""),126.0)</f>
        <v>126</v>
      </c>
      <c r="O85" s="17">
        <f>IFERROR(__xludf.DUMMYFUNCTION("""COMPUTED_VALUE"""),0.424)</f>
        <v>0.424</v>
      </c>
      <c r="P85" s="17">
        <f>IFERROR(__xludf.DUMMYFUNCTION("""COMPUTED_VALUE"""),0.786)</f>
        <v>0.786</v>
      </c>
      <c r="Q85" s="34">
        <f>IFERROR(__xludf.DUMMYFUNCTION("""COMPUTED_VALUE"""),0.9)</f>
        <v>0.9</v>
      </c>
      <c r="R85" s="34">
        <f>IFERROR(__xludf.DUMMYFUNCTION("""COMPUTED_VALUE"""),0.95)</f>
        <v>0.95</v>
      </c>
      <c r="S85" s="34">
        <f>IFERROR(__xludf.DUMMYFUNCTION("""COMPUTED_VALUE"""),0.84)</f>
        <v>0.84</v>
      </c>
      <c r="T85" s="17" t="str">
        <f t="shared" si="1"/>
        <v>Roman Anthony</v>
      </c>
    </row>
    <row r="86">
      <c r="A86" s="17">
        <f>IFERROR(__xludf.DUMMYFUNCTION("""COMPUTED_VALUE"""),85.0)</f>
        <v>85</v>
      </c>
      <c r="B86" s="17" t="str">
        <f>IFERROR(__xludf.DUMMYFUNCTION("""COMPUTED_VALUE"""),"Jonathan Aranda (TB - 1B)")</f>
        <v>Jonathan Aranda (TB - 1B)</v>
      </c>
      <c r="C86" s="17">
        <f>IFERROR(__xludf.DUMMYFUNCTION("""COMPUTED_VALUE"""),425.0)</f>
        <v>425</v>
      </c>
      <c r="D86" s="17">
        <f>IFERROR(__xludf.DUMMYFUNCTION("""COMPUTED_VALUE"""),62.0)</f>
        <v>62</v>
      </c>
      <c r="E86" s="17">
        <f>IFERROR(__xludf.DUMMYFUNCTION("""COMPUTED_VALUE"""),18.0)</f>
        <v>18</v>
      </c>
      <c r="F86" s="17">
        <f>IFERROR(__xludf.DUMMYFUNCTION("""COMPUTED_VALUE"""),65.0)</f>
        <v>65</v>
      </c>
      <c r="G86" s="17">
        <f>IFERROR(__xludf.DUMMYFUNCTION("""COMPUTED_VALUE"""),1.0)</f>
        <v>1</v>
      </c>
      <c r="H86" s="17">
        <f>IFERROR(__xludf.DUMMYFUNCTION("""COMPUTED_VALUE"""),0.258)</f>
        <v>0.258</v>
      </c>
      <c r="I86" s="17">
        <f>IFERROR(__xludf.DUMMYFUNCTION("""COMPUTED_VALUE"""),0.351)</f>
        <v>0.351</v>
      </c>
      <c r="J86" s="17">
        <f>IFERROR(__xludf.DUMMYFUNCTION("""COMPUTED_VALUE"""),110.0)</f>
        <v>110</v>
      </c>
      <c r="K86" s="17">
        <f>IFERROR(__xludf.DUMMYFUNCTION("""COMPUTED_VALUE"""),21.0)</f>
        <v>21</v>
      </c>
      <c r="L86" s="17">
        <f>IFERROR(__xludf.DUMMYFUNCTION("""COMPUTED_VALUE"""),1.0)</f>
        <v>1</v>
      </c>
      <c r="M86" s="17">
        <f>IFERROR(__xludf.DUMMYFUNCTION("""COMPUTED_VALUE"""),53.0)</f>
        <v>53</v>
      </c>
      <c r="N86" s="17">
        <f>IFERROR(__xludf.DUMMYFUNCTION("""COMPUTED_VALUE"""),124.0)</f>
        <v>124</v>
      </c>
      <c r="O86" s="17">
        <f>IFERROR(__xludf.DUMMYFUNCTION("""COMPUTED_VALUE"""),0.435)</f>
        <v>0.435</v>
      </c>
      <c r="P86" s="17">
        <f>IFERROR(__xludf.DUMMYFUNCTION("""COMPUTED_VALUE"""),0.786)</f>
        <v>0.786</v>
      </c>
      <c r="Q86" s="34">
        <f>IFERROR(__xludf.DUMMYFUNCTION("""COMPUTED_VALUE"""),0.51)</f>
        <v>0.51</v>
      </c>
      <c r="R86" s="34">
        <f>IFERROR(__xludf.DUMMYFUNCTION("""COMPUTED_VALUE"""),0.75)</f>
        <v>0.75</v>
      </c>
      <c r="S86" s="34">
        <f>IFERROR(__xludf.DUMMYFUNCTION("""COMPUTED_VALUE"""),0.27)</f>
        <v>0.27</v>
      </c>
      <c r="T86" s="17" t="str">
        <f t="shared" si="1"/>
        <v>Jonathan Aranda</v>
      </c>
    </row>
    <row r="87">
      <c r="A87" s="17">
        <f>IFERROR(__xludf.DUMMYFUNCTION("""COMPUTED_VALUE"""),86.0)</f>
        <v>86</v>
      </c>
      <c r="B87" s="17" t="str">
        <f>IFERROR(__xludf.DUMMYFUNCTION("""COMPUTED_VALUE"""),"Chandler Simpson (TB - LF,CF)")</f>
        <v>Chandler Simpson (TB - LF,CF)</v>
      </c>
      <c r="C87" s="17">
        <f>IFERROR(__xludf.DUMMYFUNCTION("""COMPUTED_VALUE"""),392.0)</f>
        <v>392</v>
      </c>
      <c r="D87" s="17">
        <f>IFERROR(__xludf.DUMMYFUNCTION("""COMPUTED_VALUE"""),53.0)</f>
        <v>53</v>
      </c>
      <c r="E87" s="17">
        <f>IFERROR(__xludf.DUMMYFUNCTION("""COMPUTED_VALUE"""),1.0)</f>
        <v>1</v>
      </c>
      <c r="F87" s="17">
        <f>IFERROR(__xludf.DUMMYFUNCTION("""COMPUTED_VALUE"""),31.0)</f>
        <v>31</v>
      </c>
      <c r="G87" s="17">
        <f>IFERROR(__xludf.DUMMYFUNCTION("""COMPUTED_VALUE"""),38.0)</f>
        <v>38</v>
      </c>
      <c r="H87" s="17">
        <f>IFERROR(__xludf.DUMMYFUNCTION("""COMPUTED_VALUE"""),0.287)</f>
        <v>0.287</v>
      </c>
      <c r="I87" s="17">
        <f>IFERROR(__xludf.DUMMYFUNCTION("""COMPUTED_VALUE"""),0.325)</f>
        <v>0.325</v>
      </c>
      <c r="J87" s="17">
        <f>IFERROR(__xludf.DUMMYFUNCTION("""COMPUTED_VALUE"""),113.0)</f>
        <v>113</v>
      </c>
      <c r="K87" s="17">
        <f>IFERROR(__xludf.DUMMYFUNCTION("""COMPUTED_VALUE"""),13.0)</f>
        <v>13</v>
      </c>
      <c r="L87" s="17">
        <f>IFERROR(__xludf.DUMMYFUNCTION("""COMPUTED_VALUE"""),4.0)</f>
        <v>4</v>
      </c>
      <c r="M87" s="17">
        <f>IFERROR(__xludf.DUMMYFUNCTION("""COMPUTED_VALUE"""),24.0)</f>
        <v>24</v>
      </c>
      <c r="N87" s="17">
        <f>IFERROR(__xludf.DUMMYFUNCTION("""COMPUTED_VALUE"""),44.0)</f>
        <v>44</v>
      </c>
      <c r="O87" s="17">
        <f>IFERROR(__xludf.DUMMYFUNCTION("""COMPUTED_VALUE"""),0.347)</f>
        <v>0.347</v>
      </c>
      <c r="P87" s="17">
        <f>IFERROR(__xludf.DUMMYFUNCTION("""COMPUTED_VALUE"""),0.672)</f>
        <v>0.672</v>
      </c>
      <c r="Q87" s="34">
        <f>IFERROR(__xludf.DUMMYFUNCTION("""COMPUTED_VALUE"""),0.63)</f>
        <v>0.63</v>
      </c>
      <c r="R87" s="34">
        <f>IFERROR(__xludf.DUMMYFUNCTION("""COMPUTED_VALUE"""),0.74)</f>
        <v>0.74</v>
      </c>
      <c r="S87" s="34">
        <f>IFERROR(__xludf.DUMMYFUNCTION("""COMPUTED_VALUE"""),0.53)</f>
        <v>0.53</v>
      </c>
      <c r="T87" s="17" t="str">
        <f t="shared" si="1"/>
        <v>Chandler Simpson</v>
      </c>
    </row>
    <row r="88">
      <c r="A88" s="17">
        <f>IFERROR(__xludf.DUMMYFUNCTION("""COMPUTED_VALUE"""),87.0)</f>
        <v>87</v>
      </c>
      <c r="B88" s="17" t="str">
        <f>IFERROR(__xludf.DUMMYFUNCTION("""COMPUTED_VALUE"""),"Xander Bogaerts (SD - SS)")</f>
        <v>Xander Bogaerts (SD - SS)</v>
      </c>
      <c r="C88" s="17">
        <f>IFERROR(__xludf.DUMMYFUNCTION("""COMPUTED_VALUE"""),444.0)</f>
        <v>444</v>
      </c>
      <c r="D88" s="17">
        <f>IFERROR(__xludf.DUMMYFUNCTION("""COMPUTED_VALUE"""),58.0)</f>
        <v>58</v>
      </c>
      <c r="E88" s="17">
        <f>IFERROR(__xludf.DUMMYFUNCTION("""COMPUTED_VALUE"""),12.0)</f>
        <v>12</v>
      </c>
      <c r="F88" s="17">
        <f>IFERROR(__xludf.DUMMYFUNCTION("""COMPUTED_VALUE"""),55.0)</f>
        <v>55</v>
      </c>
      <c r="G88" s="17">
        <f>IFERROR(__xludf.DUMMYFUNCTION("""COMPUTED_VALUE"""),13.0)</f>
        <v>13</v>
      </c>
      <c r="H88" s="17">
        <f>IFERROR(__xludf.DUMMYFUNCTION("""COMPUTED_VALUE"""),0.268)</f>
        <v>0.268</v>
      </c>
      <c r="I88" s="17">
        <f>IFERROR(__xludf.DUMMYFUNCTION("""COMPUTED_VALUE"""),0.336)</f>
        <v>0.336</v>
      </c>
      <c r="J88" s="17">
        <f>IFERROR(__xludf.DUMMYFUNCTION("""COMPUTED_VALUE"""),119.0)</f>
        <v>119</v>
      </c>
      <c r="K88" s="17">
        <f>IFERROR(__xludf.DUMMYFUNCTION("""COMPUTED_VALUE"""),22.0)</f>
        <v>22</v>
      </c>
      <c r="L88" s="17">
        <f>IFERROR(__xludf.DUMMYFUNCTION("""COMPUTED_VALUE"""),1.0)</f>
        <v>1</v>
      </c>
      <c r="M88" s="17">
        <f>IFERROR(__xludf.DUMMYFUNCTION("""COMPUTED_VALUE"""),43.0)</f>
        <v>43</v>
      </c>
      <c r="N88" s="17">
        <f>IFERROR(__xludf.DUMMYFUNCTION("""COMPUTED_VALUE"""),85.0)</f>
        <v>85</v>
      </c>
      <c r="O88" s="17">
        <f>IFERROR(__xludf.DUMMYFUNCTION("""COMPUTED_VALUE"""),0.405)</f>
        <v>0.405</v>
      </c>
      <c r="P88" s="17">
        <f>IFERROR(__xludf.DUMMYFUNCTION("""COMPUTED_VALUE"""),0.741)</f>
        <v>0.741</v>
      </c>
      <c r="Q88" s="34">
        <f>IFERROR(__xludf.DUMMYFUNCTION("""COMPUTED_VALUE"""),0.42)</f>
        <v>0.42</v>
      </c>
      <c r="R88" s="34">
        <f>IFERROR(__xludf.DUMMYFUNCTION("""COMPUTED_VALUE"""),0.53)</f>
        <v>0.53</v>
      </c>
      <c r="S88" s="34">
        <f>IFERROR(__xludf.DUMMYFUNCTION("""COMPUTED_VALUE"""),0.32)</f>
        <v>0.32</v>
      </c>
      <c r="T88" s="17" t="str">
        <f t="shared" si="1"/>
        <v>Xander Bogaerts</v>
      </c>
    </row>
    <row r="89">
      <c r="A89" s="17">
        <f>IFERROR(__xludf.DUMMYFUNCTION("""COMPUTED_VALUE"""),88.0)</f>
        <v>88</v>
      </c>
      <c r="B89" s="17" t="str">
        <f>IFERROR(__xludf.DUMMYFUNCTION("""COMPUTED_VALUE"""),"Adolis Garcia (PHI - RF)")</f>
        <v>Adolis Garcia (PHI - RF)</v>
      </c>
      <c r="C89" s="17">
        <f>IFERROR(__xludf.DUMMYFUNCTION("""COMPUTED_VALUE"""),445.0)</f>
        <v>445</v>
      </c>
      <c r="D89" s="17">
        <f>IFERROR(__xludf.DUMMYFUNCTION("""COMPUTED_VALUE"""),59.0)</f>
        <v>59</v>
      </c>
      <c r="E89" s="17">
        <f>IFERROR(__xludf.DUMMYFUNCTION("""COMPUTED_VALUE"""),21.0)</f>
        <v>21</v>
      </c>
      <c r="F89" s="17">
        <f>IFERROR(__xludf.DUMMYFUNCTION("""COMPUTED_VALUE"""),67.0)</f>
        <v>67</v>
      </c>
      <c r="G89" s="17">
        <f>IFERROR(__xludf.DUMMYFUNCTION("""COMPUTED_VALUE"""),9.0)</f>
        <v>9</v>
      </c>
      <c r="H89" s="17">
        <f>IFERROR(__xludf.DUMMYFUNCTION("""COMPUTED_VALUE"""),0.235)</f>
        <v>0.235</v>
      </c>
      <c r="I89" s="17">
        <f>IFERROR(__xludf.DUMMYFUNCTION("""COMPUTED_VALUE"""),0.299)</f>
        <v>0.299</v>
      </c>
      <c r="J89" s="17">
        <f>IFERROR(__xludf.DUMMYFUNCTION("""COMPUTED_VALUE"""),105.0)</f>
        <v>105</v>
      </c>
      <c r="K89" s="17">
        <f>IFERROR(__xludf.DUMMYFUNCTION("""COMPUTED_VALUE"""),21.0)</f>
        <v>21</v>
      </c>
      <c r="L89" s="17">
        <f>IFERROR(__xludf.DUMMYFUNCTION("""COMPUTED_VALUE"""),1.0)</f>
        <v>1</v>
      </c>
      <c r="M89" s="17">
        <f>IFERROR(__xludf.DUMMYFUNCTION("""COMPUTED_VALUE"""),36.0)</f>
        <v>36</v>
      </c>
      <c r="N89" s="17">
        <f>IFERROR(__xludf.DUMMYFUNCTION("""COMPUTED_VALUE"""),128.0)</f>
        <v>128</v>
      </c>
      <c r="O89" s="17">
        <f>IFERROR(__xludf.DUMMYFUNCTION("""COMPUTED_VALUE"""),0.425)</f>
        <v>0.425</v>
      </c>
      <c r="P89" s="17">
        <f>IFERROR(__xludf.DUMMYFUNCTION("""COMPUTED_VALUE"""),0.723)</f>
        <v>0.723</v>
      </c>
      <c r="Q89" s="34">
        <f>IFERROR(__xludf.DUMMYFUNCTION("""COMPUTED_VALUE"""),0.24)</f>
        <v>0.24</v>
      </c>
      <c r="R89" s="34">
        <f>IFERROR(__xludf.DUMMYFUNCTION("""COMPUTED_VALUE"""),0.35)</f>
        <v>0.35</v>
      </c>
      <c r="S89" s="34">
        <f>IFERROR(__xludf.DUMMYFUNCTION("""COMPUTED_VALUE"""),0.14)</f>
        <v>0.14</v>
      </c>
      <c r="T89" s="17" t="str">
        <f t="shared" si="1"/>
        <v>Adolis Garcia</v>
      </c>
    </row>
    <row r="90">
      <c r="A90" s="17">
        <f>IFERROR(__xludf.DUMMYFUNCTION("""COMPUTED_VALUE"""),89.0)</f>
        <v>89</v>
      </c>
      <c r="B90" s="17" t="str">
        <f>IFERROR(__xludf.DUMMYFUNCTION("""COMPUTED_VALUE"""),"Ozzie Albies (ATL - 2B)")</f>
        <v>Ozzie Albies (ATL - 2B)</v>
      </c>
      <c r="C90" s="17">
        <f>IFERROR(__xludf.DUMMYFUNCTION("""COMPUTED_VALUE"""),457.0)</f>
        <v>457</v>
      </c>
      <c r="D90" s="17">
        <f>IFERROR(__xludf.DUMMYFUNCTION("""COMPUTED_VALUE"""),61.0)</f>
        <v>61</v>
      </c>
      <c r="E90" s="17">
        <f>IFERROR(__xludf.DUMMYFUNCTION("""COMPUTED_VALUE"""),15.0)</f>
        <v>15</v>
      </c>
      <c r="F90" s="17">
        <f>IFERROR(__xludf.DUMMYFUNCTION("""COMPUTED_VALUE"""),62.0)</f>
        <v>62</v>
      </c>
      <c r="G90" s="17">
        <f>IFERROR(__xludf.DUMMYFUNCTION("""COMPUTED_VALUE"""),8.0)</f>
        <v>8</v>
      </c>
      <c r="H90" s="17">
        <f>IFERROR(__xludf.DUMMYFUNCTION("""COMPUTED_VALUE"""),0.256)</f>
        <v>0.256</v>
      </c>
      <c r="I90" s="17">
        <f>IFERROR(__xludf.DUMMYFUNCTION("""COMPUTED_VALUE"""),0.318)</f>
        <v>0.318</v>
      </c>
      <c r="J90" s="17">
        <f>IFERROR(__xludf.DUMMYFUNCTION("""COMPUTED_VALUE"""),117.0)</f>
        <v>117</v>
      </c>
      <c r="K90" s="17">
        <f>IFERROR(__xludf.DUMMYFUNCTION("""COMPUTED_VALUE"""),23.0)</f>
        <v>23</v>
      </c>
      <c r="L90" s="17">
        <f>IFERROR(__xludf.DUMMYFUNCTION("""COMPUTED_VALUE"""),2.0)</f>
        <v>2</v>
      </c>
      <c r="M90" s="17">
        <f>IFERROR(__xludf.DUMMYFUNCTION("""COMPUTED_VALUE"""),38.0)</f>
        <v>38</v>
      </c>
      <c r="N90" s="17">
        <f>IFERROR(__xludf.DUMMYFUNCTION("""COMPUTED_VALUE"""),74.0)</f>
        <v>74</v>
      </c>
      <c r="O90" s="17">
        <f>IFERROR(__xludf.DUMMYFUNCTION("""COMPUTED_VALUE"""),0.414)</f>
        <v>0.414</v>
      </c>
      <c r="P90" s="17">
        <f>IFERROR(__xludf.DUMMYFUNCTION("""COMPUTED_VALUE"""),0.731)</f>
        <v>0.731</v>
      </c>
      <c r="Q90" s="34">
        <f>IFERROR(__xludf.DUMMYFUNCTION("""COMPUTED_VALUE"""),0.95)</f>
        <v>0.95</v>
      </c>
      <c r="R90" s="34">
        <f>IFERROR(__xludf.DUMMYFUNCTION("""COMPUTED_VALUE"""),0.95)</f>
        <v>0.95</v>
      </c>
      <c r="S90" s="34">
        <f>IFERROR(__xludf.DUMMYFUNCTION("""COMPUTED_VALUE"""),0.95)</f>
        <v>0.95</v>
      </c>
      <c r="T90" s="17" t="str">
        <f t="shared" si="1"/>
        <v>Ozzie Albies</v>
      </c>
    </row>
    <row r="91">
      <c r="A91" s="17">
        <f>IFERROR(__xludf.DUMMYFUNCTION("""COMPUTED_VALUE"""),90.0)</f>
        <v>90</v>
      </c>
      <c r="B91" s="17" t="str">
        <f>IFERROR(__xludf.DUMMYFUNCTION("""COMPUTED_VALUE"""),"Otto Lopez (MIA - 2B,SS)")</f>
        <v>Otto Lopez (MIA - 2B,SS)</v>
      </c>
      <c r="C91" s="17">
        <f>IFERROR(__xludf.DUMMYFUNCTION("""COMPUTED_VALUE"""),446.0)</f>
        <v>446</v>
      </c>
      <c r="D91" s="17">
        <f>IFERROR(__xludf.DUMMYFUNCTION("""COMPUTED_VALUE"""),57.0)</f>
        <v>57</v>
      </c>
      <c r="E91" s="17">
        <f>IFERROR(__xludf.DUMMYFUNCTION("""COMPUTED_VALUE"""),10.0)</f>
        <v>10</v>
      </c>
      <c r="F91" s="17">
        <f>IFERROR(__xludf.DUMMYFUNCTION("""COMPUTED_VALUE"""),55.0)</f>
        <v>55</v>
      </c>
      <c r="G91" s="17">
        <f>IFERROR(__xludf.DUMMYFUNCTION("""COMPUTED_VALUE"""),14.0)</f>
        <v>14</v>
      </c>
      <c r="H91" s="17">
        <f>IFERROR(__xludf.DUMMYFUNCTION("""COMPUTED_VALUE"""),0.272)</f>
        <v>0.272</v>
      </c>
      <c r="I91" s="17">
        <f>IFERROR(__xludf.DUMMYFUNCTION("""COMPUTED_VALUE"""),0.327)</f>
        <v>0.327</v>
      </c>
      <c r="J91" s="17">
        <f>IFERROR(__xludf.DUMMYFUNCTION("""COMPUTED_VALUE"""),121.0)</f>
        <v>121</v>
      </c>
      <c r="K91" s="17">
        <f>IFERROR(__xludf.DUMMYFUNCTION("""COMPUTED_VALUE"""),22.0)</f>
        <v>22</v>
      </c>
      <c r="L91" s="17">
        <f>IFERROR(__xludf.DUMMYFUNCTION("""COMPUTED_VALUE"""),3.0)</f>
        <v>3</v>
      </c>
      <c r="M91" s="17">
        <f>IFERROR(__xludf.DUMMYFUNCTION("""COMPUTED_VALUE"""),34.0)</f>
        <v>34</v>
      </c>
      <c r="N91" s="17">
        <f>IFERROR(__xludf.DUMMYFUNCTION("""COMPUTED_VALUE"""),76.0)</f>
        <v>76</v>
      </c>
      <c r="O91" s="17">
        <f>IFERROR(__xludf.DUMMYFUNCTION("""COMPUTED_VALUE"""),0.403)</f>
        <v>0.403</v>
      </c>
      <c r="P91" s="17">
        <f>IFERROR(__xludf.DUMMYFUNCTION("""COMPUTED_VALUE"""),0.73)</f>
        <v>0.73</v>
      </c>
      <c r="Q91" s="34">
        <f>IFERROR(__xludf.DUMMYFUNCTION("""COMPUTED_VALUE"""),0.79)</f>
        <v>0.79</v>
      </c>
      <c r="R91" s="34">
        <f>IFERROR(__xludf.DUMMYFUNCTION("""COMPUTED_VALUE"""),0.86)</f>
        <v>0.86</v>
      </c>
      <c r="S91" s="34">
        <f>IFERROR(__xludf.DUMMYFUNCTION("""COMPUTED_VALUE"""),0.71)</f>
        <v>0.71</v>
      </c>
      <c r="T91" s="17" t="str">
        <f t="shared" si="1"/>
        <v>Otto Lopez</v>
      </c>
    </row>
    <row r="92">
      <c r="A92" s="17">
        <f>IFERROR(__xludf.DUMMYFUNCTION("""COMPUTED_VALUE"""),91.0)</f>
        <v>91</v>
      </c>
      <c r="B92" s="17" t="str">
        <f>IFERROR(__xludf.DUMMYFUNCTION("""COMPUTED_VALUE"""),"Lourdes Gurriel Jr. (ARI - LF)")</f>
        <v>Lourdes Gurriel Jr. (ARI - LF)</v>
      </c>
      <c r="C92" s="17">
        <f>IFERROR(__xludf.DUMMYFUNCTION("""COMPUTED_VALUE"""),450.0)</f>
        <v>450</v>
      </c>
      <c r="D92" s="17">
        <f>IFERROR(__xludf.DUMMYFUNCTION("""COMPUTED_VALUE"""),55.0)</f>
        <v>55</v>
      </c>
      <c r="E92" s="17">
        <f>IFERROR(__xludf.DUMMYFUNCTION("""COMPUTED_VALUE"""),15.0)</f>
        <v>15</v>
      </c>
      <c r="F92" s="17">
        <f>IFERROR(__xludf.DUMMYFUNCTION("""COMPUTED_VALUE"""),63.0)</f>
        <v>63</v>
      </c>
      <c r="G92" s="17">
        <f>IFERROR(__xludf.DUMMYFUNCTION("""COMPUTED_VALUE"""),7.0)</f>
        <v>7</v>
      </c>
      <c r="H92" s="17">
        <f>IFERROR(__xludf.DUMMYFUNCTION("""COMPUTED_VALUE"""),0.264)</f>
        <v>0.264</v>
      </c>
      <c r="I92" s="17">
        <f>IFERROR(__xludf.DUMMYFUNCTION("""COMPUTED_VALUE"""),0.315)</f>
        <v>0.315</v>
      </c>
      <c r="J92" s="17">
        <f>IFERROR(__xludf.DUMMYFUNCTION("""COMPUTED_VALUE"""),119.0)</f>
        <v>119</v>
      </c>
      <c r="K92" s="17">
        <f>IFERROR(__xludf.DUMMYFUNCTION("""COMPUTED_VALUE"""),23.0)</f>
        <v>23</v>
      </c>
      <c r="L92" s="17">
        <f>IFERROR(__xludf.DUMMYFUNCTION("""COMPUTED_VALUE"""),2.0)</f>
        <v>2</v>
      </c>
      <c r="M92" s="17">
        <f>IFERROR(__xludf.DUMMYFUNCTION("""COMPUTED_VALUE"""),30.0)</f>
        <v>30</v>
      </c>
      <c r="N92" s="17">
        <f>IFERROR(__xludf.DUMMYFUNCTION("""COMPUTED_VALUE"""),76.0)</f>
        <v>76</v>
      </c>
      <c r="O92" s="17">
        <f>IFERROR(__xludf.DUMMYFUNCTION("""COMPUTED_VALUE"""),0.42)</f>
        <v>0.42</v>
      </c>
      <c r="P92" s="17">
        <f>IFERROR(__xludf.DUMMYFUNCTION("""COMPUTED_VALUE"""),0.735)</f>
        <v>0.735</v>
      </c>
      <c r="Q92" s="34">
        <f>IFERROR(__xludf.DUMMYFUNCTION("""COMPUTED_VALUE"""),0.02)</f>
        <v>0.02</v>
      </c>
      <c r="R92" s="34">
        <f>IFERROR(__xludf.DUMMYFUNCTION("""COMPUTED_VALUE"""),0.03)</f>
        <v>0.03</v>
      </c>
      <c r="S92" s="34">
        <f>IFERROR(__xludf.DUMMYFUNCTION("""COMPUTED_VALUE"""),0.02)</f>
        <v>0.02</v>
      </c>
      <c r="T92" s="17" t="str">
        <f t="shared" si="1"/>
        <v>Lourdes Gurriel Jr.</v>
      </c>
    </row>
    <row r="93">
      <c r="A93" s="17">
        <f>IFERROR(__xludf.DUMMYFUNCTION("""COMPUTED_VALUE"""),92.0)</f>
        <v>92</v>
      </c>
      <c r="B93" s="17" t="str">
        <f>IFERROR(__xludf.DUMMYFUNCTION("""COMPUTED_VALUE"""),"Michael Busch (CHC - 1B)")</f>
        <v>Michael Busch (CHC - 1B)</v>
      </c>
      <c r="C93" s="17">
        <f>IFERROR(__xludf.DUMMYFUNCTION("""COMPUTED_VALUE"""),418.0)</f>
        <v>418</v>
      </c>
      <c r="D93" s="17">
        <f>IFERROR(__xludf.DUMMYFUNCTION("""COMPUTED_VALUE"""),63.0)</f>
        <v>63</v>
      </c>
      <c r="E93" s="17">
        <f>IFERROR(__xludf.DUMMYFUNCTION("""COMPUTED_VALUE"""),20.0)</f>
        <v>20</v>
      </c>
      <c r="F93" s="17">
        <f>IFERROR(__xludf.DUMMYFUNCTION("""COMPUTED_VALUE"""),64.0)</f>
        <v>64</v>
      </c>
      <c r="G93" s="17">
        <f>IFERROR(__xludf.DUMMYFUNCTION("""COMPUTED_VALUE"""),3.0)</f>
        <v>3</v>
      </c>
      <c r="H93" s="17">
        <f>IFERROR(__xludf.DUMMYFUNCTION("""COMPUTED_VALUE"""),0.245)</f>
        <v>0.245</v>
      </c>
      <c r="I93" s="17">
        <f>IFERROR(__xludf.DUMMYFUNCTION("""COMPUTED_VALUE"""),0.334)</f>
        <v>0.334</v>
      </c>
      <c r="J93" s="17">
        <f>IFERROR(__xludf.DUMMYFUNCTION("""COMPUTED_VALUE"""),103.0)</f>
        <v>103</v>
      </c>
      <c r="K93" s="17">
        <f>IFERROR(__xludf.DUMMYFUNCTION("""COMPUTED_VALUE"""),21.0)</f>
        <v>21</v>
      </c>
      <c r="L93" s="17">
        <f>IFERROR(__xludf.DUMMYFUNCTION("""COMPUTED_VALUE"""),2.0)</f>
        <v>2</v>
      </c>
      <c r="M93" s="17">
        <f>IFERROR(__xludf.DUMMYFUNCTION("""COMPUTED_VALUE"""),50.0)</f>
        <v>50</v>
      </c>
      <c r="N93" s="17">
        <f>IFERROR(__xludf.DUMMYFUNCTION("""COMPUTED_VALUE"""),116.0)</f>
        <v>116</v>
      </c>
      <c r="O93" s="17">
        <f>IFERROR(__xludf.DUMMYFUNCTION("""COMPUTED_VALUE"""),0.45)</f>
        <v>0.45</v>
      </c>
      <c r="P93" s="17">
        <f>IFERROR(__xludf.DUMMYFUNCTION("""COMPUTED_VALUE"""),0.784)</f>
        <v>0.784</v>
      </c>
      <c r="Q93" s="34">
        <f>IFERROR(__xludf.DUMMYFUNCTION("""COMPUTED_VALUE"""),0.6)</f>
        <v>0.6</v>
      </c>
      <c r="R93" s="34">
        <f>IFERROR(__xludf.DUMMYFUNCTION("""COMPUTED_VALUE"""),0.78)</f>
        <v>0.78</v>
      </c>
      <c r="S93" s="34">
        <f>IFERROR(__xludf.DUMMYFUNCTION("""COMPUTED_VALUE"""),0.42)</f>
        <v>0.42</v>
      </c>
      <c r="T93" s="17" t="str">
        <f t="shared" si="1"/>
        <v>Michael Busch</v>
      </c>
    </row>
    <row r="94">
      <c r="A94" s="17">
        <f>IFERROR(__xludf.DUMMYFUNCTION("""COMPUTED_VALUE"""),93.0)</f>
        <v>93</v>
      </c>
      <c r="B94" s="17" t="str">
        <f>IFERROR(__xludf.DUMMYFUNCTION("""COMPUTED_VALUE"""),"Jarren Duran (BOS - LF,CF)")</f>
        <v>Jarren Duran (BOS - LF,CF)</v>
      </c>
      <c r="C94" s="17">
        <f>IFERROR(__xludf.DUMMYFUNCTION("""COMPUTED_VALUE"""),418.0)</f>
        <v>418</v>
      </c>
      <c r="D94" s="17">
        <f>IFERROR(__xludf.DUMMYFUNCTION("""COMPUTED_VALUE"""),62.0)</f>
        <v>62</v>
      </c>
      <c r="E94" s="17">
        <f>IFERROR(__xludf.DUMMYFUNCTION("""COMPUTED_VALUE"""),12.0)</f>
        <v>12</v>
      </c>
      <c r="F94" s="17">
        <f>IFERROR(__xludf.DUMMYFUNCTION("""COMPUTED_VALUE"""),52.0)</f>
        <v>52</v>
      </c>
      <c r="G94" s="17">
        <f>IFERROR(__xludf.DUMMYFUNCTION("""COMPUTED_VALUE"""),18.0)</f>
        <v>18</v>
      </c>
      <c r="H94" s="17">
        <f>IFERROR(__xludf.DUMMYFUNCTION("""COMPUTED_VALUE"""),0.254)</f>
        <v>0.254</v>
      </c>
      <c r="I94" s="17">
        <f>IFERROR(__xludf.DUMMYFUNCTION("""COMPUTED_VALUE"""),0.324)</f>
        <v>0.324</v>
      </c>
      <c r="J94" s="17">
        <f>IFERROR(__xludf.DUMMYFUNCTION("""COMPUTED_VALUE"""),106.0)</f>
        <v>106</v>
      </c>
      <c r="K94" s="17">
        <f>IFERROR(__xludf.DUMMYFUNCTION("""COMPUTED_VALUE"""),26.0)</f>
        <v>26</v>
      </c>
      <c r="L94" s="17">
        <f>IFERROR(__xludf.DUMMYFUNCTION("""COMPUTED_VALUE"""),5.0)</f>
        <v>5</v>
      </c>
      <c r="M94" s="17">
        <f>IFERROR(__xludf.DUMMYFUNCTION("""COMPUTED_VALUE"""),39.0)</f>
        <v>39</v>
      </c>
      <c r="N94" s="17">
        <f>IFERROR(__xludf.DUMMYFUNCTION("""COMPUTED_VALUE"""),110.0)</f>
        <v>110</v>
      </c>
      <c r="O94" s="17">
        <f>IFERROR(__xludf.DUMMYFUNCTION("""COMPUTED_VALUE"""),0.429)</f>
        <v>0.429</v>
      </c>
      <c r="P94" s="17">
        <f>IFERROR(__xludf.DUMMYFUNCTION("""COMPUTED_VALUE"""),0.753)</f>
        <v>0.753</v>
      </c>
      <c r="Q94" s="34">
        <f>IFERROR(__xludf.DUMMYFUNCTION("""COMPUTED_VALUE"""),0.86)</f>
        <v>0.86</v>
      </c>
      <c r="R94" s="34">
        <f>IFERROR(__xludf.DUMMYFUNCTION("""COMPUTED_VALUE"""),0.92)</f>
        <v>0.92</v>
      </c>
      <c r="S94" s="34">
        <f>IFERROR(__xludf.DUMMYFUNCTION("""COMPUTED_VALUE"""),0.8)</f>
        <v>0.8</v>
      </c>
      <c r="T94" s="17" t="str">
        <f t="shared" si="1"/>
        <v>Jarren Duran</v>
      </c>
    </row>
    <row r="95">
      <c r="A95" s="17">
        <f>IFERROR(__xludf.DUMMYFUNCTION("""COMPUTED_VALUE"""),94.0)</f>
        <v>94</v>
      </c>
      <c r="B95" s="17" t="str">
        <f>IFERROR(__xludf.DUMMYFUNCTION("""COMPUTED_VALUE"""),"Mookie Betts (LAD - SS) IL10")</f>
        <v>Mookie Betts (LAD - SS) IL10</v>
      </c>
      <c r="C95" s="17">
        <f>IFERROR(__xludf.DUMMYFUNCTION("""COMPUTED_VALUE"""),370.0)</f>
        <v>370</v>
      </c>
      <c r="D95" s="17">
        <f>IFERROR(__xludf.DUMMYFUNCTION("""COMPUTED_VALUE"""),60.0)</f>
        <v>60</v>
      </c>
      <c r="E95" s="17">
        <f>IFERROR(__xludf.DUMMYFUNCTION("""COMPUTED_VALUE"""),15.0)</f>
        <v>15</v>
      </c>
      <c r="F95" s="17">
        <f>IFERROR(__xludf.DUMMYFUNCTION("""COMPUTED_VALUE"""),56.0)</f>
        <v>56</v>
      </c>
      <c r="G95" s="17">
        <f>IFERROR(__xludf.DUMMYFUNCTION("""COMPUTED_VALUE"""),6.0)</f>
        <v>6</v>
      </c>
      <c r="H95" s="17">
        <f>IFERROR(__xludf.DUMMYFUNCTION("""COMPUTED_VALUE"""),0.269)</f>
        <v>0.269</v>
      </c>
      <c r="I95" s="17">
        <f>IFERROR(__xludf.DUMMYFUNCTION("""COMPUTED_VALUE"""),0.357)</f>
        <v>0.357</v>
      </c>
      <c r="J95" s="17">
        <f>IFERROR(__xludf.DUMMYFUNCTION("""COMPUTED_VALUE"""),100.0)</f>
        <v>100</v>
      </c>
      <c r="K95" s="17">
        <f>IFERROR(__xludf.DUMMYFUNCTION("""COMPUTED_VALUE"""),20.0)</f>
        <v>20</v>
      </c>
      <c r="L95" s="17">
        <f>IFERROR(__xludf.DUMMYFUNCTION("""COMPUTED_VALUE"""),2.0)</f>
        <v>2</v>
      </c>
      <c r="M95" s="17">
        <f>IFERROR(__xludf.DUMMYFUNCTION("""COMPUTED_VALUE"""),48.0)</f>
        <v>48</v>
      </c>
      <c r="N95" s="17">
        <f>IFERROR(__xludf.DUMMYFUNCTION("""COMPUTED_VALUE"""),50.0)</f>
        <v>50</v>
      </c>
      <c r="O95" s="17">
        <f>IFERROR(__xludf.DUMMYFUNCTION("""COMPUTED_VALUE"""),0.455)</f>
        <v>0.455</v>
      </c>
      <c r="P95" s="17">
        <f>IFERROR(__xludf.DUMMYFUNCTION("""COMPUTED_VALUE"""),0.812)</f>
        <v>0.812</v>
      </c>
      <c r="Q95" s="34">
        <f>IFERROR(__xludf.DUMMYFUNCTION("""COMPUTED_VALUE"""),0.98)</f>
        <v>0.98</v>
      </c>
      <c r="R95" s="34">
        <f>IFERROR(__xludf.DUMMYFUNCTION("""COMPUTED_VALUE"""),0.98)</f>
        <v>0.98</v>
      </c>
      <c r="S95" s="34">
        <f>IFERROR(__xludf.DUMMYFUNCTION("""COMPUTED_VALUE"""),0.97)</f>
        <v>0.97</v>
      </c>
      <c r="T95" s="17" t="str">
        <f t="shared" si="1"/>
        <v>Mookie Betts</v>
      </c>
    </row>
    <row r="96">
      <c r="A96" s="17">
        <f>IFERROR(__xludf.DUMMYFUNCTION("""COMPUTED_VALUE"""),95.0)</f>
        <v>95</v>
      </c>
      <c r="B96" s="17" t="str">
        <f>IFERROR(__xludf.DUMMYFUNCTION("""COMPUTED_VALUE"""),"Jake Burger (TEX - 1B)")</f>
        <v>Jake Burger (TEX - 1B)</v>
      </c>
      <c r="C96" s="17">
        <f>IFERROR(__xludf.DUMMYFUNCTION("""COMPUTED_VALUE"""),458.0)</f>
        <v>458</v>
      </c>
      <c r="D96" s="17">
        <f>IFERROR(__xludf.DUMMYFUNCTION("""COMPUTED_VALUE"""),58.0)</f>
        <v>58</v>
      </c>
      <c r="E96" s="17">
        <f>IFERROR(__xludf.DUMMYFUNCTION("""COMPUTED_VALUE"""),23.0)</f>
        <v>23</v>
      </c>
      <c r="F96" s="17">
        <f>IFERROR(__xludf.DUMMYFUNCTION("""COMPUTED_VALUE"""),72.0)</f>
        <v>72</v>
      </c>
      <c r="G96" s="17">
        <f>IFERROR(__xludf.DUMMYFUNCTION("""COMPUTED_VALUE"""),1.0)</f>
        <v>1</v>
      </c>
      <c r="H96" s="17">
        <f>IFERROR(__xludf.DUMMYFUNCTION("""COMPUTED_VALUE"""),0.241)</f>
        <v>0.241</v>
      </c>
      <c r="I96" s="17">
        <f>IFERROR(__xludf.DUMMYFUNCTION("""COMPUTED_VALUE"""),0.294)</f>
        <v>0.294</v>
      </c>
      <c r="J96" s="17">
        <f>IFERROR(__xludf.DUMMYFUNCTION("""COMPUTED_VALUE"""),110.0)</f>
        <v>110</v>
      </c>
      <c r="K96" s="17">
        <f>IFERROR(__xludf.DUMMYFUNCTION("""COMPUTED_VALUE"""),21.0)</f>
        <v>21</v>
      </c>
      <c r="L96" s="17">
        <f>IFERROR(__xludf.DUMMYFUNCTION("""COMPUTED_VALUE"""),1.0)</f>
        <v>1</v>
      </c>
      <c r="M96" s="17">
        <f>IFERROR(__xludf.DUMMYFUNCTION("""COMPUTED_VALUE"""),27.0)</f>
        <v>27</v>
      </c>
      <c r="N96" s="17">
        <f>IFERROR(__xludf.DUMMYFUNCTION("""COMPUTED_VALUE"""),126.0)</f>
        <v>126</v>
      </c>
      <c r="O96" s="17">
        <f>IFERROR(__xludf.DUMMYFUNCTION("""COMPUTED_VALUE"""),0.444)</f>
        <v>0.444</v>
      </c>
      <c r="P96" s="17">
        <f>IFERROR(__xludf.DUMMYFUNCTION("""COMPUTED_VALUE"""),0.738)</f>
        <v>0.738</v>
      </c>
      <c r="Q96" s="34">
        <f>IFERROR(__xludf.DUMMYFUNCTION("""COMPUTED_VALUE"""),0.14)</f>
        <v>0.14</v>
      </c>
      <c r="R96" s="34">
        <f>IFERROR(__xludf.DUMMYFUNCTION("""COMPUTED_VALUE"""),0.19)</f>
        <v>0.19</v>
      </c>
      <c r="S96" s="34">
        <f>IFERROR(__xludf.DUMMYFUNCTION("""COMPUTED_VALUE"""),0.09)</f>
        <v>0.09</v>
      </c>
      <c r="T96" s="17" t="str">
        <f t="shared" si="1"/>
        <v>Jake Burger</v>
      </c>
    </row>
    <row r="97">
      <c r="A97" s="17">
        <f>IFERROR(__xludf.DUMMYFUNCTION("""COMPUTED_VALUE"""),96.0)</f>
        <v>96</v>
      </c>
      <c r="B97" s="17" t="str">
        <f>IFERROR(__xludf.DUMMYFUNCTION("""COMPUTED_VALUE"""),"Luke Keaschall (MIN - 2B)")</f>
        <v>Luke Keaschall (MIN - 2B)</v>
      </c>
      <c r="C97" s="17">
        <f>IFERROR(__xludf.DUMMYFUNCTION("""COMPUTED_VALUE"""),410.0)</f>
        <v>410</v>
      </c>
      <c r="D97" s="17">
        <f>IFERROR(__xludf.DUMMYFUNCTION("""COMPUTED_VALUE"""),57.0)</f>
        <v>57</v>
      </c>
      <c r="E97" s="17">
        <f>IFERROR(__xludf.DUMMYFUNCTION("""COMPUTED_VALUE"""),9.0)</f>
        <v>9</v>
      </c>
      <c r="F97" s="17">
        <f>IFERROR(__xludf.DUMMYFUNCTION("""COMPUTED_VALUE"""),51.0)</f>
        <v>51</v>
      </c>
      <c r="G97" s="17">
        <f>IFERROR(__xludf.DUMMYFUNCTION("""COMPUTED_VALUE"""),20.0)</f>
        <v>20</v>
      </c>
      <c r="H97" s="17">
        <f>IFERROR(__xludf.DUMMYFUNCTION("""COMPUTED_VALUE"""),0.265)</f>
        <v>0.265</v>
      </c>
      <c r="I97" s="17">
        <f>IFERROR(__xludf.DUMMYFUNCTION("""COMPUTED_VALUE"""),0.344)</f>
        <v>0.344</v>
      </c>
      <c r="J97" s="17">
        <f>IFERROR(__xludf.DUMMYFUNCTION("""COMPUTED_VALUE"""),109.0)</f>
        <v>109</v>
      </c>
      <c r="K97" s="17">
        <f>IFERROR(__xludf.DUMMYFUNCTION("""COMPUTED_VALUE"""),23.0)</f>
        <v>23</v>
      </c>
      <c r="L97" s="17">
        <f>IFERROR(__xludf.DUMMYFUNCTION("""COMPUTED_VALUE"""),1.0)</f>
        <v>1</v>
      </c>
      <c r="M97" s="17">
        <f>IFERROR(__xludf.DUMMYFUNCTION("""COMPUTED_VALUE"""),42.0)</f>
        <v>42</v>
      </c>
      <c r="N97" s="17">
        <f>IFERROR(__xludf.DUMMYFUNCTION("""COMPUTED_VALUE"""),77.0)</f>
        <v>77</v>
      </c>
      <c r="O97" s="17">
        <f>IFERROR(__xludf.DUMMYFUNCTION("""COMPUTED_VALUE"""),0.394)</f>
        <v>0.394</v>
      </c>
      <c r="P97" s="17">
        <f>IFERROR(__xludf.DUMMYFUNCTION("""COMPUTED_VALUE"""),0.738)</f>
        <v>0.738</v>
      </c>
      <c r="Q97" s="34">
        <f>IFERROR(__xludf.DUMMYFUNCTION("""COMPUTED_VALUE"""),0.72)</f>
        <v>0.72</v>
      </c>
      <c r="R97" s="34">
        <f>IFERROR(__xludf.DUMMYFUNCTION("""COMPUTED_VALUE"""),0.84)</f>
        <v>0.84</v>
      </c>
      <c r="S97" s="34">
        <f>IFERROR(__xludf.DUMMYFUNCTION("""COMPUTED_VALUE"""),0.6)</f>
        <v>0.6</v>
      </c>
      <c r="T97" s="17" t="str">
        <f t="shared" si="1"/>
        <v>Luke Keaschall</v>
      </c>
    </row>
    <row r="98">
      <c r="A98" s="17">
        <f>IFERROR(__xludf.DUMMYFUNCTION("""COMPUTED_VALUE"""),97.0)</f>
        <v>97</v>
      </c>
      <c r="B98" s="17" t="str">
        <f>IFERROR(__xludf.DUMMYFUNCTION("""COMPUTED_VALUE"""),"Francisco Lindor (NYM - SS) IL10")</f>
        <v>Francisco Lindor (NYM - SS) IL10</v>
      </c>
      <c r="C98" s="17">
        <f>IFERROR(__xludf.DUMMYFUNCTION("""COMPUTED_VALUE"""),362.0)</f>
        <v>362</v>
      </c>
      <c r="D98" s="17">
        <f>IFERROR(__xludf.DUMMYFUNCTION("""COMPUTED_VALUE"""),59.0)</f>
        <v>59</v>
      </c>
      <c r="E98" s="17">
        <f>IFERROR(__xludf.DUMMYFUNCTION("""COMPUTED_VALUE"""),16.0)</f>
        <v>16</v>
      </c>
      <c r="F98" s="17">
        <f>IFERROR(__xludf.DUMMYFUNCTION("""COMPUTED_VALUE"""),51.0)</f>
        <v>51</v>
      </c>
      <c r="G98" s="17">
        <f>IFERROR(__xludf.DUMMYFUNCTION("""COMPUTED_VALUE"""),14.0)</f>
        <v>14</v>
      </c>
      <c r="H98" s="17">
        <f>IFERROR(__xludf.DUMMYFUNCTION("""COMPUTED_VALUE"""),0.257)</f>
        <v>0.257</v>
      </c>
      <c r="I98" s="17">
        <f>IFERROR(__xludf.DUMMYFUNCTION("""COMPUTED_VALUE"""),0.338)</f>
        <v>0.338</v>
      </c>
      <c r="J98" s="17">
        <f>IFERROR(__xludf.DUMMYFUNCTION("""COMPUTED_VALUE"""),93.0)</f>
        <v>93</v>
      </c>
      <c r="K98" s="17">
        <f>IFERROR(__xludf.DUMMYFUNCTION("""COMPUTED_VALUE"""),18.0)</f>
        <v>18</v>
      </c>
      <c r="L98" s="17">
        <f>IFERROR(__xludf.DUMMYFUNCTION("""COMPUTED_VALUE"""),1.0)</f>
        <v>1</v>
      </c>
      <c r="M98" s="17">
        <f>IFERROR(__xludf.DUMMYFUNCTION("""COMPUTED_VALUE"""),38.0)</f>
        <v>38</v>
      </c>
      <c r="N98" s="17">
        <f>IFERROR(__xludf.DUMMYFUNCTION("""COMPUTED_VALUE"""),75.0)</f>
        <v>75</v>
      </c>
      <c r="O98" s="17">
        <f>IFERROR(__xludf.DUMMYFUNCTION("""COMPUTED_VALUE"""),0.445)</f>
        <v>0.445</v>
      </c>
      <c r="P98" s="17">
        <f>IFERROR(__xludf.DUMMYFUNCTION("""COMPUTED_VALUE"""),0.783)</f>
        <v>0.783</v>
      </c>
      <c r="Q98" s="34">
        <f>IFERROR(__xludf.DUMMYFUNCTION("""COMPUTED_VALUE"""),0.99)</f>
        <v>0.99</v>
      </c>
      <c r="R98" s="34">
        <f>IFERROR(__xludf.DUMMYFUNCTION("""COMPUTED_VALUE"""),0.99)</f>
        <v>0.99</v>
      </c>
      <c r="S98" s="34">
        <f>IFERROR(__xludf.DUMMYFUNCTION("""COMPUTED_VALUE"""),0.99)</f>
        <v>0.99</v>
      </c>
      <c r="T98" s="17" t="str">
        <f t="shared" si="1"/>
        <v>Francisco Lindor</v>
      </c>
    </row>
    <row r="99">
      <c r="A99" s="17">
        <f>IFERROR(__xludf.DUMMYFUNCTION("""COMPUTED_VALUE"""),98.0)</f>
        <v>98</v>
      </c>
      <c r="B99" s="17" t="str">
        <f>IFERROR(__xludf.DUMMYFUNCTION("""COMPUTED_VALUE"""),"Ezequiel Tovar (COL - SS)")</f>
        <v>Ezequiel Tovar (COL - SS)</v>
      </c>
      <c r="C99" s="17">
        <f>IFERROR(__xludf.DUMMYFUNCTION("""COMPUTED_VALUE"""),478.0)</f>
        <v>478</v>
      </c>
      <c r="D99" s="17">
        <f>IFERROR(__xludf.DUMMYFUNCTION("""COMPUTED_VALUE"""),60.0)</f>
        <v>60</v>
      </c>
      <c r="E99" s="17">
        <f>IFERROR(__xludf.DUMMYFUNCTION("""COMPUTED_VALUE"""),15.0)</f>
        <v>15</v>
      </c>
      <c r="F99" s="17">
        <f>IFERROR(__xludf.DUMMYFUNCTION("""COMPUTED_VALUE"""),60.0)</f>
        <v>60</v>
      </c>
      <c r="G99" s="17">
        <f>IFERROR(__xludf.DUMMYFUNCTION("""COMPUTED_VALUE"""),7.0)</f>
        <v>7</v>
      </c>
      <c r="H99" s="17">
        <f>IFERROR(__xludf.DUMMYFUNCTION("""COMPUTED_VALUE"""),0.259)</f>
        <v>0.259</v>
      </c>
      <c r="I99" s="17">
        <f>IFERROR(__xludf.DUMMYFUNCTION("""COMPUTED_VALUE"""),0.298)</f>
        <v>0.298</v>
      </c>
      <c r="J99" s="17">
        <f>IFERROR(__xludf.DUMMYFUNCTION("""COMPUTED_VALUE"""),124.0)</f>
        <v>124</v>
      </c>
      <c r="K99" s="17">
        <f>IFERROR(__xludf.DUMMYFUNCTION("""COMPUTED_VALUE"""),29.0)</f>
        <v>29</v>
      </c>
      <c r="L99" s="17">
        <f>IFERROR(__xludf.DUMMYFUNCTION("""COMPUTED_VALUE"""),3.0)</f>
        <v>3</v>
      </c>
      <c r="M99" s="17">
        <f>IFERROR(__xludf.DUMMYFUNCTION("""COMPUTED_VALUE"""),26.0)</f>
        <v>26</v>
      </c>
      <c r="N99" s="17">
        <f>IFERROR(__xludf.DUMMYFUNCTION("""COMPUTED_VALUE"""),127.0)</f>
        <v>127</v>
      </c>
      <c r="O99" s="17">
        <f>IFERROR(__xludf.DUMMYFUNCTION("""COMPUTED_VALUE"""),0.427)</f>
        <v>0.427</v>
      </c>
      <c r="P99" s="17">
        <f>IFERROR(__xludf.DUMMYFUNCTION("""COMPUTED_VALUE"""),0.725)</f>
        <v>0.725</v>
      </c>
      <c r="Q99" s="34">
        <f>IFERROR(__xludf.DUMMYFUNCTION("""COMPUTED_VALUE"""),0.29)</f>
        <v>0.29</v>
      </c>
      <c r="R99" s="34">
        <f>IFERROR(__xludf.DUMMYFUNCTION("""COMPUTED_VALUE"""),0.51)</f>
        <v>0.51</v>
      </c>
      <c r="S99" s="34">
        <f>IFERROR(__xludf.DUMMYFUNCTION("""COMPUTED_VALUE"""),0.06)</f>
        <v>0.06</v>
      </c>
      <c r="T99" s="17" t="str">
        <f t="shared" si="1"/>
        <v>Ezequiel Tovar</v>
      </c>
    </row>
    <row r="100">
      <c r="A100" s="17">
        <f>IFERROR(__xludf.DUMMYFUNCTION("""COMPUTED_VALUE"""),99.0)</f>
        <v>99</v>
      </c>
      <c r="B100" s="17" t="str">
        <f>IFERROR(__xludf.DUMMYFUNCTION("""COMPUTED_VALUE"""),"Ceddanne Rafaela (BOS - 2B,CF)")</f>
        <v>Ceddanne Rafaela (BOS - 2B,CF)</v>
      </c>
      <c r="C100" s="17">
        <f>IFERROR(__xludf.DUMMYFUNCTION("""COMPUTED_VALUE"""),432.0)</f>
        <v>432</v>
      </c>
      <c r="D100" s="17">
        <f>IFERROR(__xludf.DUMMYFUNCTION("""COMPUTED_VALUE"""),58.0)</f>
        <v>58</v>
      </c>
      <c r="E100" s="17">
        <f>IFERROR(__xludf.DUMMYFUNCTION("""COMPUTED_VALUE"""),13.0)</f>
        <v>13</v>
      </c>
      <c r="F100" s="17">
        <f>IFERROR(__xludf.DUMMYFUNCTION("""COMPUTED_VALUE"""),55.0)</f>
        <v>55</v>
      </c>
      <c r="G100" s="17">
        <f>IFERROR(__xludf.DUMMYFUNCTION("""COMPUTED_VALUE"""),16.0)</f>
        <v>16</v>
      </c>
      <c r="H100" s="17">
        <f>IFERROR(__xludf.DUMMYFUNCTION("""COMPUTED_VALUE"""),0.255)</f>
        <v>0.255</v>
      </c>
      <c r="I100" s="17">
        <f>IFERROR(__xludf.DUMMYFUNCTION("""COMPUTED_VALUE"""),0.299)</f>
        <v>0.299</v>
      </c>
      <c r="J100" s="17">
        <f>IFERROR(__xludf.DUMMYFUNCTION("""COMPUTED_VALUE"""),110.0)</f>
        <v>110</v>
      </c>
      <c r="K100" s="17">
        <f>IFERROR(__xludf.DUMMYFUNCTION("""COMPUTED_VALUE"""),23.0)</f>
        <v>23</v>
      </c>
      <c r="L100" s="17">
        <f>IFERROR(__xludf.DUMMYFUNCTION("""COMPUTED_VALUE"""),3.0)</f>
        <v>3</v>
      </c>
      <c r="M100" s="17">
        <f>IFERROR(__xludf.DUMMYFUNCTION("""COMPUTED_VALUE"""),23.0)</f>
        <v>23</v>
      </c>
      <c r="N100" s="17">
        <f>IFERROR(__xludf.DUMMYFUNCTION("""COMPUTED_VALUE"""),100.0)</f>
        <v>100</v>
      </c>
      <c r="O100" s="17">
        <f>IFERROR(__xludf.DUMMYFUNCTION("""COMPUTED_VALUE"""),0.414)</f>
        <v>0.414</v>
      </c>
      <c r="P100" s="17">
        <f>IFERROR(__xludf.DUMMYFUNCTION("""COMPUTED_VALUE"""),0.713)</f>
        <v>0.713</v>
      </c>
      <c r="Q100" s="34">
        <f>IFERROR(__xludf.DUMMYFUNCTION("""COMPUTED_VALUE"""),0.55)</f>
        <v>0.55</v>
      </c>
      <c r="R100" s="34">
        <f>IFERROR(__xludf.DUMMYFUNCTION("""COMPUTED_VALUE"""),0.71)</f>
        <v>0.71</v>
      </c>
      <c r="S100" s="34">
        <f>IFERROR(__xludf.DUMMYFUNCTION("""COMPUTED_VALUE"""),0.39)</f>
        <v>0.39</v>
      </c>
      <c r="T100" s="17" t="str">
        <f t="shared" si="1"/>
        <v>Ceddanne Rafaela</v>
      </c>
    </row>
    <row r="101">
      <c r="A101" s="17">
        <f>IFERROR(__xludf.DUMMYFUNCTION("""COMPUTED_VALUE"""),100.0)</f>
        <v>100</v>
      </c>
      <c r="B101" s="17" t="str">
        <f>IFERROR(__xludf.DUMMYFUNCTION("""COMPUTED_VALUE"""),"Christian Walker (HOU - 1B)")</f>
        <v>Christian Walker (HOU - 1B)</v>
      </c>
      <c r="C101" s="17">
        <f>IFERROR(__xludf.DUMMYFUNCTION("""COMPUTED_VALUE"""),437.0)</f>
        <v>437</v>
      </c>
      <c r="D101" s="17">
        <f>IFERROR(__xludf.DUMMYFUNCTION("""COMPUTED_VALUE"""),60.0)</f>
        <v>60</v>
      </c>
      <c r="E101" s="17">
        <f>IFERROR(__xludf.DUMMYFUNCTION("""COMPUTED_VALUE"""),23.0)</f>
        <v>23</v>
      </c>
      <c r="F101" s="17">
        <f>IFERROR(__xludf.DUMMYFUNCTION("""COMPUTED_VALUE"""),69.0)</f>
        <v>69</v>
      </c>
      <c r="G101" s="17">
        <f>IFERROR(__xludf.DUMMYFUNCTION("""COMPUTED_VALUE"""),3.0)</f>
        <v>3</v>
      </c>
      <c r="H101" s="17">
        <f>IFERROR(__xludf.DUMMYFUNCTION("""COMPUTED_VALUE"""),0.234)</f>
        <v>0.234</v>
      </c>
      <c r="I101" s="17">
        <f>IFERROR(__xludf.DUMMYFUNCTION("""COMPUTED_VALUE"""),0.313)</f>
        <v>0.313</v>
      </c>
      <c r="J101" s="17">
        <f>IFERROR(__xludf.DUMMYFUNCTION("""COMPUTED_VALUE"""),102.0)</f>
        <v>102</v>
      </c>
      <c r="K101" s="17">
        <f>IFERROR(__xludf.DUMMYFUNCTION("""COMPUTED_VALUE"""),20.0)</f>
        <v>20</v>
      </c>
      <c r="L101" s="17">
        <f>IFERROR(__xludf.DUMMYFUNCTION("""COMPUTED_VALUE"""),1.0)</f>
        <v>1</v>
      </c>
      <c r="M101" s="17">
        <f>IFERROR(__xludf.DUMMYFUNCTION("""COMPUTED_VALUE"""),44.0)</f>
        <v>44</v>
      </c>
      <c r="N101" s="17">
        <f>IFERROR(__xludf.DUMMYFUNCTION("""COMPUTED_VALUE"""),122.0)</f>
        <v>122</v>
      </c>
      <c r="O101" s="17">
        <f>IFERROR(__xludf.DUMMYFUNCTION("""COMPUTED_VALUE"""),0.44)</f>
        <v>0.44</v>
      </c>
      <c r="P101" s="17">
        <f>IFERROR(__xludf.DUMMYFUNCTION("""COMPUTED_VALUE"""),0.753)</f>
        <v>0.753</v>
      </c>
      <c r="Q101" s="34">
        <f>IFERROR(__xludf.DUMMYFUNCTION("""COMPUTED_VALUE"""),0.83)</f>
        <v>0.83</v>
      </c>
      <c r="R101" s="34">
        <f>IFERROR(__xludf.DUMMYFUNCTION("""COMPUTED_VALUE"""),0.91)</f>
        <v>0.91</v>
      </c>
      <c r="S101" s="34">
        <f>IFERROR(__xludf.DUMMYFUNCTION("""COMPUTED_VALUE"""),0.76)</f>
        <v>0.76</v>
      </c>
      <c r="T101" s="17" t="str">
        <f t="shared" si="1"/>
        <v>Christian Walker</v>
      </c>
    </row>
    <row r="102">
      <c r="A102" s="17">
        <f>IFERROR(__xludf.DUMMYFUNCTION("""COMPUTED_VALUE"""),101.0)</f>
        <v>101</v>
      </c>
      <c r="B102" s="17" t="str">
        <f>IFERROR(__xludf.DUMMYFUNCTION("""COMPUTED_VALUE"""),"Salvador Perez (KC - C,1B,DH)")</f>
        <v>Salvador Perez (KC - C,1B,DH)</v>
      </c>
      <c r="C102" s="17">
        <f>IFERROR(__xludf.DUMMYFUNCTION("""COMPUTED_VALUE"""),451.0)</f>
        <v>451</v>
      </c>
      <c r="D102" s="17">
        <f>IFERROR(__xludf.DUMMYFUNCTION("""COMPUTED_VALUE"""),53.0)</f>
        <v>53</v>
      </c>
      <c r="E102" s="17">
        <f>IFERROR(__xludf.DUMMYFUNCTION("""COMPUTED_VALUE"""),22.0)</f>
        <v>22</v>
      </c>
      <c r="F102" s="17">
        <f>IFERROR(__xludf.DUMMYFUNCTION("""COMPUTED_VALUE"""),72.0)</f>
        <v>72</v>
      </c>
      <c r="G102" s="17">
        <f>IFERROR(__xludf.DUMMYFUNCTION("""COMPUTED_VALUE"""),0.0)</f>
        <v>0</v>
      </c>
      <c r="H102" s="17">
        <f>IFERROR(__xludf.DUMMYFUNCTION("""COMPUTED_VALUE"""),0.249)</f>
        <v>0.249</v>
      </c>
      <c r="I102" s="17">
        <f>IFERROR(__xludf.DUMMYFUNCTION("""COMPUTED_VALUE"""),0.304)</f>
        <v>0.304</v>
      </c>
      <c r="J102" s="17">
        <f>IFERROR(__xludf.DUMMYFUNCTION("""COMPUTED_VALUE"""),112.0)</f>
        <v>112</v>
      </c>
      <c r="K102" s="17">
        <f>IFERROR(__xludf.DUMMYFUNCTION("""COMPUTED_VALUE"""),21.0)</f>
        <v>21</v>
      </c>
      <c r="L102" s="17">
        <f>IFERROR(__xludf.DUMMYFUNCTION("""COMPUTED_VALUE"""),0.0)</f>
        <v>0</v>
      </c>
      <c r="M102" s="17">
        <f>IFERROR(__xludf.DUMMYFUNCTION("""COMPUTED_VALUE"""),25.0)</f>
        <v>25</v>
      </c>
      <c r="N102" s="17">
        <f>IFERROR(__xludf.DUMMYFUNCTION("""COMPUTED_VALUE"""),100.0)</f>
        <v>100</v>
      </c>
      <c r="O102" s="17">
        <f>IFERROR(__xludf.DUMMYFUNCTION("""COMPUTED_VALUE"""),0.444)</f>
        <v>0.444</v>
      </c>
      <c r="P102" s="17">
        <f>IFERROR(__xludf.DUMMYFUNCTION("""COMPUTED_VALUE"""),0.747)</f>
        <v>0.747</v>
      </c>
      <c r="Q102" s="34">
        <f>IFERROR(__xludf.DUMMYFUNCTION("""COMPUTED_VALUE"""),0.78)</f>
        <v>0.78</v>
      </c>
      <c r="R102" s="34">
        <f>IFERROR(__xludf.DUMMYFUNCTION("""COMPUTED_VALUE"""),0.86)</f>
        <v>0.86</v>
      </c>
      <c r="S102" s="34">
        <f>IFERROR(__xludf.DUMMYFUNCTION("""COMPUTED_VALUE"""),0.7)</f>
        <v>0.7</v>
      </c>
      <c r="T102" s="17" t="str">
        <f t="shared" si="1"/>
        <v>Salvador Perez</v>
      </c>
    </row>
    <row r="103">
      <c r="A103" s="17">
        <f>IFERROR(__xludf.DUMMYFUNCTION("""COMPUTED_VALUE"""),102.0)</f>
        <v>102</v>
      </c>
      <c r="B103" s="17" t="str">
        <f>IFERROR(__xludf.DUMMYFUNCTION("""COMPUTED_VALUE"""),"Lawrence Butler (ATH - CF,RF)")</f>
        <v>Lawrence Butler (ATH - CF,RF)</v>
      </c>
      <c r="C103" s="17">
        <f>IFERROR(__xludf.DUMMYFUNCTION("""COMPUTED_VALUE"""),403.0)</f>
        <v>403</v>
      </c>
      <c r="D103" s="17">
        <f>IFERROR(__xludf.DUMMYFUNCTION("""COMPUTED_VALUE"""),59.0)</f>
        <v>59</v>
      </c>
      <c r="E103" s="17">
        <f>IFERROR(__xludf.DUMMYFUNCTION("""COMPUTED_VALUE"""),17.0)</f>
        <v>17</v>
      </c>
      <c r="F103" s="17">
        <f>IFERROR(__xludf.DUMMYFUNCTION("""COMPUTED_VALUE"""),56.0)</f>
        <v>56</v>
      </c>
      <c r="G103" s="17">
        <f>IFERROR(__xludf.DUMMYFUNCTION("""COMPUTED_VALUE"""),15.0)</f>
        <v>15</v>
      </c>
      <c r="H103" s="17">
        <f>IFERROR(__xludf.DUMMYFUNCTION("""COMPUTED_VALUE"""),0.241)</f>
        <v>0.241</v>
      </c>
      <c r="I103" s="17">
        <f>IFERROR(__xludf.DUMMYFUNCTION("""COMPUTED_VALUE"""),0.312)</f>
        <v>0.312</v>
      </c>
      <c r="J103" s="17">
        <f>IFERROR(__xludf.DUMMYFUNCTION("""COMPUTED_VALUE"""),97.0)</f>
        <v>97</v>
      </c>
      <c r="K103" s="17">
        <f>IFERROR(__xludf.DUMMYFUNCTION("""COMPUTED_VALUE"""),20.0)</f>
        <v>20</v>
      </c>
      <c r="L103" s="17">
        <f>IFERROR(__xludf.DUMMYFUNCTION("""COMPUTED_VALUE"""),1.0)</f>
        <v>1</v>
      </c>
      <c r="M103" s="17">
        <f>IFERROR(__xludf.DUMMYFUNCTION("""COMPUTED_VALUE"""),41.0)</f>
        <v>41</v>
      </c>
      <c r="N103" s="17">
        <f>IFERROR(__xludf.DUMMYFUNCTION("""COMPUTED_VALUE"""),116.0)</f>
        <v>116</v>
      </c>
      <c r="O103" s="17">
        <f>IFERROR(__xludf.DUMMYFUNCTION("""COMPUTED_VALUE"""),0.421)</f>
        <v>0.421</v>
      </c>
      <c r="P103" s="17">
        <f>IFERROR(__xludf.DUMMYFUNCTION("""COMPUTED_VALUE"""),0.733)</f>
        <v>0.733</v>
      </c>
      <c r="Q103" s="34">
        <f>IFERROR(__xludf.DUMMYFUNCTION("""COMPUTED_VALUE"""),0.35)</f>
        <v>0.35</v>
      </c>
      <c r="R103" s="34">
        <f>IFERROR(__xludf.DUMMYFUNCTION("""COMPUTED_VALUE"""),0.54)</f>
        <v>0.54</v>
      </c>
      <c r="S103" s="34">
        <f>IFERROR(__xludf.DUMMYFUNCTION("""COMPUTED_VALUE"""),0.16)</f>
        <v>0.16</v>
      </c>
      <c r="T103" s="17" t="str">
        <f t="shared" si="1"/>
        <v>Lawrence Butler</v>
      </c>
    </row>
    <row r="104">
      <c r="A104" s="17">
        <f>IFERROR(__xludf.DUMMYFUNCTION("""COMPUTED_VALUE"""),103.0)</f>
        <v>103</v>
      </c>
      <c r="B104" s="17" t="str">
        <f>IFERROR(__xludf.DUMMYFUNCTION("""COMPUTED_VALUE"""),"Xavier Edwards (MIA - 2B,SS)")</f>
        <v>Xavier Edwards (MIA - 2B,SS)</v>
      </c>
      <c r="C104" s="17">
        <f>IFERROR(__xludf.DUMMYFUNCTION("""COMPUTED_VALUE"""),429.0)</f>
        <v>429</v>
      </c>
      <c r="D104" s="17">
        <f>IFERROR(__xludf.DUMMYFUNCTION("""COMPUTED_VALUE"""),58.0)</f>
        <v>58</v>
      </c>
      <c r="E104" s="17">
        <f>IFERROR(__xludf.DUMMYFUNCTION("""COMPUTED_VALUE"""),4.0)</f>
        <v>4</v>
      </c>
      <c r="F104" s="17">
        <f>IFERROR(__xludf.DUMMYFUNCTION("""COMPUTED_VALUE"""),41.0)</f>
        <v>41</v>
      </c>
      <c r="G104" s="17">
        <f>IFERROR(__xludf.DUMMYFUNCTION("""COMPUTED_VALUE"""),21.0)</f>
        <v>21</v>
      </c>
      <c r="H104" s="17">
        <f>IFERROR(__xludf.DUMMYFUNCTION("""COMPUTED_VALUE"""),0.285)</f>
        <v>0.285</v>
      </c>
      <c r="I104" s="17">
        <f>IFERROR(__xludf.DUMMYFUNCTION("""COMPUTED_VALUE"""),0.352)</f>
        <v>0.352</v>
      </c>
      <c r="J104" s="17">
        <f>IFERROR(__xludf.DUMMYFUNCTION("""COMPUTED_VALUE"""),122.0)</f>
        <v>122</v>
      </c>
      <c r="K104" s="17">
        <f>IFERROR(__xludf.DUMMYFUNCTION("""COMPUTED_VALUE"""),19.0)</f>
        <v>19</v>
      </c>
      <c r="L104" s="17">
        <f>IFERROR(__xludf.DUMMYFUNCTION("""COMPUTED_VALUE"""),4.0)</f>
        <v>4</v>
      </c>
      <c r="M104" s="17">
        <f>IFERROR(__xludf.DUMMYFUNCTION("""COMPUTED_VALUE"""),45.0)</f>
        <v>45</v>
      </c>
      <c r="N104" s="17">
        <f>IFERROR(__xludf.DUMMYFUNCTION("""COMPUTED_VALUE"""),66.0)</f>
        <v>66</v>
      </c>
      <c r="O104" s="17">
        <f>IFERROR(__xludf.DUMMYFUNCTION("""COMPUTED_VALUE"""),0.372)</f>
        <v>0.372</v>
      </c>
      <c r="P104" s="17">
        <f>IFERROR(__xludf.DUMMYFUNCTION("""COMPUTED_VALUE"""),0.724)</f>
        <v>0.724</v>
      </c>
      <c r="Q104" s="34">
        <f>IFERROR(__xludf.DUMMYFUNCTION("""COMPUTED_VALUE"""),0.89)</f>
        <v>0.89</v>
      </c>
      <c r="R104" s="34">
        <f>IFERROR(__xludf.DUMMYFUNCTION("""COMPUTED_VALUE"""),0.92)</f>
        <v>0.92</v>
      </c>
      <c r="S104" s="34">
        <f>IFERROR(__xludf.DUMMYFUNCTION("""COMPUTED_VALUE"""),0.86)</f>
        <v>0.86</v>
      </c>
      <c r="T104" s="17" t="str">
        <f t="shared" si="1"/>
        <v>Xavier Edwards</v>
      </c>
    </row>
    <row r="105">
      <c r="A105" s="17">
        <f>IFERROR(__xludf.DUMMYFUNCTION("""COMPUTED_VALUE"""),104.0)</f>
        <v>104</v>
      </c>
      <c r="B105" s="17" t="str">
        <f>IFERROR(__xludf.DUMMYFUNCTION("""COMPUTED_VALUE"""),"Bryson Stott (PHI - 2B,SS)")</f>
        <v>Bryson Stott (PHI - 2B,SS)</v>
      </c>
      <c r="C105" s="17">
        <f>IFERROR(__xludf.DUMMYFUNCTION("""COMPUTED_VALUE"""),434.0)</f>
        <v>434</v>
      </c>
      <c r="D105" s="17">
        <f>IFERROR(__xludf.DUMMYFUNCTION("""COMPUTED_VALUE"""),57.0)</f>
        <v>57</v>
      </c>
      <c r="E105" s="17">
        <f>IFERROR(__xludf.DUMMYFUNCTION("""COMPUTED_VALUE"""),11.0)</f>
        <v>11</v>
      </c>
      <c r="F105" s="17">
        <f>IFERROR(__xludf.DUMMYFUNCTION("""COMPUTED_VALUE"""),51.0)</f>
        <v>51</v>
      </c>
      <c r="G105" s="17">
        <f>IFERROR(__xludf.DUMMYFUNCTION("""COMPUTED_VALUE"""),20.0)</f>
        <v>20</v>
      </c>
      <c r="H105" s="17">
        <f>IFERROR(__xludf.DUMMYFUNCTION("""COMPUTED_VALUE"""),0.255)</f>
        <v>0.255</v>
      </c>
      <c r="I105" s="17">
        <f>IFERROR(__xludf.DUMMYFUNCTION("""COMPUTED_VALUE"""),0.325)</f>
        <v>0.325</v>
      </c>
      <c r="J105" s="17">
        <f>IFERROR(__xludf.DUMMYFUNCTION("""COMPUTED_VALUE"""),111.0)</f>
        <v>111</v>
      </c>
      <c r="K105" s="17">
        <f>IFERROR(__xludf.DUMMYFUNCTION("""COMPUTED_VALUE"""),20.0)</f>
        <v>20</v>
      </c>
      <c r="L105" s="17">
        <f>IFERROR(__xludf.DUMMYFUNCTION("""COMPUTED_VALUE"""),3.0)</f>
        <v>3</v>
      </c>
      <c r="M105" s="17">
        <f>IFERROR(__xludf.DUMMYFUNCTION("""COMPUTED_VALUE"""),43.0)</f>
        <v>43</v>
      </c>
      <c r="N105" s="17">
        <f>IFERROR(__xludf.DUMMYFUNCTION("""COMPUTED_VALUE"""),81.0)</f>
        <v>81</v>
      </c>
      <c r="O105" s="17">
        <f>IFERROR(__xludf.DUMMYFUNCTION("""COMPUTED_VALUE"""),0.385)</f>
        <v>0.385</v>
      </c>
      <c r="P105" s="17">
        <f>IFERROR(__xludf.DUMMYFUNCTION("""COMPUTED_VALUE"""),0.71)</f>
        <v>0.71</v>
      </c>
      <c r="Q105" s="34">
        <f>IFERROR(__xludf.DUMMYFUNCTION("""COMPUTED_VALUE"""),0.32)</f>
        <v>0.32</v>
      </c>
      <c r="R105" s="34">
        <f>IFERROR(__xludf.DUMMYFUNCTION("""COMPUTED_VALUE"""),0.27)</f>
        <v>0.27</v>
      </c>
      <c r="S105" s="34">
        <f>IFERROR(__xludf.DUMMYFUNCTION("""COMPUTED_VALUE"""),0.37)</f>
        <v>0.37</v>
      </c>
      <c r="T105" s="17" t="str">
        <f t="shared" si="1"/>
        <v>Bryson Stott</v>
      </c>
    </row>
    <row r="106">
      <c r="A106" s="17">
        <f>IFERROR(__xludf.DUMMYFUNCTION("""COMPUTED_VALUE"""),105.0)</f>
        <v>105</v>
      </c>
      <c r="B106" s="17" t="str">
        <f>IFERROR(__xludf.DUMMYFUNCTION("""COMPUTED_VALUE"""),"Steven Kwan (CLE - LF,CF)")</f>
        <v>Steven Kwan (CLE - LF,CF)</v>
      </c>
      <c r="C106" s="17">
        <f>IFERROR(__xludf.DUMMYFUNCTION("""COMPUTED_VALUE"""),464.0)</f>
        <v>464</v>
      </c>
      <c r="D106" s="17">
        <f>IFERROR(__xludf.DUMMYFUNCTION("""COMPUTED_VALUE"""),65.0)</f>
        <v>65</v>
      </c>
      <c r="E106" s="17">
        <f>IFERROR(__xludf.DUMMYFUNCTION("""COMPUTED_VALUE"""),7.0)</f>
        <v>7</v>
      </c>
      <c r="F106" s="17">
        <f>IFERROR(__xludf.DUMMYFUNCTION("""COMPUTED_VALUE"""),46.0)</f>
        <v>46</v>
      </c>
      <c r="G106" s="17">
        <f>IFERROR(__xludf.DUMMYFUNCTION("""COMPUTED_VALUE"""),14.0)</f>
        <v>14</v>
      </c>
      <c r="H106" s="17">
        <f>IFERROR(__xludf.DUMMYFUNCTION("""COMPUTED_VALUE"""),0.272)</f>
        <v>0.272</v>
      </c>
      <c r="I106" s="17">
        <f>IFERROR(__xludf.DUMMYFUNCTION("""COMPUTED_VALUE"""),0.345)</f>
        <v>0.345</v>
      </c>
      <c r="J106" s="17">
        <f>IFERROR(__xludf.DUMMYFUNCTION("""COMPUTED_VALUE"""),126.0)</f>
        <v>126</v>
      </c>
      <c r="K106" s="17">
        <f>IFERROR(__xludf.DUMMYFUNCTION("""COMPUTED_VALUE"""),21.0)</f>
        <v>21</v>
      </c>
      <c r="L106" s="17">
        <f>IFERROR(__xludf.DUMMYFUNCTION("""COMPUTED_VALUE"""),2.0)</f>
        <v>2</v>
      </c>
      <c r="M106" s="17">
        <f>IFERROR(__xludf.DUMMYFUNCTION("""COMPUTED_VALUE"""),50.0)</f>
        <v>50</v>
      </c>
      <c r="N106" s="17">
        <f>IFERROR(__xludf.DUMMYFUNCTION("""COMPUTED_VALUE"""),49.0)</f>
        <v>49</v>
      </c>
      <c r="O106" s="17">
        <f>IFERROR(__xludf.DUMMYFUNCTION("""COMPUTED_VALUE"""),0.373)</f>
        <v>0.373</v>
      </c>
      <c r="P106" s="17">
        <f>IFERROR(__xludf.DUMMYFUNCTION("""COMPUTED_VALUE"""),0.719)</f>
        <v>0.719</v>
      </c>
      <c r="Q106" s="34">
        <f>IFERROR(__xludf.DUMMYFUNCTION("""COMPUTED_VALUE"""),0.77)</f>
        <v>0.77</v>
      </c>
      <c r="R106" s="34">
        <f>IFERROR(__xludf.DUMMYFUNCTION("""COMPUTED_VALUE"""),0.72)</f>
        <v>0.72</v>
      </c>
      <c r="S106" s="34">
        <f>IFERROR(__xludf.DUMMYFUNCTION("""COMPUTED_VALUE"""),0.82)</f>
        <v>0.82</v>
      </c>
      <c r="T106" s="17" t="str">
        <f t="shared" si="1"/>
        <v>Steven Kwan</v>
      </c>
    </row>
    <row r="107">
      <c r="A107" s="17">
        <f>IFERROR(__xludf.DUMMYFUNCTION("""COMPUTED_VALUE"""),106.0)</f>
        <v>106</v>
      </c>
      <c r="B107" s="17" t="str">
        <f>IFERROR(__xludf.DUMMYFUNCTION("""COMPUTED_VALUE"""),"Ramon Laureano (SD - LF,CF,RF)")</f>
        <v>Ramon Laureano (SD - LF,CF,RF)</v>
      </c>
      <c r="C107" s="17">
        <f>IFERROR(__xludf.DUMMYFUNCTION("""COMPUTED_VALUE"""),427.0)</f>
        <v>427</v>
      </c>
      <c r="D107" s="17">
        <f>IFERROR(__xludf.DUMMYFUNCTION("""COMPUTED_VALUE"""),61.0)</f>
        <v>61</v>
      </c>
      <c r="E107" s="17">
        <f>IFERROR(__xludf.DUMMYFUNCTION("""COMPUTED_VALUE"""),18.0)</f>
        <v>18</v>
      </c>
      <c r="F107" s="17">
        <f>IFERROR(__xludf.DUMMYFUNCTION("""COMPUTED_VALUE"""),59.0)</f>
        <v>59</v>
      </c>
      <c r="G107" s="17">
        <f>IFERROR(__xludf.DUMMYFUNCTION("""COMPUTED_VALUE"""),8.0)</f>
        <v>8</v>
      </c>
      <c r="H107" s="17">
        <f>IFERROR(__xludf.DUMMYFUNCTION("""COMPUTED_VALUE"""),0.243)</f>
        <v>0.243</v>
      </c>
      <c r="I107" s="17">
        <f>IFERROR(__xludf.DUMMYFUNCTION("""COMPUTED_VALUE"""),0.314)</f>
        <v>0.314</v>
      </c>
      <c r="J107" s="17">
        <f>IFERROR(__xludf.DUMMYFUNCTION("""COMPUTED_VALUE"""),104.0)</f>
        <v>104</v>
      </c>
      <c r="K107" s="17">
        <f>IFERROR(__xludf.DUMMYFUNCTION("""COMPUTED_VALUE"""),20.0)</f>
        <v>20</v>
      </c>
      <c r="L107" s="17">
        <f>IFERROR(__xludf.DUMMYFUNCTION("""COMPUTED_VALUE"""),3.0)</f>
        <v>3</v>
      </c>
      <c r="M107" s="17">
        <f>IFERROR(__xludf.DUMMYFUNCTION("""COMPUTED_VALUE"""),36.0)</f>
        <v>36</v>
      </c>
      <c r="N107" s="17">
        <f>IFERROR(__xludf.DUMMYFUNCTION("""COMPUTED_VALUE"""),129.0)</f>
        <v>129</v>
      </c>
      <c r="O107" s="17">
        <f>IFERROR(__xludf.DUMMYFUNCTION("""COMPUTED_VALUE"""),0.429)</f>
        <v>0.429</v>
      </c>
      <c r="P107" s="17">
        <f>IFERROR(__xludf.DUMMYFUNCTION("""COMPUTED_VALUE"""),0.742)</f>
        <v>0.742</v>
      </c>
      <c r="Q107" s="34">
        <f>IFERROR(__xludf.DUMMYFUNCTION("""COMPUTED_VALUE"""),0.48)</f>
        <v>0.48</v>
      </c>
      <c r="R107" s="34">
        <f>IFERROR(__xludf.DUMMYFUNCTION("""COMPUTED_VALUE"""),0.69)</f>
        <v>0.69</v>
      </c>
      <c r="S107" s="34">
        <f>IFERROR(__xludf.DUMMYFUNCTION("""COMPUTED_VALUE"""),0.28)</f>
        <v>0.28</v>
      </c>
      <c r="T107" s="17" t="str">
        <f t="shared" si="1"/>
        <v>Ramon Laureano</v>
      </c>
    </row>
    <row r="108">
      <c r="A108" s="17">
        <f>IFERROR(__xludf.DUMMYFUNCTION("""COMPUTED_VALUE"""),107.0)</f>
        <v>107</v>
      </c>
      <c r="B108" s="17" t="str">
        <f>IFERROR(__xludf.DUMMYFUNCTION("""COMPUTED_VALUE"""),"Bryan Reynolds (PIT - LF,CF,RF,DH)")</f>
        <v>Bryan Reynolds (PIT - LF,CF,RF,DH)</v>
      </c>
      <c r="C108" s="17">
        <f>IFERROR(__xludf.DUMMYFUNCTION("""COMPUTED_VALUE"""),458.0)</f>
        <v>458</v>
      </c>
      <c r="D108" s="17">
        <f>IFERROR(__xludf.DUMMYFUNCTION("""COMPUTED_VALUE"""),62.0)</f>
        <v>62</v>
      </c>
      <c r="E108" s="17">
        <f>IFERROR(__xludf.DUMMYFUNCTION("""COMPUTED_VALUE"""),15.0)</f>
        <v>15</v>
      </c>
      <c r="F108" s="17">
        <f>IFERROR(__xludf.DUMMYFUNCTION("""COMPUTED_VALUE"""),62.0)</f>
        <v>62</v>
      </c>
      <c r="G108" s="17">
        <f>IFERROR(__xludf.DUMMYFUNCTION("""COMPUTED_VALUE"""),4.0)</f>
        <v>4</v>
      </c>
      <c r="H108" s="17">
        <f>IFERROR(__xludf.DUMMYFUNCTION("""COMPUTED_VALUE"""),0.253)</f>
        <v>0.253</v>
      </c>
      <c r="I108" s="17">
        <f>IFERROR(__xludf.DUMMYFUNCTION("""COMPUTED_VALUE"""),0.337)</f>
        <v>0.337</v>
      </c>
      <c r="J108" s="17">
        <f>IFERROR(__xludf.DUMMYFUNCTION("""COMPUTED_VALUE"""),116.0)</f>
        <v>116</v>
      </c>
      <c r="K108" s="17">
        <f>IFERROR(__xludf.DUMMYFUNCTION("""COMPUTED_VALUE"""),22.0)</f>
        <v>22</v>
      </c>
      <c r="L108" s="17">
        <f>IFERROR(__xludf.DUMMYFUNCTION("""COMPUTED_VALUE"""),3.0)</f>
        <v>3</v>
      </c>
      <c r="M108" s="17">
        <f>IFERROR(__xludf.DUMMYFUNCTION("""COMPUTED_VALUE"""),51.0)</f>
        <v>51</v>
      </c>
      <c r="N108" s="17">
        <f>IFERROR(__xludf.DUMMYFUNCTION("""COMPUTED_VALUE"""),127.0)</f>
        <v>127</v>
      </c>
      <c r="O108" s="17">
        <f>IFERROR(__xludf.DUMMYFUNCTION("""COMPUTED_VALUE"""),0.414)</f>
        <v>0.414</v>
      </c>
      <c r="P108" s="17">
        <f>IFERROR(__xludf.DUMMYFUNCTION("""COMPUTED_VALUE"""),0.752)</f>
        <v>0.752</v>
      </c>
      <c r="Q108" s="34">
        <f>IFERROR(__xludf.DUMMYFUNCTION("""COMPUTED_VALUE"""),0.76)</f>
        <v>0.76</v>
      </c>
      <c r="R108" s="34">
        <f>IFERROR(__xludf.DUMMYFUNCTION("""COMPUTED_VALUE"""),0.85)</f>
        <v>0.85</v>
      </c>
      <c r="S108" s="34">
        <f>IFERROR(__xludf.DUMMYFUNCTION("""COMPUTED_VALUE"""),0.67)</f>
        <v>0.67</v>
      </c>
      <c r="T108" s="17" t="str">
        <f t="shared" si="1"/>
        <v>Bryan Reynolds</v>
      </c>
    </row>
    <row r="109">
      <c r="A109" s="17">
        <f>IFERROR(__xludf.DUMMYFUNCTION("""COMPUTED_VALUE"""),108.0)</f>
        <v>108</v>
      </c>
      <c r="B109" s="17" t="str">
        <f>IFERROR(__xludf.DUMMYFUNCTION("""COMPUTED_VALUE"""),"JJ Wetherholt (STL - 2B,3B,SS)")</f>
        <v>JJ Wetherholt (STL - 2B,3B,SS)</v>
      </c>
      <c r="C109" s="17">
        <f>IFERROR(__xludf.DUMMYFUNCTION("""COMPUTED_VALUE"""),437.0)</f>
        <v>437</v>
      </c>
      <c r="D109" s="17">
        <f>IFERROR(__xludf.DUMMYFUNCTION("""COMPUTED_VALUE"""),65.0)</f>
        <v>65</v>
      </c>
      <c r="E109" s="17">
        <f>IFERROR(__xludf.DUMMYFUNCTION("""COMPUTED_VALUE"""),13.0)</f>
        <v>13</v>
      </c>
      <c r="F109" s="17">
        <f>IFERROR(__xludf.DUMMYFUNCTION("""COMPUTED_VALUE"""),53.0)</f>
        <v>53</v>
      </c>
      <c r="G109" s="17">
        <f>IFERROR(__xludf.DUMMYFUNCTION("""COMPUTED_VALUE"""),11.0)</f>
        <v>11</v>
      </c>
      <c r="H109" s="17">
        <f>IFERROR(__xludf.DUMMYFUNCTION("""COMPUTED_VALUE"""),0.251)</f>
        <v>0.251</v>
      </c>
      <c r="I109" s="17">
        <f>IFERROR(__xludf.DUMMYFUNCTION("""COMPUTED_VALUE"""),0.339)</f>
        <v>0.339</v>
      </c>
      <c r="J109" s="17">
        <f>IFERROR(__xludf.DUMMYFUNCTION("""COMPUTED_VALUE"""),110.0)</f>
        <v>110</v>
      </c>
      <c r="K109" s="17">
        <f>IFERROR(__xludf.DUMMYFUNCTION("""COMPUTED_VALUE"""),20.0)</f>
        <v>20</v>
      </c>
      <c r="L109" s="17">
        <f>IFERROR(__xludf.DUMMYFUNCTION("""COMPUTED_VALUE"""),1.0)</f>
        <v>1</v>
      </c>
      <c r="M109" s="17">
        <f>IFERROR(__xludf.DUMMYFUNCTION("""COMPUTED_VALUE"""),50.0)</f>
        <v>50</v>
      </c>
      <c r="N109" s="17">
        <f>IFERROR(__xludf.DUMMYFUNCTION("""COMPUTED_VALUE"""),90.0)</f>
        <v>90</v>
      </c>
      <c r="O109" s="17">
        <f>IFERROR(__xludf.DUMMYFUNCTION("""COMPUTED_VALUE"""),0.393)</f>
        <v>0.393</v>
      </c>
      <c r="P109" s="17">
        <f>IFERROR(__xludf.DUMMYFUNCTION("""COMPUTED_VALUE"""),0.732)</f>
        <v>0.732</v>
      </c>
      <c r="Q109" s="34">
        <f>IFERROR(__xludf.DUMMYFUNCTION("""COMPUTED_VALUE"""),0.8)</f>
        <v>0.8</v>
      </c>
      <c r="R109" s="34">
        <f>IFERROR(__xludf.DUMMYFUNCTION("""COMPUTED_VALUE"""),0.91)</f>
        <v>0.91</v>
      </c>
      <c r="S109" s="34">
        <f>IFERROR(__xludf.DUMMYFUNCTION("""COMPUTED_VALUE"""),0.7)</f>
        <v>0.7</v>
      </c>
      <c r="T109" s="17" t="str">
        <f t="shared" si="1"/>
        <v>JJ Wetherholt</v>
      </c>
    </row>
    <row r="110">
      <c r="A110" s="17">
        <f>IFERROR(__xludf.DUMMYFUNCTION("""COMPUTED_VALUE"""),109.0)</f>
        <v>109</v>
      </c>
      <c r="B110" s="17" t="str">
        <f>IFERROR(__xludf.DUMMYFUNCTION("""COMPUTED_VALUE"""),"Gleyber Torres (DET - 2B)")</f>
        <v>Gleyber Torres (DET - 2B)</v>
      </c>
      <c r="C110" s="17">
        <f>IFERROR(__xludf.DUMMYFUNCTION("""COMPUTED_VALUE"""),458.0)</f>
        <v>458</v>
      </c>
      <c r="D110" s="17">
        <f>IFERROR(__xludf.DUMMYFUNCTION("""COMPUTED_VALUE"""),67.0)</f>
        <v>67</v>
      </c>
      <c r="E110" s="17">
        <f>IFERROR(__xludf.DUMMYFUNCTION("""COMPUTED_VALUE"""),14.0)</f>
        <v>14</v>
      </c>
      <c r="F110" s="17">
        <f>IFERROR(__xludf.DUMMYFUNCTION("""COMPUTED_VALUE"""),55.0)</f>
        <v>55</v>
      </c>
      <c r="G110" s="17">
        <f>IFERROR(__xludf.DUMMYFUNCTION("""COMPUTED_VALUE"""),4.0)</f>
        <v>4</v>
      </c>
      <c r="H110" s="17">
        <f>IFERROR(__xludf.DUMMYFUNCTION("""COMPUTED_VALUE"""),0.256)</f>
        <v>0.256</v>
      </c>
      <c r="I110" s="17">
        <f>IFERROR(__xludf.DUMMYFUNCTION("""COMPUTED_VALUE"""),0.349)</f>
        <v>0.349</v>
      </c>
      <c r="J110" s="17">
        <f>IFERROR(__xludf.DUMMYFUNCTION("""COMPUTED_VALUE"""),118.0)</f>
        <v>118</v>
      </c>
      <c r="K110" s="17">
        <f>IFERROR(__xludf.DUMMYFUNCTION("""COMPUTED_VALUE"""),21.0)</f>
        <v>21</v>
      </c>
      <c r="L110" s="17">
        <f>IFERROR(__xludf.DUMMYFUNCTION("""COMPUTED_VALUE"""),1.0)</f>
        <v>1</v>
      </c>
      <c r="M110" s="17">
        <f>IFERROR(__xludf.DUMMYFUNCTION("""COMPUTED_VALUE"""),64.0)</f>
        <v>64</v>
      </c>
      <c r="N110" s="17">
        <f>IFERROR(__xludf.DUMMYFUNCTION("""COMPUTED_VALUE"""),91.0)</f>
        <v>91</v>
      </c>
      <c r="O110" s="17">
        <f>IFERROR(__xludf.DUMMYFUNCTION("""COMPUTED_VALUE"""),0.394)</f>
        <v>0.394</v>
      </c>
      <c r="P110" s="17">
        <f>IFERROR(__xludf.DUMMYFUNCTION("""COMPUTED_VALUE"""),0.743)</f>
        <v>0.743</v>
      </c>
      <c r="Q110" s="34">
        <f>IFERROR(__xludf.DUMMYFUNCTION("""COMPUTED_VALUE"""),0.67)</f>
        <v>0.67</v>
      </c>
      <c r="R110" s="34">
        <f>IFERROR(__xludf.DUMMYFUNCTION("""COMPUTED_VALUE"""),0.68)</f>
        <v>0.68</v>
      </c>
      <c r="S110" s="34">
        <f>IFERROR(__xludf.DUMMYFUNCTION("""COMPUTED_VALUE"""),0.66)</f>
        <v>0.66</v>
      </c>
      <c r="T110" s="17" t="str">
        <f t="shared" si="1"/>
        <v>Gleyber Torres</v>
      </c>
    </row>
    <row r="111">
      <c r="A111" s="17">
        <f>IFERROR(__xludf.DUMMYFUNCTION("""COMPUTED_VALUE"""),110.0)</f>
        <v>110</v>
      </c>
      <c r="B111" s="17" t="str">
        <f>IFERROR(__xludf.DUMMYFUNCTION("""COMPUTED_VALUE"""),"Eugenio Suarez (CIN - 3B,DH) IL10")</f>
        <v>Eugenio Suarez (CIN - 3B,DH) IL10</v>
      </c>
      <c r="C111" s="17">
        <f>IFERROR(__xludf.DUMMYFUNCTION("""COMPUTED_VALUE"""),385.0)</f>
        <v>385</v>
      </c>
      <c r="D111" s="17">
        <f>IFERROR(__xludf.DUMMYFUNCTION("""COMPUTED_VALUE"""),55.0)</f>
        <v>55</v>
      </c>
      <c r="E111" s="17">
        <f>IFERROR(__xludf.DUMMYFUNCTION("""COMPUTED_VALUE"""),24.0)</f>
        <v>24</v>
      </c>
      <c r="F111" s="17">
        <f>IFERROR(__xludf.DUMMYFUNCTION("""COMPUTED_VALUE"""),67.0)</f>
        <v>67</v>
      </c>
      <c r="G111" s="17">
        <f>IFERROR(__xludf.DUMMYFUNCTION("""COMPUTED_VALUE"""),2.0)</f>
        <v>2</v>
      </c>
      <c r="H111" s="17">
        <f>IFERROR(__xludf.DUMMYFUNCTION("""COMPUTED_VALUE"""),0.233)</f>
        <v>0.233</v>
      </c>
      <c r="I111" s="17">
        <f>IFERROR(__xludf.DUMMYFUNCTION("""COMPUTED_VALUE"""),0.313)</f>
        <v>0.313</v>
      </c>
      <c r="J111" s="17">
        <f>IFERROR(__xludf.DUMMYFUNCTION("""COMPUTED_VALUE"""),90.0)</f>
        <v>90</v>
      </c>
      <c r="K111" s="17">
        <f>IFERROR(__xludf.DUMMYFUNCTION("""COMPUTED_VALUE"""),16.0)</f>
        <v>16</v>
      </c>
      <c r="L111" s="17">
        <f>IFERROR(__xludf.DUMMYFUNCTION("""COMPUTED_VALUE"""),1.0)</f>
        <v>1</v>
      </c>
      <c r="M111" s="17">
        <f>IFERROR(__xludf.DUMMYFUNCTION("""COMPUTED_VALUE"""),39.0)</f>
        <v>39</v>
      </c>
      <c r="N111" s="17">
        <f>IFERROR(__xludf.DUMMYFUNCTION("""COMPUTED_VALUE"""),129.0)</f>
        <v>129</v>
      </c>
      <c r="O111" s="17">
        <f>IFERROR(__xludf.DUMMYFUNCTION("""COMPUTED_VALUE"""),0.468)</f>
        <v>0.468</v>
      </c>
      <c r="P111" s="17">
        <f>IFERROR(__xludf.DUMMYFUNCTION("""COMPUTED_VALUE"""),0.782)</f>
        <v>0.782</v>
      </c>
      <c r="Q111" s="34">
        <f>IFERROR(__xludf.DUMMYFUNCTION("""COMPUTED_VALUE"""),0.78)</f>
        <v>0.78</v>
      </c>
      <c r="R111" s="34">
        <f>IFERROR(__xludf.DUMMYFUNCTION("""COMPUTED_VALUE"""),0.9)</f>
        <v>0.9</v>
      </c>
      <c r="S111" s="34">
        <f>IFERROR(__xludf.DUMMYFUNCTION("""COMPUTED_VALUE"""),0.67)</f>
        <v>0.67</v>
      </c>
      <c r="T111" s="17" t="str">
        <f t="shared" si="1"/>
        <v>Eugenio Suarez</v>
      </c>
    </row>
    <row r="112">
      <c r="A112" s="17">
        <f>IFERROR(__xludf.DUMMYFUNCTION("""COMPUTED_VALUE"""),111.0)</f>
        <v>111</v>
      </c>
      <c r="B112" s="17" t="str">
        <f>IFERROR(__xludf.DUMMYFUNCTION("""COMPUTED_VALUE"""),"Matt McLain (CIN - 2B)")</f>
        <v>Matt McLain (CIN - 2B)</v>
      </c>
      <c r="C112" s="17">
        <f>IFERROR(__xludf.DUMMYFUNCTION("""COMPUTED_VALUE"""),439.0)</f>
        <v>439</v>
      </c>
      <c r="D112" s="17">
        <f>IFERROR(__xludf.DUMMYFUNCTION("""COMPUTED_VALUE"""),64.0)</f>
        <v>64</v>
      </c>
      <c r="E112" s="17">
        <f>IFERROR(__xludf.DUMMYFUNCTION("""COMPUTED_VALUE"""),16.0)</f>
        <v>16</v>
      </c>
      <c r="F112" s="17">
        <f>IFERROR(__xludf.DUMMYFUNCTION("""COMPUTED_VALUE"""),54.0)</f>
        <v>54</v>
      </c>
      <c r="G112" s="17">
        <f>IFERROR(__xludf.DUMMYFUNCTION("""COMPUTED_VALUE"""),15.0)</f>
        <v>15</v>
      </c>
      <c r="H112" s="17">
        <f>IFERROR(__xludf.DUMMYFUNCTION("""COMPUTED_VALUE"""),0.235)</f>
        <v>0.235</v>
      </c>
      <c r="I112" s="17">
        <f>IFERROR(__xludf.DUMMYFUNCTION("""COMPUTED_VALUE"""),0.321)</f>
        <v>0.321</v>
      </c>
      <c r="J112" s="17">
        <f>IFERROR(__xludf.DUMMYFUNCTION("""COMPUTED_VALUE"""),103.0)</f>
        <v>103</v>
      </c>
      <c r="K112" s="17">
        <f>IFERROR(__xludf.DUMMYFUNCTION("""COMPUTED_VALUE"""),21.0)</f>
        <v>21</v>
      </c>
      <c r="L112" s="17">
        <f>IFERROR(__xludf.DUMMYFUNCTION("""COMPUTED_VALUE"""),2.0)</f>
        <v>2</v>
      </c>
      <c r="M112" s="17">
        <f>IFERROR(__xludf.DUMMYFUNCTION("""COMPUTED_VALUE"""),52.0)</f>
        <v>52</v>
      </c>
      <c r="N112" s="17">
        <f>IFERROR(__xludf.DUMMYFUNCTION("""COMPUTED_VALUE"""),136.0)</f>
        <v>136</v>
      </c>
      <c r="O112" s="17">
        <f>IFERROR(__xludf.DUMMYFUNCTION("""COMPUTED_VALUE"""),0.396)</f>
        <v>0.396</v>
      </c>
      <c r="P112" s="17">
        <f>IFERROR(__xludf.DUMMYFUNCTION("""COMPUTED_VALUE"""),0.717)</f>
        <v>0.717</v>
      </c>
      <c r="Q112" s="34">
        <f>IFERROR(__xludf.DUMMYFUNCTION("""COMPUTED_VALUE"""),0.33)</f>
        <v>0.33</v>
      </c>
      <c r="R112" s="34">
        <f>IFERROR(__xludf.DUMMYFUNCTION("""COMPUTED_VALUE"""),0.53)</f>
        <v>0.53</v>
      </c>
      <c r="S112" s="34">
        <f>IFERROR(__xludf.DUMMYFUNCTION("""COMPUTED_VALUE"""),0.13)</f>
        <v>0.13</v>
      </c>
      <c r="T112" s="17" t="str">
        <f t="shared" si="1"/>
        <v>Matt McLain</v>
      </c>
    </row>
    <row r="113">
      <c r="A113" s="17">
        <f>IFERROR(__xludf.DUMMYFUNCTION("""COMPUTED_VALUE"""),112.0)</f>
        <v>112</v>
      </c>
      <c r="B113" s="17" t="str">
        <f>IFERROR(__xludf.DUMMYFUNCTION("""COMPUTED_VALUE"""),"Spencer Torkelson (DET - 1B)")</f>
        <v>Spencer Torkelson (DET - 1B)</v>
      </c>
      <c r="C113" s="17">
        <f>IFERROR(__xludf.DUMMYFUNCTION("""COMPUTED_VALUE"""),433.0)</f>
        <v>433</v>
      </c>
      <c r="D113" s="17">
        <f>IFERROR(__xludf.DUMMYFUNCTION("""COMPUTED_VALUE"""),62.0)</f>
        <v>62</v>
      </c>
      <c r="E113" s="17">
        <f>IFERROR(__xludf.DUMMYFUNCTION("""COMPUTED_VALUE"""),22.0)</f>
        <v>22</v>
      </c>
      <c r="F113" s="17">
        <f>IFERROR(__xludf.DUMMYFUNCTION("""COMPUTED_VALUE"""),66.0)</f>
        <v>66</v>
      </c>
      <c r="G113" s="17">
        <f>IFERROR(__xludf.DUMMYFUNCTION("""COMPUTED_VALUE"""),2.0)</f>
        <v>2</v>
      </c>
      <c r="H113" s="17">
        <f>IFERROR(__xludf.DUMMYFUNCTION("""COMPUTED_VALUE"""),0.232)</f>
        <v>0.232</v>
      </c>
      <c r="I113" s="17">
        <f>IFERROR(__xludf.DUMMYFUNCTION("""COMPUTED_VALUE"""),0.33)</f>
        <v>0.33</v>
      </c>
      <c r="J113" s="17">
        <f>IFERROR(__xludf.DUMMYFUNCTION("""COMPUTED_VALUE"""),100.0)</f>
        <v>100</v>
      </c>
      <c r="K113" s="17">
        <f>IFERROR(__xludf.DUMMYFUNCTION("""COMPUTED_VALUE"""),22.0)</f>
        <v>22</v>
      </c>
      <c r="L113" s="17">
        <f>IFERROR(__xludf.DUMMYFUNCTION("""COMPUTED_VALUE"""),1.0)</f>
        <v>1</v>
      </c>
      <c r="M113" s="17">
        <f>IFERROR(__xludf.DUMMYFUNCTION("""COMPUTED_VALUE"""),57.0)</f>
        <v>57</v>
      </c>
      <c r="N113" s="17">
        <f>IFERROR(__xludf.DUMMYFUNCTION("""COMPUTED_VALUE"""),130.0)</f>
        <v>130</v>
      </c>
      <c r="O113" s="17">
        <f>IFERROR(__xludf.DUMMYFUNCTION("""COMPUTED_VALUE"""),0.437)</f>
        <v>0.437</v>
      </c>
      <c r="P113" s="17">
        <f>IFERROR(__xludf.DUMMYFUNCTION("""COMPUTED_VALUE"""),0.767)</f>
        <v>0.767</v>
      </c>
      <c r="Q113" s="34">
        <f>IFERROR(__xludf.DUMMYFUNCTION("""COMPUTED_VALUE"""),0.46)</f>
        <v>0.46</v>
      </c>
      <c r="R113" s="34">
        <f>IFERROR(__xludf.DUMMYFUNCTION("""COMPUTED_VALUE"""),0.61)</f>
        <v>0.61</v>
      </c>
      <c r="S113" s="34">
        <f>IFERROR(__xludf.DUMMYFUNCTION("""COMPUTED_VALUE"""),0.3)</f>
        <v>0.3</v>
      </c>
      <c r="T113" s="17" t="str">
        <f t="shared" si="1"/>
        <v>Spencer Torkelson</v>
      </c>
    </row>
    <row r="114">
      <c r="A114" s="17">
        <f>IFERROR(__xludf.DUMMYFUNCTION("""COMPUTED_VALUE"""),113.0)</f>
        <v>113</v>
      </c>
      <c r="B114" s="17" t="str">
        <f>IFERROR(__xludf.DUMMYFUNCTION("""COMPUTED_VALUE"""),"Daulton Varsho (TOR - LF,CF)")</f>
        <v>Daulton Varsho (TOR - LF,CF)</v>
      </c>
      <c r="C114" s="17">
        <f>IFERROR(__xludf.DUMMYFUNCTION("""COMPUTED_VALUE"""),433.0)</f>
        <v>433</v>
      </c>
      <c r="D114" s="17">
        <f>IFERROR(__xludf.DUMMYFUNCTION("""COMPUTED_VALUE"""),61.0)</f>
        <v>61</v>
      </c>
      <c r="E114" s="17">
        <f>IFERROR(__xludf.DUMMYFUNCTION("""COMPUTED_VALUE"""),21.0)</f>
        <v>21</v>
      </c>
      <c r="F114" s="17">
        <f>IFERROR(__xludf.DUMMYFUNCTION("""COMPUTED_VALUE"""),64.0)</f>
        <v>64</v>
      </c>
      <c r="G114" s="17">
        <f>IFERROR(__xludf.DUMMYFUNCTION("""COMPUTED_VALUE"""),7.0)</f>
        <v>7</v>
      </c>
      <c r="H114" s="17">
        <f>IFERROR(__xludf.DUMMYFUNCTION("""COMPUTED_VALUE"""),0.226)</f>
        <v>0.226</v>
      </c>
      <c r="I114" s="17">
        <f>IFERROR(__xludf.DUMMYFUNCTION("""COMPUTED_VALUE"""),0.295)</f>
        <v>0.295</v>
      </c>
      <c r="J114" s="17">
        <f>IFERROR(__xludf.DUMMYFUNCTION("""COMPUTED_VALUE"""),98.0)</f>
        <v>98</v>
      </c>
      <c r="K114" s="17">
        <f>IFERROR(__xludf.DUMMYFUNCTION("""COMPUTED_VALUE"""),20.0)</f>
        <v>20</v>
      </c>
      <c r="L114" s="17">
        <f>IFERROR(__xludf.DUMMYFUNCTION("""COMPUTED_VALUE"""),3.0)</f>
        <v>3</v>
      </c>
      <c r="M114" s="17">
        <f>IFERROR(__xludf.DUMMYFUNCTION("""COMPUTED_VALUE"""),39.0)</f>
        <v>39</v>
      </c>
      <c r="N114" s="17">
        <f>IFERROR(__xludf.DUMMYFUNCTION("""COMPUTED_VALUE"""),117.0)</f>
        <v>117</v>
      </c>
      <c r="O114" s="17">
        <f>IFERROR(__xludf.DUMMYFUNCTION("""COMPUTED_VALUE"""),0.431)</f>
        <v>0.431</v>
      </c>
      <c r="P114" s="17">
        <f>IFERROR(__xludf.DUMMYFUNCTION("""COMPUTED_VALUE"""),0.726)</f>
        <v>0.726</v>
      </c>
      <c r="Q114" s="34">
        <f>IFERROR(__xludf.DUMMYFUNCTION("""COMPUTED_VALUE"""),0.24)</f>
        <v>0.24</v>
      </c>
      <c r="R114" s="34">
        <f>IFERROR(__xludf.DUMMYFUNCTION("""COMPUTED_VALUE"""),0.34)</f>
        <v>0.34</v>
      </c>
      <c r="S114" s="34">
        <f>IFERROR(__xludf.DUMMYFUNCTION("""COMPUTED_VALUE"""),0.14)</f>
        <v>0.14</v>
      </c>
      <c r="T114" s="17" t="str">
        <f t="shared" si="1"/>
        <v>Daulton Varsho</v>
      </c>
    </row>
    <row r="115">
      <c r="A115" s="17">
        <f>IFERROR(__xludf.DUMMYFUNCTION("""COMPUTED_VALUE"""),114.0)</f>
        <v>114</v>
      </c>
      <c r="B115" s="17" t="str">
        <f>IFERROR(__xludf.DUMMYFUNCTION("""COMPUTED_VALUE"""),"Kyle Stowers (MIA - LF,CF,RF)")</f>
        <v>Kyle Stowers (MIA - LF,CF,RF)</v>
      </c>
      <c r="C115" s="17">
        <f>IFERROR(__xludf.DUMMYFUNCTION("""COMPUTED_VALUE"""),418.0)</f>
        <v>418</v>
      </c>
      <c r="D115" s="17">
        <f>IFERROR(__xludf.DUMMYFUNCTION("""COMPUTED_VALUE"""),58.0)</f>
        <v>58</v>
      </c>
      <c r="E115" s="17">
        <f>IFERROR(__xludf.DUMMYFUNCTION("""COMPUTED_VALUE"""),19.0)</f>
        <v>19</v>
      </c>
      <c r="F115" s="17">
        <f>IFERROR(__xludf.DUMMYFUNCTION("""COMPUTED_VALUE"""),63.0)</f>
        <v>63</v>
      </c>
      <c r="G115" s="17">
        <f>IFERROR(__xludf.DUMMYFUNCTION("""COMPUTED_VALUE"""),4.0)</f>
        <v>4</v>
      </c>
      <c r="H115" s="17">
        <f>IFERROR(__xludf.DUMMYFUNCTION("""COMPUTED_VALUE"""),0.242)</f>
        <v>0.242</v>
      </c>
      <c r="I115" s="17">
        <f>IFERROR(__xludf.DUMMYFUNCTION("""COMPUTED_VALUE"""),0.327)</f>
        <v>0.327</v>
      </c>
      <c r="J115" s="17">
        <f>IFERROR(__xludf.DUMMYFUNCTION("""COMPUTED_VALUE"""),101.0)</f>
        <v>101</v>
      </c>
      <c r="K115" s="17">
        <f>IFERROR(__xludf.DUMMYFUNCTION("""COMPUTED_VALUE"""),21.0)</f>
        <v>21</v>
      </c>
      <c r="L115" s="17">
        <f>IFERROR(__xludf.DUMMYFUNCTION("""COMPUTED_VALUE"""),2.0)</f>
        <v>2</v>
      </c>
      <c r="M115" s="17">
        <f>IFERROR(__xludf.DUMMYFUNCTION("""COMPUTED_VALUE"""),46.0)</f>
        <v>46</v>
      </c>
      <c r="N115" s="17">
        <f>IFERROR(__xludf.DUMMYFUNCTION("""COMPUTED_VALUE"""),131.0)</f>
        <v>131</v>
      </c>
      <c r="O115" s="17">
        <f>IFERROR(__xludf.DUMMYFUNCTION("""COMPUTED_VALUE"""),0.443)</f>
        <v>0.443</v>
      </c>
      <c r="P115" s="17">
        <f>IFERROR(__xludf.DUMMYFUNCTION("""COMPUTED_VALUE"""),0.77)</f>
        <v>0.77</v>
      </c>
      <c r="Q115" s="34">
        <f>IFERROR(__xludf.DUMMYFUNCTION("""COMPUTED_VALUE"""),0.62)</f>
        <v>0.62</v>
      </c>
      <c r="R115" s="34">
        <f>IFERROR(__xludf.DUMMYFUNCTION("""COMPUTED_VALUE"""),0.84)</f>
        <v>0.84</v>
      </c>
      <c r="S115" s="34">
        <f>IFERROR(__xludf.DUMMYFUNCTION("""COMPUTED_VALUE"""),0.4)</f>
        <v>0.4</v>
      </c>
      <c r="T115" s="17" t="str">
        <f t="shared" si="1"/>
        <v>Kyle Stowers</v>
      </c>
    </row>
    <row r="116">
      <c r="A116" s="17">
        <f>IFERROR(__xludf.DUMMYFUNCTION("""COMPUTED_VALUE"""),115.0)</f>
        <v>115</v>
      </c>
      <c r="B116" s="17" t="str">
        <f>IFERROR(__xludf.DUMMYFUNCTION("""COMPUTED_VALUE"""),"Miguel Vargas (CWS - 1B,3B)")</f>
        <v>Miguel Vargas (CWS - 1B,3B)</v>
      </c>
      <c r="C116" s="17">
        <f>IFERROR(__xludf.DUMMYFUNCTION("""COMPUTED_VALUE"""),433.0)</f>
        <v>433</v>
      </c>
      <c r="D116" s="17">
        <f>IFERROR(__xludf.DUMMYFUNCTION("""COMPUTED_VALUE"""),64.0)</f>
        <v>64</v>
      </c>
      <c r="E116" s="17">
        <f>IFERROR(__xludf.DUMMYFUNCTION("""COMPUTED_VALUE"""),16.0)</f>
        <v>16</v>
      </c>
      <c r="F116" s="17">
        <f>IFERROR(__xludf.DUMMYFUNCTION("""COMPUTED_VALUE"""),58.0)</f>
        <v>58</v>
      </c>
      <c r="G116" s="17">
        <f>IFERROR(__xludf.DUMMYFUNCTION("""COMPUTED_VALUE"""),8.0)</f>
        <v>8</v>
      </c>
      <c r="H116" s="17">
        <f>IFERROR(__xludf.DUMMYFUNCTION("""COMPUTED_VALUE"""),0.237)</f>
        <v>0.237</v>
      </c>
      <c r="I116" s="17">
        <f>IFERROR(__xludf.DUMMYFUNCTION("""COMPUTED_VALUE"""),0.332)</f>
        <v>0.332</v>
      </c>
      <c r="J116" s="17">
        <f>IFERROR(__xludf.DUMMYFUNCTION("""COMPUTED_VALUE"""),103.0)</f>
        <v>103</v>
      </c>
      <c r="K116" s="17">
        <f>IFERROR(__xludf.DUMMYFUNCTION("""COMPUTED_VALUE"""),24.0)</f>
        <v>24</v>
      </c>
      <c r="L116" s="17">
        <f>IFERROR(__xludf.DUMMYFUNCTION("""COMPUTED_VALUE"""),2.0)</f>
        <v>2</v>
      </c>
      <c r="M116" s="17">
        <f>IFERROR(__xludf.DUMMYFUNCTION("""COMPUTED_VALUE"""),58.0)</f>
        <v>58</v>
      </c>
      <c r="N116" s="17">
        <f>IFERROR(__xludf.DUMMYFUNCTION("""COMPUTED_VALUE"""),93.0)</f>
        <v>93</v>
      </c>
      <c r="O116" s="17">
        <f>IFERROR(__xludf.DUMMYFUNCTION("""COMPUTED_VALUE"""),0.412)</f>
        <v>0.412</v>
      </c>
      <c r="P116" s="17">
        <f>IFERROR(__xludf.DUMMYFUNCTION("""COMPUTED_VALUE"""),0.744)</f>
        <v>0.744</v>
      </c>
      <c r="Q116" s="34">
        <f>IFERROR(__xludf.DUMMYFUNCTION("""COMPUTED_VALUE"""),0.57)</f>
        <v>0.57</v>
      </c>
      <c r="R116" s="34">
        <f>IFERROR(__xludf.DUMMYFUNCTION("""COMPUTED_VALUE"""),0.62)</f>
        <v>0.62</v>
      </c>
      <c r="S116" s="34">
        <f>IFERROR(__xludf.DUMMYFUNCTION("""COMPUTED_VALUE"""),0.52)</f>
        <v>0.52</v>
      </c>
      <c r="T116" s="17" t="str">
        <f t="shared" si="1"/>
        <v>Miguel Vargas</v>
      </c>
    </row>
    <row r="117">
      <c r="A117" s="17">
        <f>IFERROR(__xludf.DUMMYFUNCTION("""COMPUTED_VALUE"""),116.0)</f>
        <v>116</v>
      </c>
      <c r="B117" s="17" t="str">
        <f>IFERROR(__xludf.DUMMYFUNCTION("""COMPUTED_VALUE"""),"Royce Lewis (MIN - 3B)")</f>
        <v>Royce Lewis (MIN - 3B)</v>
      </c>
      <c r="C117" s="17">
        <f>IFERROR(__xludf.DUMMYFUNCTION("""COMPUTED_VALUE"""),399.0)</f>
        <v>399</v>
      </c>
      <c r="D117" s="17">
        <f>IFERROR(__xludf.DUMMYFUNCTION("""COMPUTED_VALUE"""),53.0)</f>
        <v>53</v>
      </c>
      <c r="E117" s="17">
        <f>IFERROR(__xludf.DUMMYFUNCTION("""COMPUTED_VALUE"""),18.0)</f>
        <v>18</v>
      </c>
      <c r="F117" s="17">
        <f>IFERROR(__xludf.DUMMYFUNCTION("""COMPUTED_VALUE"""),58.0)</f>
        <v>58</v>
      </c>
      <c r="G117" s="17">
        <f>IFERROR(__xludf.DUMMYFUNCTION("""COMPUTED_VALUE"""),10.0)</f>
        <v>10</v>
      </c>
      <c r="H117" s="17">
        <f>IFERROR(__xludf.DUMMYFUNCTION("""COMPUTED_VALUE"""),0.244)</f>
        <v>0.244</v>
      </c>
      <c r="I117" s="17">
        <f>IFERROR(__xludf.DUMMYFUNCTION("""COMPUTED_VALUE"""),0.308)</f>
        <v>0.308</v>
      </c>
      <c r="J117" s="17">
        <f>IFERROR(__xludf.DUMMYFUNCTION("""COMPUTED_VALUE"""),97.0)</f>
        <v>97</v>
      </c>
      <c r="K117" s="17">
        <f>IFERROR(__xludf.DUMMYFUNCTION("""COMPUTED_VALUE"""),20.0)</f>
        <v>20</v>
      </c>
      <c r="L117" s="17">
        <f>IFERROR(__xludf.DUMMYFUNCTION("""COMPUTED_VALUE"""),0.0)</f>
        <v>0</v>
      </c>
      <c r="M117" s="17">
        <f>IFERROR(__xludf.DUMMYFUNCTION("""COMPUTED_VALUE"""),35.0)</f>
        <v>35</v>
      </c>
      <c r="N117" s="17">
        <f>IFERROR(__xludf.DUMMYFUNCTION("""COMPUTED_VALUE"""),97.0)</f>
        <v>97</v>
      </c>
      <c r="O117" s="17">
        <f>IFERROR(__xludf.DUMMYFUNCTION("""COMPUTED_VALUE"""),0.429)</f>
        <v>0.429</v>
      </c>
      <c r="P117" s="17">
        <f>IFERROR(__xludf.DUMMYFUNCTION("""COMPUTED_VALUE"""),0.736)</f>
        <v>0.736</v>
      </c>
      <c r="Q117" s="34">
        <f>IFERROR(__xludf.DUMMYFUNCTION("""COMPUTED_VALUE"""),0.2)</f>
        <v>0.2</v>
      </c>
      <c r="R117" s="34">
        <f>IFERROR(__xludf.DUMMYFUNCTION("""COMPUTED_VALUE"""),0.32)</f>
        <v>0.32</v>
      </c>
      <c r="S117" s="34">
        <f>IFERROR(__xludf.DUMMYFUNCTION("""COMPUTED_VALUE"""),0.09)</f>
        <v>0.09</v>
      </c>
      <c r="T117" s="17" t="str">
        <f t="shared" si="1"/>
        <v>Royce Lewis</v>
      </c>
    </row>
    <row r="118">
      <c r="A118" s="17">
        <f>IFERROR(__xludf.DUMMYFUNCTION("""COMPUTED_VALUE"""),117.0)</f>
        <v>117</v>
      </c>
      <c r="B118" s="17" t="str">
        <f>IFERROR(__xludf.DUMMYFUNCTION("""COMPUTED_VALUE"""),"Andres Gimenez (TOR - 2B,SS)")</f>
        <v>Andres Gimenez (TOR - 2B,SS)</v>
      </c>
      <c r="C118" s="17">
        <f>IFERROR(__xludf.DUMMYFUNCTION("""COMPUTED_VALUE"""),444.0)</f>
        <v>444</v>
      </c>
      <c r="D118" s="17">
        <f>IFERROR(__xludf.DUMMYFUNCTION("""COMPUTED_VALUE"""),56.0)</f>
        <v>56</v>
      </c>
      <c r="E118" s="17">
        <f>IFERROR(__xludf.DUMMYFUNCTION("""COMPUTED_VALUE"""),10.0)</f>
        <v>10</v>
      </c>
      <c r="F118" s="17">
        <f>IFERROR(__xludf.DUMMYFUNCTION("""COMPUTED_VALUE"""),51.0)</f>
        <v>51</v>
      </c>
      <c r="G118" s="17">
        <f>IFERROR(__xludf.DUMMYFUNCTION("""COMPUTED_VALUE"""),18.0)</f>
        <v>18</v>
      </c>
      <c r="H118" s="17">
        <f>IFERROR(__xludf.DUMMYFUNCTION("""COMPUTED_VALUE"""),0.251)</f>
        <v>0.251</v>
      </c>
      <c r="I118" s="17">
        <f>IFERROR(__xludf.DUMMYFUNCTION("""COMPUTED_VALUE"""),0.312)</f>
        <v>0.312</v>
      </c>
      <c r="J118" s="17">
        <f>IFERROR(__xludf.DUMMYFUNCTION("""COMPUTED_VALUE"""),111.0)</f>
        <v>111</v>
      </c>
      <c r="K118" s="17">
        <f>IFERROR(__xludf.DUMMYFUNCTION("""COMPUTED_VALUE"""),21.0)</f>
        <v>21</v>
      </c>
      <c r="L118" s="17">
        <f>IFERROR(__xludf.DUMMYFUNCTION("""COMPUTED_VALUE"""),2.0)</f>
        <v>2</v>
      </c>
      <c r="M118" s="17">
        <f>IFERROR(__xludf.DUMMYFUNCTION("""COMPUTED_VALUE"""),28.0)</f>
        <v>28</v>
      </c>
      <c r="N118" s="17">
        <f>IFERROR(__xludf.DUMMYFUNCTION("""COMPUTED_VALUE"""),84.0)</f>
        <v>84</v>
      </c>
      <c r="O118" s="17">
        <f>IFERROR(__xludf.DUMMYFUNCTION("""COMPUTED_VALUE"""),0.374)</f>
        <v>0.374</v>
      </c>
      <c r="P118" s="17">
        <f>IFERROR(__xludf.DUMMYFUNCTION("""COMPUTED_VALUE"""),0.686)</f>
        <v>0.686</v>
      </c>
      <c r="Q118" s="34">
        <f>IFERROR(__xludf.DUMMYFUNCTION("""COMPUTED_VALUE"""),0.27)</f>
        <v>0.27</v>
      </c>
      <c r="R118" s="34">
        <f>IFERROR(__xludf.DUMMYFUNCTION("""COMPUTED_VALUE"""),0.32)</f>
        <v>0.32</v>
      </c>
      <c r="S118" s="34">
        <f>IFERROR(__xludf.DUMMYFUNCTION("""COMPUTED_VALUE"""),0.22)</f>
        <v>0.22</v>
      </c>
      <c r="T118" s="17" t="str">
        <f t="shared" si="1"/>
        <v>Andres Gimenez</v>
      </c>
    </row>
    <row r="119">
      <c r="A119" s="17">
        <f>IFERROR(__xludf.DUMMYFUNCTION("""COMPUTED_VALUE"""),118.0)</f>
        <v>118</v>
      </c>
      <c r="B119" s="17" t="str">
        <f>IFERROR(__xludf.DUMMYFUNCTION("""COMPUTED_VALUE"""),"Brandon Lowe (PIT - 2B)")</f>
        <v>Brandon Lowe (PIT - 2B)</v>
      </c>
      <c r="C119" s="17">
        <f>IFERROR(__xludf.DUMMYFUNCTION("""COMPUTED_VALUE"""),401.0)</f>
        <v>401</v>
      </c>
      <c r="D119" s="17">
        <f>IFERROR(__xludf.DUMMYFUNCTION("""COMPUTED_VALUE"""),57.0)</f>
        <v>57</v>
      </c>
      <c r="E119" s="17">
        <f>IFERROR(__xludf.DUMMYFUNCTION("""COMPUTED_VALUE"""),20.0)</f>
        <v>20</v>
      </c>
      <c r="F119" s="17">
        <f>IFERROR(__xludf.DUMMYFUNCTION("""COMPUTED_VALUE"""),59.0)</f>
        <v>59</v>
      </c>
      <c r="G119" s="17">
        <f>IFERROR(__xludf.DUMMYFUNCTION("""COMPUTED_VALUE"""),3.0)</f>
        <v>3</v>
      </c>
      <c r="H119" s="17">
        <f>IFERROR(__xludf.DUMMYFUNCTION("""COMPUTED_VALUE"""),0.243)</f>
        <v>0.243</v>
      </c>
      <c r="I119" s="17">
        <f>IFERROR(__xludf.DUMMYFUNCTION("""COMPUTED_VALUE"""),0.317)</f>
        <v>0.317</v>
      </c>
      <c r="J119" s="17">
        <f>IFERROR(__xludf.DUMMYFUNCTION("""COMPUTED_VALUE"""),97.0)</f>
        <v>97</v>
      </c>
      <c r="K119" s="17">
        <f>IFERROR(__xludf.DUMMYFUNCTION("""COMPUTED_VALUE"""),19.0)</f>
        <v>19</v>
      </c>
      <c r="L119" s="17">
        <f>IFERROR(__xludf.DUMMYFUNCTION("""COMPUTED_VALUE"""),1.0)</f>
        <v>1</v>
      </c>
      <c r="M119" s="17">
        <f>IFERROR(__xludf.DUMMYFUNCTION("""COMPUTED_VALUE"""),40.0)</f>
        <v>40</v>
      </c>
      <c r="N119" s="17">
        <f>IFERROR(__xludf.DUMMYFUNCTION("""COMPUTED_VALUE"""),114.0)</f>
        <v>114</v>
      </c>
      <c r="O119" s="17">
        <f>IFERROR(__xludf.DUMMYFUNCTION("""COMPUTED_VALUE"""),0.443)</f>
        <v>0.443</v>
      </c>
      <c r="P119" s="17">
        <f>IFERROR(__xludf.DUMMYFUNCTION("""COMPUTED_VALUE"""),0.76)</f>
        <v>0.76</v>
      </c>
      <c r="Q119" s="34">
        <f>IFERROR(__xludf.DUMMYFUNCTION("""COMPUTED_VALUE"""),0.82)</f>
        <v>0.82</v>
      </c>
      <c r="R119" s="34">
        <f>IFERROR(__xludf.DUMMYFUNCTION("""COMPUTED_VALUE"""),0.87)</f>
        <v>0.87</v>
      </c>
      <c r="S119" s="34">
        <f>IFERROR(__xludf.DUMMYFUNCTION("""COMPUTED_VALUE"""),0.78)</f>
        <v>0.78</v>
      </c>
      <c r="T119" s="17" t="str">
        <f t="shared" si="1"/>
        <v>Brandon Lowe</v>
      </c>
    </row>
    <row r="120">
      <c r="A120" s="17">
        <f>IFERROR(__xludf.DUMMYFUNCTION("""COMPUTED_VALUE"""),119.0)</f>
        <v>119</v>
      </c>
      <c r="B120" s="17" t="str">
        <f>IFERROR(__xludf.DUMMYFUNCTION("""COMPUTED_VALUE"""),"Masyn Winn (STL - SS)")</f>
        <v>Masyn Winn (STL - SS)</v>
      </c>
      <c r="C120" s="17">
        <f>IFERROR(__xludf.DUMMYFUNCTION("""COMPUTED_VALUE"""),472.0)</f>
        <v>472</v>
      </c>
      <c r="D120" s="17">
        <f>IFERROR(__xludf.DUMMYFUNCTION("""COMPUTED_VALUE"""),62.0)</f>
        <v>62</v>
      </c>
      <c r="E120" s="17">
        <f>IFERROR(__xludf.DUMMYFUNCTION("""COMPUTED_VALUE"""),11.0)</f>
        <v>11</v>
      </c>
      <c r="F120" s="17">
        <f>IFERROR(__xludf.DUMMYFUNCTION("""COMPUTED_VALUE"""),53.0)</f>
        <v>53</v>
      </c>
      <c r="G120" s="17">
        <f>IFERROR(__xludf.DUMMYFUNCTION("""COMPUTED_VALUE"""),10.0)</f>
        <v>10</v>
      </c>
      <c r="H120" s="17">
        <f>IFERROR(__xludf.DUMMYFUNCTION("""COMPUTED_VALUE"""),0.252)</f>
        <v>0.252</v>
      </c>
      <c r="I120" s="17">
        <f>IFERROR(__xludf.DUMMYFUNCTION("""COMPUTED_VALUE"""),0.312)</f>
        <v>0.312</v>
      </c>
      <c r="J120" s="17">
        <f>IFERROR(__xludf.DUMMYFUNCTION("""COMPUTED_VALUE"""),119.0)</f>
        <v>119</v>
      </c>
      <c r="K120" s="17">
        <f>IFERROR(__xludf.DUMMYFUNCTION("""COMPUTED_VALUE"""),24.0)</f>
        <v>24</v>
      </c>
      <c r="L120" s="17">
        <f>IFERROR(__xludf.DUMMYFUNCTION("""COMPUTED_VALUE"""),2.0)</f>
        <v>2</v>
      </c>
      <c r="M120" s="17">
        <f>IFERROR(__xludf.DUMMYFUNCTION("""COMPUTED_VALUE"""),38.0)</f>
        <v>38</v>
      </c>
      <c r="N120" s="17">
        <f>IFERROR(__xludf.DUMMYFUNCTION("""COMPUTED_VALUE"""),95.0)</f>
        <v>95</v>
      </c>
      <c r="O120" s="17">
        <f>IFERROR(__xludf.DUMMYFUNCTION("""COMPUTED_VALUE"""),0.381)</f>
        <v>0.381</v>
      </c>
      <c r="P120" s="17">
        <f>IFERROR(__xludf.DUMMYFUNCTION("""COMPUTED_VALUE"""),0.693)</f>
        <v>0.693</v>
      </c>
      <c r="Q120" s="34">
        <f>IFERROR(__xludf.DUMMYFUNCTION("""COMPUTED_VALUE"""),0.25)</f>
        <v>0.25</v>
      </c>
      <c r="R120" s="34">
        <f>IFERROR(__xludf.DUMMYFUNCTION("""COMPUTED_VALUE"""),0.42)</f>
        <v>0.42</v>
      </c>
      <c r="S120" s="34">
        <f>IFERROR(__xludf.DUMMYFUNCTION("""COMPUTED_VALUE"""),0.08)</f>
        <v>0.08</v>
      </c>
      <c r="T120" s="17" t="str">
        <f t="shared" si="1"/>
        <v>Masyn Winn</v>
      </c>
    </row>
    <row r="121">
      <c r="A121" s="17">
        <f>IFERROR(__xludf.DUMMYFUNCTION("""COMPUTED_VALUE"""),120.0)</f>
        <v>120</v>
      </c>
      <c r="B121" s="17" t="str">
        <f>IFERROR(__xludf.DUMMYFUNCTION("""COMPUTED_VALUE"""),"Daylen Lile (WSH - LF,RF)")</f>
        <v>Daylen Lile (WSH - LF,RF)</v>
      </c>
      <c r="C121" s="17">
        <f>IFERROR(__xludf.DUMMYFUNCTION("""COMPUTED_VALUE"""),411.0)</f>
        <v>411</v>
      </c>
      <c r="D121" s="17">
        <f>IFERROR(__xludf.DUMMYFUNCTION("""COMPUTED_VALUE"""),54.0)</f>
        <v>54</v>
      </c>
      <c r="E121" s="17">
        <f>IFERROR(__xludf.DUMMYFUNCTION("""COMPUTED_VALUE"""),9.0)</f>
        <v>9</v>
      </c>
      <c r="F121" s="17">
        <f>IFERROR(__xludf.DUMMYFUNCTION("""COMPUTED_VALUE"""),52.0)</f>
        <v>52</v>
      </c>
      <c r="G121" s="17">
        <f>IFERROR(__xludf.DUMMYFUNCTION("""COMPUTED_VALUE"""),11.0)</f>
        <v>11</v>
      </c>
      <c r="H121" s="17">
        <f>IFERROR(__xludf.DUMMYFUNCTION("""COMPUTED_VALUE"""),0.268)</f>
        <v>0.268</v>
      </c>
      <c r="I121" s="17">
        <f>IFERROR(__xludf.DUMMYFUNCTION("""COMPUTED_VALUE"""),0.325)</f>
        <v>0.325</v>
      </c>
      <c r="J121" s="17">
        <f>IFERROR(__xludf.DUMMYFUNCTION("""COMPUTED_VALUE"""),110.0)</f>
        <v>110</v>
      </c>
      <c r="K121" s="17">
        <f>IFERROR(__xludf.DUMMYFUNCTION("""COMPUTED_VALUE"""),22.0)</f>
        <v>22</v>
      </c>
      <c r="L121" s="17">
        <f>IFERROR(__xludf.DUMMYFUNCTION("""COMPUTED_VALUE"""),6.0)</f>
        <v>6</v>
      </c>
      <c r="M121" s="17">
        <f>IFERROR(__xludf.DUMMYFUNCTION("""COMPUTED_VALUE"""),32.0)</f>
        <v>32</v>
      </c>
      <c r="N121" s="17">
        <f>IFERROR(__xludf.DUMMYFUNCTION("""COMPUTED_VALUE"""),79.0)</f>
        <v>79</v>
      </c>
      <c r="O121" s="17">
        <f>IFERROR(__xludf.DUMMYFUNCTION("""COMPUTED_VALUE"""),0.416)</f>
        <v>0.416</v>
      </c>
      <c r="P121" s="17">
        <f>IFERROR(__xludf.DUMMYFUNCTION("""COMPUTED_VALUE"""),0.742)</f>
        <v>0.742</v>
      </c>
      <c r="Q121" s="34">
        <f>IFERROR(__xludf.DUMMYFUNCTION("""COMPUTED_VALUE"""),0.57)</f>
        <v>0.57</v>
      </c>
      <c r="R121" s="34">
        <f>IFERROR(__xludf.DUMMYFUNCTION("""COMPUTED_VALUE"""),0.63)</f>
        <v>0.63</v>
      </c>
      <c r="S121" s="34">
        <f>IFERROR(__xludf.DUMMYFUNCTION("""COMPUTED_VALUE"""),0.5)</f>
        <v>0.5</v>
      </c>
      <c r="T121" s="17" t="str">
        <f t="shared" si="1"/>
        <v>Daylen Lile</v>
      </c>
    </row>
    <row r="122">
      <c r="A122" s="17">
        <f>IFERROR(__xludf.DUMMYFUNCTION("""COMPUTED_VALUE"""),121.0)</f>
        <v>121</v>
      </c>
      <c r="B122" s="17" t="str">
        <f>IFERROR(__xludf.DUMMYFUNCTION("""COMPUTED_VALUE"""),"Wilyer Abreu (BOS - LF,CF,RF)")</f>
        <v>Wilyer Abreu (BOS - LF,CF,RF)</v>
      </c>
      <c r="C122" s="17">
        <f>IFERROR(__xludf.DUMMYFUNCTION("""COMPUTED_VALUE"""),363.0)</f>
        <v>363</v>
      </c>
      <c r="D122" s="17">
        <f>IFERROR(__xludf.DUMMYFUNCTION("""COMPUTED_VALUE"""),53.0)</f>
        <v>53</v>
      </c>
      <c r="E122" s="17">
        <f>IFERROR(__xludf.DUMMYFUNCTION("""COMPUTED_VALUE"""),17.0)</f>
        <v>17</v>
      </c>
      <c r="F122" s="17">
        <f>IFERROR(__xludf.DUMMYFUNCTION("""COMPUTED_VALUE"""),57.0)</f>
        <v>57</v>
      </c>
      <c r="G122" s="17">
        <f>IFERROR(__xludf.DUMMYFUNCTION("""COMPUTED_VALUE"""),6.0)</f>
        <v>6</v>
      </c>
      <c r="H122" s="17">
        <f>IFERROR(__xludf.DUMMYFUNCTION("""COMPUTED_VALUE"""),0.25)</f>
        <v>0.25</v>
      </c>
      <c r="I122" s="17">
        <f>IFERROR(__xludf.DUMMYFUNCTION("""COMPUTED_VALUE"""),0.334)</f>
        <v>0.334</v>
      </c>
      <c r="J122" s="17">
        <f>IFERROR(__xludf.DUMMYFUNCTION("""COMPUTED_VALUE"""),91.0)</f>
        <v>91</v>
      </c>
      <c r="K122" s="17">
        <f>IFERROR(__xludf.DUMMYFUNCTION("""COMPUTED_VALUE"""),20.0)</f>
        <v>20</v>
      </c>
      <c r="L122" s="17">
        <f>IFERROR(__xludf.DUMMYFUNCTION("""COMPUTED_VALUE"""),1.0)</f>
        <v>1</v>
      </c>
      <c r="M122" s="17">
        <f>IFERROR(__xludf.DUMMYFUNCTION("""COMPUTED_VALUE"""),44.0)</f>
        <v>44</v>
      </c>
      <c r="N122" s="17">
        <f>IFERROR(__xludf.DUMMYFUNCTION("""COMPUTED_VALUE"""),98.0)</f>
        <v>98</v>
      </c>
      <c r="O122" s="17">
        <f>IFERROR(__xludf.DUMMYFUNCTION("""COMPUTED_VALUE"""),0.45)</f>
        <v>0.45</v>
      </c>
      <c r="P122" s="17">
        <f>IFERROR(__xludf.DUMMYFUNCTION("""COMPUTED_VALUE"""),0.784)</f>
        <v>0.784</v>
      </c>
      <c r="Q122" s="34">
        <f>IFERROR(__xludf.DUMMYFUNCTION("""COMPUTED_VALUE"""),0.69)</f>
        <v>0.69</v>
      </c>
      <c r="R122" s="34">
        <f>IFERROR(__xludf.DUMMYFUNCTION("""COMPUTED_VALUE"""),0.79)</f>
        <v>0.79</v>
      </c>
      <c r="S122" s="34">
        <f>IFERROR(__xludf.DUMMYFUNCTION("""COMPUTED_VALUE"""),0.58)</f>
        <v>0.58</v>
      </c>
      <c r="T122" s="17" t="str">
        <f t="shared" si="1"/>
        <v>Wilyer Abreu</v>
      </c>
    </row>
    <row r="123">
      <c r="A123" s="17">
        <f>IFERROR(__xludf.DUMMYFUNCTION("""COMPUTED_VALUE"""),122.0)</f>
        <v>122</v>
      </c>
      <c r="B123" s="17" t="str">
        <f>IFERROR(__xludf.DUMMYFUNCTION("""COMPUTED_VALUE"""),"Heliot Ramos (SF - LF,CF,RF)")</f>
        <v>Heliot Ramos (SF - LF,CF,RF)</v>
      </c>
      <c r="C123" s="17">
        <f>IFERROR(__xludf.DUMMYFUNCTION("""COMPUTED_VALUE"""),413.0)</f>
        <v>413</v>
      </c>
      <c r="D123" s="17">
        <f>IFERROR(__xludf.DUMMYFUNCTION("""COMPUTED_VALUE"""),55.0)</f>
        <v>55</v>
      </c>
      <c r="E123" s="17">
        <f>IFERROR(__xludf.DUMMYFUNCTION("""COMPUTED_VALUE"""),16.0)</f>
        <v>16</v>
      </c>
      <c r="F123" s="17">
        <f>IFERROR(__xludf.DUMMYFUNCTION("""COMPUTED_VALUE"""),56.0)</f>
        <v>56</v>
      </c>
      <c r="G123" s="17">
        <f>IFERROR(__xludf.DUMMYFUNCTION("""COMPUTED_VALUE"""),4.0)</f>
        <v>4</v>
      </c>
      <c r="H123" s="17">
        <f>IFERROR(__xludf.DUMMYFUNCTION("""COMPUTED_VALUE"""),0.256)</f>
        <v>0.256</v>
      </c>
      <c r="I123" s="17">
        <f>IFERROR(__xludf.DUMMYFUNCTION("""COMPUTED_VALUE"""),0.325)</f>
        <v>0.325</v>
      </c>
      <c r="J123" s="17">
        <f>IFERROR(__xludf.DUMMYFUNCTION("""COMPUTED_VALUE"""),106.0)</f>
        <v>106</v>
      </c>
      <c r="K123" s="17">
        <f>IFERROR(__xludf.DUMMYFUNCTION("""COMPUTED_VALUE"""),19.0)</f>
        <v>19</v>
      </c>
      <c r="L123" s="17">
        <f>IFERROR(__xludf.DUMMYFUNCTION("""COMPUTED_VALUE"""),1.0)</f>
        <v>1</v>
      </c>
      <c r="M123" s="17">
        <f>IFERROR(__xludf.DUMMYFUNCTION("""COMPUTED_VALUE"""),36.0)</f>
        <v>36</v>
      </c>
      <c r="N123" s="17">
        <f>IFERROR(__xludf.DUMMYFUNCTION("""COMPUTED_VALUE"""),111.0)</f>
        <v>111</v>
      </c>
      <c r="O123" s="17">
        <f>IFERROR(__xludf.DUMMYFUNCTION("""COMPUTED_VALUE"""),0.423)</f>
        <v>0.423</v>
      </c>
      <c r="P123" s="17">
        <f>IFERROR(__xludf.DUMMYFUNCTION("""COMPUTED_VALUE"""),0.748)</f>
        <v>0.748</v>
      </c>
      <c r="Q123" s="34">
        <f>IFERROR(__xludf.DUMMYFUNCTION("""COMPUTED_VALUE"""),0.33)</f>
        <v>0.33</v>
      </c>
      <c r="R123" s="34">
        <f>IFERROR(__xludf.DUMMYFUNCTION("""COMPUTED_VALUE"""),0.48)</f>
        <v>0.48</v>
      </c>
      <c r="S123" s="34">
        <f>IFERROR(__xludf.DUMMYFUNCTION("""COMPUTED_VALUE"""),0.17)</f>
        <v>0.17</v>
      </c>
      <c r="T123" s="17" t="str">
        <f t="shared" si="1"/>
        <v>Heliot Ramos</v>
      </c>
    </row>
    <row r="124">
      <c r="A124" s="17">
        <f>IFERROR(__xludf.DUMMYFUNCTION("""COMPUTED_VALUE"""),123.0)</f>
        <v>123</v>
      </c>
      <c r="B124" s="17" t="str">
        <f>IFERROR(__xludf.DUMMYFUNCTION("""COMPUTED_VALUE"""),"Justin Crawford (PHI - CF)")</f>
        <v>Justin Crawford (PHI - CF)</v>
      </c>
      <c r="C124" s="17">
        <f>IFERROR(__xludf.DUMMYFUNCTION("""COMPUTED_VALUE"""),395.0)</f>
        <v>395</v>
      </c>
      <c r="D124" s="17">
        <f>IFERROR(__xludf.DUMMYFUNCTION("""COMPUTED_VALUE"""),56.0)</f>
        <v>56</v>
      </c>
      <c r="E124" s="17">
        <f>IFERROR(__xludf.DUMMYFUNCTION("""COMPUTED_VALUE"""),5.0)</f>
        <v>5</v>
      </c>
      <c r="F124" s="17">
        <f>IFERROR(__xludf.DUMMYFUNCTION("""COMPUTED_VALUE"""),40.0)</f>
        <v>40</v>
      </c>
      <c r="G124" s="17">
        <f>IFERROR(__xludf.DUMMYFUNCTION("""COMPUTED_VALUE"""),21.0)</f>
        <v>21</v>
      </c>
      <c r="H124" s="17">
        <f>IFERROR(__xludf.DUMMYFUNCTION("""COMPUTED_VALUE"""),0.271)</f>
        <v>0.271</v>
      </c>
      <c r="I124" s="17">
        <f>IFERROR(__xludf.DUMMYFUNCTION("""COMPUTED_VALUE"""),0.325)</f>
        <v>0.325</v>
      </c>
      <c r="J124" s="17">
        <f>IFERROR(__xludf.DUMMYFUNCTION("""COMPUTED_VALUE"""),107.0)</f>
        <v>107</v>
      </c>
      <c r="K124" s="17">
        <f>IFERROR(__xludf.DUMMYFUNCTION("""COMPUTED_VALUE"""),19.0)</f>
        <v>19</v>
      </c>
      <c r="L124" s="17">
        <f>IFERROR(__xludf.DUMMYFUNCTION("""COMPUTED_VALUE"""),3.0)</f>
        <v>3</v>
      </c>
      <c r="M124" s="17">
        <f>IFERROR(__xludf.DUMMYFUNCTION("""COMPUTED_VALUE"""),32.0)</f>
        <v>32</v>
      </c>
      <c r="N124" s="17">
        <f>IFERROR(__xludf.DUMMYFUNCTION("""COMPUTED_VALUE"""),90.0)</f>
        <v>90</v>
      </c>
      <c r="O124" s="17">
        <f>IFERROR(__xludf.DUMMYFUNCTION("""COMPUTED_VALUE"""),0.373)</f>
        <v>0.373</v>
      </c>
      <c r="P124" s="17">
        <f>IFERROR(__xludf.DUMMYFUNCTION("""COMPUTED_VALUE"""),0.698)</f>
        <v>0.698</v>
      </c>
      <c r="Q124" s="34">
        <f>IFERROR(__xludf.DUMMYFUNCTION("""COMPUTED_VALUE"""),0.08)</f>
        <v>0.08</v>
      </c>
      <c r="R124" s="34">
        <f>IFERROR(__xludf.DUMMYFUNCTION("""COMPUTED_VALUE"""),0.1)</f>
        <v>0.1</v>
      </c>
      <c r="S124" s="34">
        <f>IFERROR(__xludf.DUMMYFUNCTION("""COMPUTED_VALUE"""),0.05)</f>
        <v>0.05</v>
      </c>
      <c r="T124" s="17" t="str">
        <f t="shared" si="1"/>
        <v>Justin Crawford</v>
      </c>
    </row>
    <row r="125">
      <c r="A125" s="17">
        <f>IFERROR(__xludf.DUMMYFUNCTION("""COMPUTED_VALUE"""),124.0)</f>
        <v>124</v>
      </c>
      <c r="B125" s="17" t="str">
        <f>IFERROR(__xludf.DUMMYFUNCTION("""COMPUTED_VALUE"""),"Marcus Semien (NYM - 2B)")</f>
        <v>Marcus Semien (NYM - 2B)</v>
      </c>
      <c r="C125" s="17">
        <f>IFERROR(__xludf.DUMMYFUNCTION("""COMPUTED_VALUE"""),457.0)</f>
        <v>457</v>
      </c>
      <c r="D125" s="17">
        <f>IFERROR(__xludf.DUMMYFUNCTION("""COMPUTED_VALUE"""),62.0)</f>
        <v>62</v>
      </c>
      <c r="E125" s="17">
        <f>IFERROR(__xludf.DUMMYFUNCTION("""COMPUTED_VALUE"""),15.0)</f>
        <v>15</v>
      </c>
      <c r="F125" s="17">
        <f>IFERROR(__xludf.DUMMYFUNCTION("""COMPUTED_VALUE"""),58.0)</f>
        <v>58</v>
      </c>
      <c r="G125" s="17">
        <f>IFERROR(__xludf.DUMMYFUNCTION("""COMPUTED_VALUE"""),8.0)</f>
        <v>8</v>
      </c>
      <c r="H125" s="17">
        <f>IFERROR(__xludf.DUMMYFUNCTION("""COMPUTED_VALUE"""),0.239)</f>
        <v>0.239</v>
      </c>
      <c r="I125" s="17">
        <f>IFERROR(__xludf.DUMMYFUNCTION("""COMPUTED_VALUE"""),0.312)</f>
        <v>0.312</v>
      </c>
      <c r="J125" s="17">
        <f>IFERROR(__xludf.DUMMYFUNCTION("""COMPUTED_VALUE"""),109.0)</f>
        <v>109</v>
      </c>
      <c r="K125" s="17">
        <f>IFERROR(__xludf.DUMMYFUNCTION("""COMPUTED_VALUE"""),20.0)</f>
        <v>20</v>
      </c>
      <c r="L125" s="17">
        <f>IFERROR(__xludf.DUMMYFUNCTION("""COMPUTED_VALUE"""),2.0)</f>
        <v>2</v>
      </c>
      <c r="M125" s="17">
        <f>IFERROR(__xludf.DUMMYFUNCTION("""COMPUTED_VALUE"""),47.0)</f>
        <v>47</v>
      </c>
      <c r="N125" s="17">
        <f>IFERROR(__xludf.DUMMYFUNCTION("""COMPUTED_VALUE"""),88.0)</f>
        <v>88</v>
      </c>
      <c r="O125" s="17">
        <f>IFERROR(__xludf.DUMMYFUNCTION("""COMPUTED_VALUE"""),0.39)</f>
        <v>0.39</v>
      </c>
      <c r="P125" s="17">
        <f>IFERROR(__xludf.DUMMYFUNCTION("""COMPUTED_VALUE"""),0.702)</f>
        <v>0.702</v>
      </c>
      <c r="Q125" s="34">
        <f>IFERROR(__xludf.DUMMYFUNCTION("""COMPUTED_VALUE"""),0.5)</f>
        <v>0.5</v>
      </c>
      <c r="R125" s="34">
        <f>IFERROR(__xludf.DUMMYFUNCTION("""COMPUTED_VALUE"""),0.52)</f>
        <v>0.52</v>
      </c>
      <c r="S125" s="34">
        <f>IFERROR(__xludf.DUMMYFUNCTION("""COMPUTED_VALUE"""),0.49)</f>
        <v>0.49</v>
      </c>
      <c r="T125" s="17" t="str">
        <f t="shared" si="1"/>
        <v>Marcus Semien</v>
      </c>
    </row>
    <row r="126">
      <c r="A126" s="17">
        <f>IFERROR(__xludf.DUMMYFUNCTION("""COMPUTED_VALUE"""),125.0)</f>
        <v>125</v>
      </c>
      <c r="B126" s="17" t="str">
        <f>IFERROR(__xludf.DUMMYFUNCTION("""COMPUTED_VALUE"""),"Jakob Marsee (MIA - LF,CF)")</f>
        <v>Jakob Marsee (MIA - LF,CF)</v>
      </c>
      <c r="C126" s="17">
        <f>IFERROR(__xludf.DUMMYFUNCTION("""COMPUTED_VALUE"""),412.0)</f>
        <v>412</v>
      </c>
      <c r="D126" s="17">
        <f>IFERROR(__xludf.DUMMYFUNCTION("""COMPUTED_VALUE"""),60.0)</f>
        <v>60</v>
      </c>
      <c r="E126" s="17">
        <f>IFERROR(__xludf.DUMMYFUNCTION("""COMPUTED_VALUE"""),10.0)</f>
        <v>10</v>
      </c>
      <c r="F126" s="17">
        <f>IFERROR(__xludf.DUMMYFUNCTION("""COMPUTED_VALUE"""),45.0)</f>
        <v>45</v>
      </c>
      <c r="G126" s="17">
        <f>IFERROR(__xludf.DUMMYFUNCTION("""COMPUTED_VALUE"""),28.0)</f>
        <v>28</v>
      </c>
      <c r="H126" s="17">
        <f>IFERROR(__xludf.DUMMYFUNCTION("""COMPUTED_VALUE"""),0.229)</f>
        <v>0.229</v>
      </c>
      <c r="I126" s="17">
        <f>IFERROR(__xludf.DUMMYFUNCTION("""COMPUTED_VALUE"""),0.325)</f>
        <v>0.325</v>
      </c>
      <c r="J126" s="17">
        <f>IFERROR(__xludf.DUMMYFUNCTION("""COMPUTED_VALUE"""),94.0)</f>
        <v>94</v>
      </c>
      <c r="K126" s="17">
        <f>IFERROR(__xludf.DUMMYFUNCTION("""COMPUTED_VALUE"""),19.0)</f>
        <v>19</v>
      </c>
      <c r="L126" s="17">
        <f>IFERROR(__xludf.DUMMYFUNCTION("""COMPUTED_VALUE"""),4.0)</f>
        <v>4</v>
      </c>
      <c r="M126" s="17">
        <f>IFERROR(__xludf.DUMMYFUNCTION("""COMPUTED_VALUE"""),56.0)</f>
        <v>56</v>
      </c>
      <c r="N126" s="17">
        <f>IFERROR(__xludf.DUMMYFUNCTION("""COMPUTED_VALUE"""),105.0)</f>
        <v>105</v>
      </c>
      <c r="O126" s="17">
        <f>IFERROR(__xludf.DUMMYFUNCTION("""COMPUTED_VALUE"""),0.365)</f>
        <v>0.365</v>
      </c>
      <c r="P126" s="17">
        <f>IFERROR(__xludf.DUMMYFUNCTION("""COMPUTED_VALUE"""),0.69)</f>
        <v>0.69</v>
      </c>
      <c r="Q126" s="34">
        <f>IFERROR(__xludf.DUMMYFUNCTION("""COMPUTED_VALUE"""),0.59)</f>
        <v>0.59</v>
      </c>
      <c r="R126" s="34">
        <f>IFERROR(__xludf.DUMMYFUNCTION("""COMPUTED_VALUE"""),0.77)</f>
        <v>0.77</v>
      </c>
      <c r="S126" s="34">
        <f>IFERROR(__xludf.DUMMYFUNCTION("""COMPUTED_VALUE"""),0.41)</f>
        <v>0.41</v>
      </c>
      <c r="T126" s="17" t="str">
        <f t="shared" si="1"/>
        <v>Jakob Marsee</v>
      </c>
    </row>
    <row r="127">
      <c r="A127" s="17">
        <f>IFERROR(__xludf.DUMMYFUNCTION("""COMPUTED_VALUE"""),126.0)</f>
        <v>126</v>
      </c>
      <c r="B127" s="17" t="str">
        <f>IFERROR(__xludf.DUMMYFUNCTION("""COMPUTED_VALUE"""),"Josh Jung (TEX - 3B)")</f>
        <v>Josh Jung (TEX - 3B)</v>
      </c>
      <c r="C127" s="17">
        <f>IFERROR(__xludf.DUMMYFUNCTION("""COMPUTED_VALUE"""),436.0)</f>
        <v>436</v>
      </c>
      <c r="D127" s="17">
        <f>IFERROR(__xludf.DUMMYFUNCTION("""COMPUTED_VALUE"""),54.0)</f>
        <v>54</v>
      </c>
      <c r="E127" s="17">
        <f>IFERROR(__xludf.DUMMYFUNCTION("""COMPUTED_VALUE"""),16.0)</f>
        <v>16</v>
      </c>
      <c r="F127" s="17">
        <f>IFERROR(__xludf.DUMMYFUNCTION("""COMPUTED_VALUE"""),58.0)</f>
        <v>58</v>
      </c>
      <c r="G127" s="17">
        <f>IFERROR(__xludf.DUMMYFUNCTION("""COMPUTED_VALUE"""),4.0)</f>
        <v>4</v>
      </c>
      <c r="H127" s="17">
        <f>IFERROR(__xludf.DUMMYFUNCTION("""COMPUTED_VALUE"""),0.254)</f>
        <v>0.254</v>
      </c>
      <c r="I127" s="17">
        <f>IFERROR(__xludf.DUMMYFUNCTION("""COMPUTED_VALUE"""),0.303)</f>
        <v>0.303</v>
      </c>
      <c r="J127" s="17">
        <f>IFERROR(__xludf.DUMMYFUNCTION("""COMPUTED_VALUE"""),111.0)</f>
        <v>111</v>
      </c>
      <c r="K127" s="17">
        <f>IFERROR(__xludf.DUMMYFUNCTION("""COMPUTED_VALUE"""),22.0)</f>
        <v>22</v>
      </c>
      <c r="L127" s="17">
        <f>IFERROR(__xludf.DUMMYFUNCTION("""COMPUTED_VALUE"""),1.0)</f>
        <v>1</v>
      </c>
      <c r="M127" s="17">
        <f>IFERROR(__xludf.DUMMYFUNCTION("""COMPUTED_VALUE"""),28.0)</f>
        <v>28</v>
      </c>
      <c r="N127" s="17">
        <f>IFERROR(__xludf.DUMMYFUNCTION("""COMPUTED_VALUE"""),113.0)</f>
        <v>113</v>
      </c>
      <c r="O127" s="17">
        <f>IFERROR(__xludf.DUMMYFUNCTION("""COMPUTED_VALUE"""),0.42)</f>
        <v>0.42</v>
      </c>
      <c r="P127" s="17">
        <f>IFERROR(__xludf.DUMMYFUNCTION("""COMPUTED_VALUE"""),0.723)</f>
        <v>0.723</v>
      </c>
      <c r="Q127" s="34">
        <f>IFERROR(__xludf.DUMMYFUNCTION("""COMPUTED_VALUE"""),0.4)</f>
        <v>0.4</v>
      </c>
      <c r="R127" s="34">
        <f>IFERROR(__xludf.DUMMYFUNCTION("""COMPUTED_VALUE"""),0.49)</f>
        <v>0.49</v>
      </c>
      <c r="S127" s="34">
        <f>IFERROR(__xludf.DUMMYFUNCTION("""COMPUTED_VALUE"""),0.31)</f>
        <v>0.31</v>
      </c>
      <c r="T127" s="17" t="str">
        <f t="shared" si="1"/>
        <v>Josh Jung</v>
      </c>
    </row>
    <row r="128">
      <c r="A128" s="17">
        <f>IFERROR(__xludf.DUMMYFUNCTION("""COMPUTED_VALUE"""),127.0)</f>
        <v>127</v>
      </c>
      <c r="B128" s="17" t="str">
        <f>IFERROR(__xludf.DUMMYFUNCTION("""COMPUTED_VALUE"""),"Kazuma Okamoto (TOR - 1B,3B)")</f>
        <v>Kazuma Okamoto (TOR - 1B,3B)</v>
      </c>
      <c r="C128" s="17">
        <f>IFERROR(__xludf.DUMMYFUNCTION("""COMPUTED_VALUE"""),396.0)</f>
        <v>396</v>
      </c>
      <c r="D128" s="17">
        <f>IFERROR(__xludf.DUMMYFUNCTION("""COMPUTED_VALUE"""),54.0)</f>
        <v>54</v>
      </c>
      <c r="E128" s="17">
        <f>IFERROR(__xludf.DUMMYFUNCTION("""COMPUTED_VALUE"""),20.0)</f>
        <v>20</v>
      </c>
      <c r="F128" s="17">
        <f>IFERROR(__xludf.DUMMYFUNCTION("""COMPUTED_VALUE"""),63.0)</f>
        <v>63</v>
      </c>
      <c r="G128" s="17">
        <f>IFERROR(__xludf.DUMMYFUNCTION("""COMPUTED_VALUE"""),1.0)</f>
        <v>1</v>
      </c>
      <c r="H128" s="17">
        <f>IFERROR(__xludf.DUMMYFUNCTION("""COMPUTED_VALUE"""),0.243)</f>
        <v>0.243</v>
      </c>
      <c r="I128" s="17">
        <f>IFERROR(__xludf.DUMMYFUNCTION("""COMPUTED_VALUE"""),0.329)</f>
        <v>0.329</v>
      </c>
      <c r="J128" s="17">
        <f>IFERROR(__xludf.DUMMYFUNCTION("""COMPUTED_VALUE"""),96.0)</f>
        <v>96</v>
      </c>
      <c r="K128" s="17">
        <f>IFERROR(__xludf.DUMMYFUNCTION("""COMPUTED_VALUE"""),19.0)</f>
        <v>19</v>
      </c>
      <c r="L128" s="17">
        <f>IFERROR(__xludf.DUMMYFUNCTION("""COMPUTED_VALUE"""),0.0)</f>
        <v>0</v>
      </c>
      <c r="M128" s="17">
        <f>IFERROR(__xludf.DUMMYFUNCTION("""COMPUTED_VALUE"""),44.0)</f>
        <v>44</v>
      </c>
      <c r="N128" s="17">
        <f>IFERROR(__xludf.DUMMYFUNCTION("""COMPUTED_VALUE"""),93.0)</f>
        <v>93</v>
      </c>
      <c r="O128" s="17">
        <f>IFERROR(__xludf.DUMMYFUNCTION("""COMPUTED_VALUE"""),0.445)</f>
        <v>0.445</v>
      </c>
      <c r="P128" s="17">
        <f>IFERROR(__xludf.DUMMYFUNCTION("""COMPUTED_VALUE"""),0.775)</f>
        <v>0.775</v>
      </c>
      <c r="Q128" s="34">
        <f>IFERROR(__xludf.DUMMYFUNCTION("""COMPUTED_VALUE"""),0.53)</f>
        <v>0.53</v>
      </c>
      <c r="R128" s="34">
        <f>IFERROR(__xludf.DUMMYFUNCTION("""COMPUTED_VALUE"""),0.7)</f>
        <v>0.7</v>
      </c>
      <c r="S128" s="34">
        <f>IFERROR(__xludf.DUMMYFUNCTION("""COMPUTED_VALUE"""),0.37)</f>
        <v>0.37</v>
      </c>
      <c r="T128" s="17" t="str">
        <f t="shared" si="1"/>
        <v>Kazuma Okamoto</v>
      </c>
    </row>
    <row r="129">
      <c r="A129" s="17">
        <f>IFERROR(__xludf.DUMMYFUNCTION("""COMPUTED_VALUE"""),128.0)</f>
        <v>128</v>
      </c>
      <c r="B129" s="17" t="str">
        <f>IFERROR(__xludf.DUMMYFUNCTION("""COMPUTED_VALUE"""),"Ernie Clement (TOR - 1B,2B,3B,SS)")</f>
        <v>Ernie Clement (TOR - 1B,2B,3B,SS)</v>
      </c>
      <c r="C129" s="17">
        <f>IFERROR(__xludf.DUMMYFUNCTION("""COMPUTED_VALUE"""),468.0)</f>
        <v>468</v>
      </c>
      <c r="D129" s="17">
        <f>IFERROR(__xludf.DUMMYFUNCTION("""COMPUTED_VALUE"""),57.0)</f>
        <v>57</v>
      </c>
      <c r="E129" s="17">
        <f>IFERROR(__xludf.DUMMYFUNCTION("""COMPUTED_VALUE"""),8.0)</f>
        <v>8</v>
      </c>
      <c r="F129" s="17">
        <f>IFERROR(__xludf.DUMMYFUNCTION("""COMPUTED_VALUE"""),51.0)</f>
        <v>51</v>
      </c>
      <c r="G129" s="17">
        <f>IFERROR(__xludf.DUMMYFUNCTION("""COMPUTED_VALUE"""),7.0)</f>
        <v>7</v>
      </c>
      <c r="H129" s="17">
        <f>IFERROR(__xludf.DUMMYFUNCTION("""COMPUTED_VALUE"""),0.268)</f>
        <v>0.268</v>
      </c>
      <c r="I129" s="17">
        <f>IFERROR(__xludf.DUMMYFUNCTION("""COMPUTED_VALUE"""),0.302)</f>
        <v>0.302</v>
      </c>
      <c r="J129" s="17">
        <f>IFERROR(__xludf.DUMMYFUNCTION("""COMPUTED_VALUE"""),126.0)</f>
        <v>126</v>
      </c>
      <c r="K129" s="17">
        <f>IFERROR(__xludf.DUMMYFUNCTION("""COMPUTED_VALUE"""),27.0)</f>
        <v>27</v>
      </c>
      <c r="L129" s="17">
        <f>IFERROR(__xludf.DUMMYFUNCTION("""COMPUTED_VALUE"""),2.0)</f>
        <v>2</v>
      </c>
      <c r="M129" s="17">
        <f>IFERROR(__xludf.DUMMYFUNCTION("""COMPUTED_VALUE"""),22.0)</f>
        <v>22</v>
      </c>
      <c r="N129" s="17">
        <f>IFERROR(__xludf.DUMMYFUNCTION("""COMPUTED_VALUE"""),50.0)</f>
        <v>50</v>
      </c>
      <c r="O129" s="17">
        <f>IFERROR(__xludf.DUMMYFUNCTION("""COMPUTED_VALUE"""),0.388)</f>
        <v>0.388</v>
      </c>
      <c r="P129" s="17">
        <f>IFERROR(__xludf.DUMMYFUNCTION("""COMPUTED_VALUE"""),0.69)</f>
        <v>0.69</v>
      </c>
      <c r="Q129" s="34">
        <f>IFERROR(__xludf.DUMMYFUNCTION("""COMPUTED_VALUE"""),0.66)</f>
        <v>0.66</v>
      </c>
      <c r="R129" s="34">
        <f>IFERROR(__xludf.DUMMYFUNCTION("""COMPUTED_VALUE"""),0.6)</f>
        <v>0.6</v>
      </c>
      <c r="S129" s="34">
        <f>IFERROR(__xludf.DUMMYFUNCTION("""COMPUTED_VALUE"""),0.72)</f>
        <v>0.72</v>
      </c>
      <c r="T129" s="17" t="str">
        <f t="shared" si="1"/>
        <v>Ernie Clement</v>
      </c>
    </row>
    <row r="130">
      <c r="A130" s="17">
        <f>IFERROR(__xludf.DUMMYFUNCTION("""COMPUTED_VALUE"""),129.0)</f>
        <v>129</v>
      </c>
      <c r="B130" s="17" t="str">
        <f>IFERROR(__xludf.DUMMYFUNCTION("""COMPUTED_VALUE"""),"Ryan O'Hearn (PIT - 1B,LF,RF,DH)")</f>
        <v>Ryan O'Hearn (PIT - 1B,LF,RF,DH)</v>
      </c>
      <c r="C130" s="17">
        <f>IFERROR(__xludf.DUMMYFUNCTION("""COMPUTED_VALUE"""),391.0)</f>
        <v>391</v>
      </c>
      <c r="D130" s="17">
        <f>IFERROR(__xludf.DUMMYFUNCTION("""COMPUTED_VALUE"""),53.0)</f>
        <v>53</v>
      </c>
      <c r="E130" s="17">
        <f>IFERROR(__xludf.DUMMYFUNCTION("""COMPUTED_VALUE"""),13.0)</f>
        <v>13</v>
      </c>
      <c r="F130" s="17">
        <f>IFERROR(__xludf.DUMMYFUNCTION("""COMPUTED_VALUE"""),54.0)</f>
        <v>54</v>
      </c>
      <c r="G130" s="17">
        <f>IFERROR(__xludf.DUMMYFUNCTION("""COMPUTED_VALUE"""),3.0)</f>
        <v>3</v>
      </c>
      <c r="H130" s="17">
        <f>IFERROR(__xludf.DUMMYFUNCTION("""COMPUTED_VALUE"""),0.27)</f>
        <v>0.27</v>
      </c>
      <c r="I130" s="17">
        <f>IFERROR(__xludf.DUMMYFUNCTION("""COMPUTED_VALUE"""),0.35)</f>
        <v>0.35</v>
      </c>
      <c r="J130" s="17">
        <f>IFERROR(__xludf.DUMMYFUNCTION("""COMPUTED_VALUE"""),105.0)</f>
        <v>105</v>
      </c>
      <c r="K130" s="17">
        <f>IFERROR(__xludf.DUMMYFUNCTION("""COMPUTED_VALUE"""),20.0)</f>
        <v>20</v>
      </c>
      <c r="L130" s="17">
        <f>IFERROR(__xludf.DUMMYFUNCTION("""COMPUTED_VALUE"""),1.0)</f>
        <v>1</v>
      </c>
      <c r="M130" s="17">
        <f>IFERROR(__xludf.DUMMYFUNCTION("""COMPUTED_VALUE"""),43.0)</f>
        <v>43</v>
      </c>
      <c r="N130" s="17">
        <f>IFERROR(__xludf.DUMMYFUNCTION("""COMPUTED_VALUE"""),82.0)</f>
        <v>82</v>
      </c>
      <c r="O130" s="17">
        <f>IFERROR(__xludf.DUMMYFUNCTION("""COMPUTED_VALUE"""),0.425)</f>
        <v>0.425</v>
      </c>
      <c r="P130" s="17">
        <f>IFERROR(__xludf.DUMMYFUNCTION("""COMPUTED_VALUE"""),0.775)</f>
        <v>0.775</v>
      </c>
      <c r="Q130" s="34">
        <f>IFERROR(__xludf.DUMMYFUNCTION("""COMPUTED_VALUE"""),0.76)</f>
        <v>0.76</v>
      </c>
      <c r="R130" s="34">
        <f>IFERROR(__xludf.DUMMYFUNCTION("""COMPUTED_VALUE"""),0.73)</f>
        <v>0.73</v>
      </c>
      <c r="S130" s="34">
        <f>IFERROR(__xludf.DUMMYFUNCTION("""COMPUTED_VALUE"""),0.8)</f>
        <v>0.8</v>
      </c>
      <c r="T130" s="17" t="str">
        <f t="shared" si="1"/>
        <v>Ryan O'Hearn</v>
      </c>
    </row>
    <row r="131">
      <c r="A131" s="17">
        <f>IFERROR(__xludf.DUMMYFUNCTION("""COMPUTED_VALUE"""),130.0)</f>
        <v>130</v>
      </c>
      <c r="B131" s="17" t="str">
        <f>IFERROR(__xludf.DUMMYFUNCTION("""COMPUTED_VALUE"""),"Carlos Correa (HOU - 3B,SS)")</f>
        <v>Carlos Correa (HOU - 3B,SS)</v>
      </c>
      <c r="C131" s="17">
        <f>IFERROR(__xludf.DUMMYFUNCTION("""COMPUTED_VALUE"""),418.0)</f>
        <v>418</v>
      </c>
      <c r="D131" s="17">
        <f>IFERROR(__xludf.DUMMYFUNCTION("""COMPUTED_VALUE"""),58.0)</f>
        <v>58</v>
      </c>
      <c r="E131" s="17">
        <f>IFERROR(__xludf.DUMMYFUNCTION("""COMPUTED_VALUE"""),14.0)</f>
        <v>14</v>
      </c>
      <c r="F131" s="17">
        <f>IFERROR(__xludf.DUMMYFUNCTION("""COMPUTED_VALUE"""),53.0)</f>
        <v>53</v>
      </c>
      <c r="G131" s="17">
        <f>IFERROR(__xludf.DUMMYFUNCTION("""COMPUTED_VALUE"""),1.0)</f>
        <v>1</v>
      </c>
      <c r="H131" s="17">
        <f>IFERROR(__xludf.DUMMYFUNCTION("""COMPUTED_VALUE"""),0.264)</f>
        <v>0.264</v>
      </c>
      <c r="I131" s="17">
        <f>IFERROR(__xludf.DUMMYFUNCTION("""COMPUTED_VALUE"""),0.34)</f>
        <v>0.34</v>
      </c>
      <c r="J131" s="17">
        <f>IFERROR(__xludf.DUMMYFUNCTION("""COMPUTED_VALUE"""),110.0)</f>
        <v>110</v>
      </c>
      <c r="K131" s="17">
        <f>IFERROR(__xludf.DUMMYFUNCTION("""COMPUTED_VALUE"""),21.0)</f>
        <v>21</v>
      </c>
      <c r="L131" s="17">
        <f>IFERROR(__xludf.DUMMYFUNCTION("""COMPUTED_VALUE"""),1.0)</f>
        <v>1</v>
      </c>
      <c r="M131" s="17">
        <f>IFERROR(__xludf.DUMMYFUNCTION("""COMPUTED_VALUE"""),45.0)</f>
        <v>45</v>
      </c>
      <c r="N131" s="17">
        <f>IFERROR(__xludf.DUMMYFUNCTION("""COMPUTED_VALUE"""),92.0)</f>
        <v>92</v>
      </c>
      <c r="O131" s="17">
        <f>IFERROR(__xludf.DUMMYFUNCTION("""COMPUTED_VALUE"""),0.418)</f>
        <v>0.418</v>
      </c>
      <c r="P131" s="17">
        <f>IFERROR(__xludf.DUMMYFUNCTION("""COMPUTED_VALUE"""),0.758)</f>
        <v>0.758</v>
      </c>
      <c r="Q131" s="34">
        <f>IFERROR(__xludf.DUMMYFUNCTION("""COMPUTED_VALUE"""),0.6)</f>
        <v>0.6</v>
      </c>
      <c r="R131" s="34">
        <f>IFERROR(__xludf.DUMMYFUNCTION("""COMPUTED_VALUE"""),0.67)</f>
        <v>0.67</v>
      </c>
      <c r="S131" s="34">
        <f>IFERROR(__xludf.DUMMYFUNCTION("""COMPUTED_VALUE"""),0.53)</f>
        <v>0.53</v>
      </c>
      <c r="T131" s="17" t="str">
        <f t="shared" si="1"/>
        <v>Carlos Correa</v>
      </c>
    </row>
    <row r="132">
      <c r="A132" s="17">
        <f>IFERROR(__xludf.DUMMYFUNCTION("""COMPUTED_VALUE"""),131.0)</f>
        <v>131</v>
      </c>
      <c r="B132" s="17" t="str">
        <f>IFERROR(__xludf.DUMMYFUNCTION("""COMPUTED_VALUE"""),"Jeremy Pena (HOU - SS) IL10")</f>
        <v>Jeremy Pena (HOU - SS) IL10</v>
      </c>
      <c r="C132" s="17">
        <f>IFERROR(__xludf.DUMMYFUNCTION("""COMPUTED_VALUE"""),378.0)</f>
        <v>378</v>
      </c>
      <c r="D132" s="17">
        <f>IFERROR(__xludf.DUMMYFUNCTION("""COMPUTED_VALUE"""),53.0)</f>
        <v>53</v>
      </c>
      <c r="E132" s="17">
        <f>IFERROR(__xludf.DUMMYFUNCTION("""COMPUTED_VALUE"""),11.0)</f>
        <v>11</v>
      </c>
      <c r="F132" s="17">
        <f>IFERROR(__xludf.DUMMYFUNCTION("""COMPUTED_VALUE"""),45.0)</f>
        <v>45</v>
      </c>
      <c r="G132" s="17">
        <f>IFERROR(__xludf.DUMMYFUNCTION("""COMPUTED_VALUE"""),11.0)</f>
        <v>11</v>
      </c>
      <c r="H132" s="17">
        <f>IFERROR(__xludf.DUMMYFUNCTION("""COMPUTED_VALUE"""),0.27)</f>
        <v>0.27</v>
      </c>
      <c r="I132" s="17">
        <f>IFERROR(__xludf.DUMMYFUNCTION("""COMPUTED_VALUE"""),0.326)</f>
        <v>0.326</v>
      </c>
      <c r="J132" s="17">
        <f>IFERROR(__xludf.DUMMYFUNCTION("""COMPUTED_VALUE"""),102.0)</f>
        <v>102</v>
      </c>
      <c r="K132" s="17">
        <f>IFERROR(__xludf.DUMMYFUNCTION("""COMPUTED_VALUE"""),19.0)</f>
        <v>19</v>
      </c>
      <c r="L132" s="17">
        <f>IFERROR(__xludf.DUMMYFUNCTION("""COMPUTED_VALUE"""),1.0)</f>
        <v>1</v>
      </c>
      <c r="M132" s="17">
        <f>IFERROR(__xludf.DUMMYFUNCTION("""COMPUTED_VALUE"""),25.0)</f>
        <v>25</v>
      </c>
      <c r="N132" s="17">
        <f>IFERROR(__xludf.DUMMYFUNCTION("""COMPUTED_VALUE"""),73.0)</f>
        <v>73</v>
      </c>
      <c r="O132" s="17">
        <f>IFERROR(__xludf.DUMMYFUNCTION("""COMPUTED_VALUE"""),0.417)</f>
        <v>0.417</v>
      </c>
      <c r="P132" s="17">
        <f>IFERROR(__xludf.DUMMYFUNCTION("""COMPUTED_VALUE"""),0.743)</f>
        <v>0.743</v>
      </c>
      <c r="Q132" s="34">
        <f>IFERROR(__xludf.DUMMYFUNCTION("""COMPUTED_VALUE"""),0.68)</f>
        <v>0.68</v>
      </c>
      <c r="R132" s="34">
        <f>IFERROR(__xludf.DUMMYFUNCTION("""COMPUTED_VALUE"""),0.81)</f>
        <v>0.81</v>
      </c>
      <c r="S132" s="34">
        <f>IFERROR(__xludf.DUMMYFUNCTION("""COMPUTED_VALUE"""),0.54)</f>
        <v>0.54</v>
      </c>
      <c r="T132" s="17" t="str">
        <f t="shared" si="1"/>
        <v>Jeremy Pena</v>
      </c>
    </row>
    <row r="133">
      <c r="A133" s="17">
        <f>IFERROR(__xludf.DUMMYFUNCTION("""COMPUTED_VALUE"""),132.0)</f>
        <v>132</v>
      </c>
      <c r="B133" s="17" t="str">
        <f>IFERROR(__xludf.DUMMYFUNCTION("""COMPUTED_VALUE"""),"Josh Bell (MIN - 1B,DH)")</f>
        <v>Josh Bell (MIN - 1B,DH)</v>
      </c>
      <c r="C133" s="17">
        <f>IFERROR(__xludf.DUMMYFUNCTION("""COMPUTED_VALUE"""),417.0)</f>
        <v>417</v>
      </c>
      <c r="D133" s="17">
        <f>IFERROR(__xludf.DUMMYFUNCTION("""COMPUTED_VALUE"""),56.0)</f>
        <v>56</v>
      </c>
      <c r="E133" s="17">
        <f>IFERROR(__xludf.DUMMYFUNCTION("""COMPUTED_VALUE"""),17.0)</f>
        <v>17</v>
      </c>
      <c r="F133" s="17">
        <f>IFERROR(__xludf.DUMMYFUNCTION("""COMPUTED_VALUE"""),59.0)</f>
        <v>59</v>
      </c>
      <c r="G133" s="17">
        <f>IFERROR(__xludf.DUMMYFUNCTION("""COMPUTED_VALUE"""),1.0)</f>
        <v>1</v>
      </c>
      <c r="H133" s="17">
        <f>IFERROR(__xludf.DUMMYFUNCTION("""COMPUTED_VALUE"""),0.248)</f>
        <v>0.248</v>
      </c>
      <c r="I133" s="17">
        <f>IFERROR(__xludf.DUMMYFUNCTION("""COMPUTED_VALUE"""),0.337)</f>
        <v>0.337</v>
      </c>
      <c r="J133" s="17">
        <f>IFERROR(__xludf.DUMMYFUNCTION("""COMPUTED_VALUE"""),104.0)</f>
        <v>104</v>
      </c>
      <c r="K133" s="17">
        <f>IFERROR(__xludf.DUMMYFUNCTION("""COMPUTED_VALUE"""),19.0)</f>
        <v>19</v>
      </c>
      <c r="L133" s="17">
        <f>IFERROR(__xludf.DUMMYFUNCTION("""COMPUTED_VALUE"""),1.0)</f>
        <v>1</v>
      </c>
      <c r="M133" s="17">
        <f>IFERROR(__xludf.DUMMYFUNCTION("""COMPUTED_VALUE"""),52.0)</f>
        <v>52</v>
      </c>
      <c r="N133" s="17">
        <f>IFERROR(__xludf.DUMMYFUNCTION("""COMPUTED_VALUE"""),89.0)</f>
        <v>89</v>
      </c>
      <c r="O133" s="17">
        <f>IFERROR(__xludf.DUMMYFUNCTION("""COMPUTED_VALUE"""),0.42)</f>
        <v>0.42</v>
      </c>
      <c r="P133" s="17">
        <f>IFERROR(__xludf.DUMMYFUNCTION("""COMPUTED_VALUE"""),0.757)</f>
        <v>0.757</v>
      </c>
      <c r="Q133" s="34">
        <f>IFERROR(__xludf.DUMMYFUNCTION("""COMPUTED_VALUE"""),0.2)</f>
        <v>0.2</v>
      </c>
      <c r="R133" s="34">
        <f>IFERROR(__xludf.DUMMYFUNCTION("""COMPUTED_VALUE"""),0.21)</f>
        <v>0.21</v>
      </c>
      <c r="S133" s="34">
        <f>IFERROR(__xludf.DUMMYFUNCTION("""COMPUTED_VALUE"""),0.19)</f>
        <v>0.19</v>
      </c>
      <c r="T133" s="17" t="str">
        <f t="shared" si="1"/>
        <v>Josh Bell</v>
      </c>
    </row>
    <row r="134">
      <c r="A134" s="17">
        <f>IFERROR(__xludf.DUMMYFUNCTION("""COMPUTED_VALUE"""),133.0)</f>
        <v>133</v>
      </c>
      <c r="B134" s="17" t="str">
        <f>IFERROR(__xludf.DUMMYFUNCTION("""COMPUTED_VALUE"""),"Brenton Doyle (COL - CF)")</f>
        <v>Brenton Doyle (COL - CF)</v>
      </c>
      <c r="C134" s="17">
        <f>IFERROR(__xludf.DUMMYFUNCTION("""COMPUTED_VALUE"""),392.0)</f>
        <v>392</v>
      </c>
      <c r="D134" s="17">
        <f>IFERROR(__xludf.DUMMYFUNCTION("""COMPUTED_VALUE"""),53.0)</f>
        <v>53</v>
      </c>
      <c r="E134" s="17">
        <f>IFERROR(__xludf.DUMMYFUNCTION("""COMPUTED_VALUE"""),13.0)</f>
        <v>13</v>
      </c>
      <c r="F134" s="17">
        <f>IFERROR(__xludf.DUMMYFUNCTION("""COMPUTED_VALUE"""),48.0)</f>
        <v>48</v>
      </c>
      <c r="G134" s="17">
        <f>IFERROR(__xludf.DUMMYFUNCTION("""COMPUTED_VALUE"""),17.0)</f>
        <v>17</v>
      </c>
      <c r="H134" s="17">
        <f>IFERROR(__xludf.DUMMYFUNCTION("""COMPUTED_VALUE"""),0.246)</f>
        <v>0.246</v>
      </c>
      <c r="I134" s="17">
        <f>IFERROR(__xludf.DUMMYFUNCTION("""COMPUTED_VALUE"""),0.298)</f>
        <v>0.298</v>
      </c>
      <c r="J134" s="17">
        <f>IFERROR(__xludf.DUMMYFUNCTION("""COMPUTED_VALUE"""),96.0)</f>
        <v>96</v>
      </c>
      <c r="K134" s="17">
        <f>IFERROR(__xludf.DUMMYFUNCTION("""COMPUTED_VALUE"""),18.0)</f>
        <v>18</v>
      </c>
      <c r="L134" s="17">
        <f>IFERROR(__xludf.DUMMYFUNCTION("""COMPUTED_VALUE"""),2.0)</f>
        <v>2</v>
      </c>
      <c r="M134" s="17">
        <f>IFERROR(__xludf.DUMMYFUNCTION("""COMPUTED_VALUE"""),29.0)</f>
        <v>29</v>
      </c>
      <c r="N134" s="17">
        <f>IFERROR(__xludf.DUMMYFUNCTION("""COMPUTED_VALUE"""),116.0)</f>
        <v>116</v>
      </c>
      <c r="O134" s="17">
        <f>IFERROR(__xludf.DUMMYFUNCTION("""COMPUTED_VALUE"""),0.406)</f>
        <v>0.406</v>
      </c>
      <c r="P134" s="17">
        <f>IFERROR(__xludf.DUMMYFUNCTION("""COMPUTED_VALUE"""),0.703)</f>
        <v>0.703</v>
      </c>
      <c r="Q134" s="34">
        <f>IFERROR(__xludf.DUMMYFUNCTION("""COMPUTED_VALUE"""),0.25)</f>
        <v>0.25</v>
      </c>
      <c r="R134" s="34">
        <f>IFERROR(__xludf.DUMMYFUNCTION("""COMPUTED_VALUE"""),0.43)</f>
        <v>0.43</v>
      </c>
      <c r="S134" s="34">
        <f>IFERROR(__xludf.DUMMYFUNCTION("""COMPUTED_VALUE"""),0.08)</f>
        <v>0.08</v>
      </c>
      <c r="T134" s="17" t="str">
        <f t="shared" si="1"/>
        <v>Brenton Doyle</v>
      </c>
    </row>
    <row r="135">
      <c r="A135" s="17">
        <f>IFERROR(__xludf.DUMMYFUNCTION("""COMPUTED_VALUE"""),134.0)</f>
        <v>134</v>
      </c>
      <c r="B135" s="17" t="str">
        <f>IFERROR(__xludf.DUMMYFUNCTION("""COMPUTED_VALUE"""),"Kerry Carpenter (DET - LF,RF,DH)")</f>
        <v>Kerry Carpenter (DET - LF,RF,DH)</v>
      </c>
      <c r="C135" s="17">
        <f>IFERROR(__xludf.DUMMYFUNCTION("""COMPUTED_VALUE"""),357.0)</f>
        <v>357</v>
      </c>
      <c r="D135" s="17">
        <f>IFERROR(__xludf.DUMMYFUNCTION("""COMPUTED_VALUE"""),50.0)</f>
        <v>50</v>
      </c>
      <c r="E135" s="17">
        <f>IFERROR(__xludf.DUMMYFUNCTION("""COMPUTED_VALUE"""),19.0)</f>
        <v>19</v>
      </c>
      <c r="F135" s="17">
        <f>IFERROR(__xludf.DUMMYFUNCTION("""COMPUTED_VALUE"""),58.0)</f>
        <v>58</v>
      </c>
      <c r="G135" s="17">
        <f>IFERROR(__xludf.DUMMYFUNCTION("""COMPUTED_VALUE"""),2.0)</f>
        <v>2</v>
      </c>
      <c r="H135" s="17">
        <f>IFERROR(__xludf.DUMMYFUNCTION("""COMPUTED_VALUE"""),0.249)</f>
        <v>0.249</v>
      </c>
      <c r="I135" s="17">
        <f>IFERROR(__xludf.DUMMYFUNCTION("""COMPUTED_VALUE"""),0.311)</f>
        <v>0.311</v>
      </c>
      <c r="J135" s="17">
        <f>IFERROR(__xludf.DUMMYFUNCTION("""COMPUTED_VALUE"""),89.0)</f>
        <v>89</v>
      </c>
      <c r="K135" s="17">
        <f>IFERROR(__xludf.DUMMYFUNCTION("""COMPUTED_VALUE"""),15.0)</f>
        <v>15</v>
      </c>
      <c r="L135" s="17">
        <f>IFERROR(__xludf.DUMMYFUNCTION("""COMPUTED_VALUE"""),3.0)</f>
        <v>3</v>
      </c>
      <c r="M135" s="17">
        <f>IFERROR(__xludf.DUMMYFUNCTION("""COMPUTED_VALUE"""),28.0)</f>
        <v>28</v>
      </c>
      <c r="N135" s="17">
        <f>IFERROR(__xludf.DUMMYFUNCTION("""COMPUTED_VALUE"""),98.0)</f>
        <v>98</v>
      </c>
      <c r="O135" s="17">
        <f>IFERROR(__xludf.DUMMYFUNCTION("""COMPUTED_VALUE"""),0.469)</f>
        <v>0.469</v>
      </c>
      <c r="P135" s="17">
        <f>IFERROR(__xludf.DUMMYFUNCTION("""COMPUTED_VALUE"""),0.78)</f>
        <v>0.78</v>
      </c>
      <c r="Q135" s="34">
        <f>IFERROR(__xludf.DUMMYFUNCTION("""COMPUTED_VALUE"""),0.34)</f>
        <v>0.34</v>
      </c>
      <c r="R135" s="34">
        <f>IFERROR(__xludf.DUMMYFUNCTION("""COMPUTED_VALUE"""),0.52)</f>
        <v>0.52</v>
      </c>
      <c r="S135" s="34">
        <f>IFERROR(__xludf.DUMMYFUNCTION("""COMPUTED_VALUE"""),0.15)</f>
        <v>0.15</v>
      </c>
      <c r="T135" s="17" t="str">
        <f t="shared" si="1"/>
        <v>Kerry Carpenter</v>
      </c>
    </row>
    <row r="136">
      <c r="A136" s="17">
        <f>IFERROR(__xludf.DUMMYFUNCTION("""COMPUTED_VALUE"""),135.0)</f>
        <v>135</v>
      </c>
      <c r="B136" s="17" t="str">
        <f>IFERROR(__xludf.DUMMYFUNCTION("""COMPUTED_VALUE"""),"Colson Montgomery (CWS - 3B,SS)")</f>
        <v>Colson Montgomery (CWS - 3B,SS)</v>
      </c>
      <c r="C136" s="17">
        <f>IFERROR(__xludf.DUMMYFUNCTION("""COMPUTED_VALUE"""),431.0)</f>
        <v>431</v>
      </c>
      <c r="D136" s="17">
        <f>IFERROR(__xludf.DUMMYFUNCTION("""COMPUTED_VALUE"""),57.0)</f>
        <v>57</v>
      </c>
      <c r="E136" s="17">
        <f>IFERROR(__xludf.DUMMYFUNCTION("""COMPUTED_VALUE"""),22.0)</f>
        <v>22</v>
      </c>
      <c r="F136" s="17">
        <f>IFERROR(__xludf.DUMMYFUNCTION("""COMPUTED_VALUE"""),67.0)</f>
        <v>67</v>
      </c>
      <c r="G136" s="17">
        <f>IFERROR(__xludf.DUMMYFUNCTION("""COMPUTED_VALUE"""),2.0)</f>
        <v>2</v>
      </c>
      <c r="H136" s="17">
        <f>IFERROR(__xludf.DUMMYFUNCTION("""COMPUTED_VALUE"""),0.219)</f>
        <v>0.219</v>
      </c>
      <c r="I136" s="17">
        <f>IFERROR(__xludf.DUMMYFUNCTION("""COMPUTED_VALUE"""),0.3)</f>
        <v>0.3</v>
      </c>
      <c r="J136" s="17">
        <f>IFERROR(__xludf.DUMMYFUNCTION("""COMPUTED_VALUE"""),94.0)</f>
        <v>94</v>
      </c>
      <c r="K136" s="17">
        <f>IFERROR(__xludf.DUMMYFUNCTION("""COMPUTED_VALUE"""),16.0)</f>
        <v>16</v>
      </c>
      <c r="L136" s="17">
        <f>IFERROR(__xludf.DUMMYFUNCTION("""COMPUTED_VALUE"""),2.0)</f>
        <v>2</v>
      </c>
      <c r="M136" s="17">
        <f>IFERROR(__xludf.DUMMYFUNCTION("""COMPUTED_VALUE"""),41.0)</f>
        <v>41</v>
      </c>
      <c r="N136" s="17">
        <f>IFERROR(__xludf.DUMMYFUNCTION("""COMPUTED_VALUE"""),145.0)</f>
        <v>145</v>
      </c>
      <c r="O136" s="17">
        <f>IFERROR(__xludf.DUMMYFUNCTION("""COMPUTED_VALUE"""),0.416)</f>
        <v>0.416</v>
      </c>
      <c r="P136" s="17">
        <f>IFERROR(__xludf.DUMMYFUNCTION("""COMPUTED_VALUE"""),0.716)</f>
        <v>0.716</v>
      </c>
      <c r="Q136" s="34">
        <f>IFERROR(__xludf.DUMMYFUNCTION("""COMPUTED_VALUE"""),0.55)</f>
        <v>0.55</v>
      </c>
      <c r="R136" s="34">
        <f>IFERROR(__xludf.DUMMYFUNCTION("""COMPUTED_VALUE"""),0.88)</f>
        <v>0.88</v>
      </c>
      <c r="S136" s="34">
        <f>IFERROR(__xludf.DUMMYFUNCTION("""COMPUTED_VALUE"""),0.22)</f>
        <v>0.22</v>
      </c>
      <c r="T136" s="17" t="str">
        <f t="shared" si="1"/>
        <v>Colson Montgomery</v>
      </c>
    </row>
    <row r="137">
      <c r="A137" s="17">
        <f>IFERROR(__xludf.DUMMYFUNCTION("""COMPUTED_VALUE"""),136.0)</f>
        <v>136</v>
      </c>
      <c r="B137" s="17" t="str">
        <f>IFERROR(__xludf.DUMMYFUNCTION("""COMPUTED_VALUE"""),"Luis Garcia (WSH - 1B,2B,DH)")</f>
        <v>Luis Garcia (WSH - 1B,2B,DH)</v>
      </c>
      <c r="C137" s="17">
        <f>IFERROR(__xludf.DUMMYFUNCTION("""COMPUTED_VALUE"""),370.0)</f>
        <v>370</v>
      </c>
      <c r="D137" s="17">
        <f>IFERROR(__xludf.DUMMYFUNCTION("""COMPUTED_VALUE"""),48.0)</f>
        <v>48</v>
      </c>
      <c r="E137" s="17">
        <f>IFERROR(__xludf.DUMMYFUNCTION("""COMPUTED_VALUE"""),11.0)</f>
        <v>11</v>
      </c>
      <c r="F137" s="17">
        <f>IFERROR(__xludf.DUMMYFUNCTION("""COMPUTED_VALUE"""),50.0)</f>
        <v>50</v>
      </c>
      <c r="G137" s="17">
        <f>IFERROR(__xludf.DUMMYFUNCTION("""COMPUTED_VALUE"""),10.0)</f>
        <v>10</v>
      </c>
      <c r="H137" s="17">
        <f>IFERROR(__xludf.DUMMYFUNCTION("""COMPUTED_VALUE"""),0.268)</f>
        <v>0.268</v>
      </c>
      <c r="I137" s="17">
        <f>IFERROR(__xludf.DUMMYFUNCTION("""COMPUTED_VALUE"""),0.31)</f>
        <v>0.31</v>
      </c>
      <c r="J137" s="17">
        <f>IFERROR(__xludf.DUMMYFUNCTION("""COMPUTED_VALUE"""),99.0)</f>
        <v>99</v>
      </c>
      <c r="K137" s="17">
        <f>IFERROR(__xludf.DUMMYFUNCTION("""COMPUTED_VALUE"""),19.0)</f>
        <v>19</v>
      </c>
      <c r="L137" s="17">
        <f>IFERROR(__xludf.DUMMYFUNCTION("""COMPUTED_VALUE"""),2.0)</f>
        <v>2</v>
      </c>
      <c r="M137" s="17">
        <f>IFERROR(__xludf.DUMMYFUNCTION("""COMPUTED_VALUE"""),22.0)</f>
        <v>22</v>
      </c>
      <c r="N137" s="17">
        <f>IFERROR(__xludf.DUMMYFUNCTION("""COMPUTED_VALUE"""),62.0)</f>
        <v>62</v>
      </c>
      <c r="O137" s="17">
        <f>IFERROR(__xludf.DUMMYFUNCTION("""COMPUTED_VALUE"""),0.421)</f>
        <v>0.421</v>
      </c>
      <c r="P137" s="17">
        <f>IFERROR(__xludf.DUMMYFUNCTION("""COMPUTED_VALUE"""),0.731)</f>
        <v>0.731</v>
      </c>
      <c r="Q137" s="34">
        <f>IFERROR(__xludf.DUMMYFUNCTION("""COMPUTED_VALUE"""),0.36)</f>
        <v>0.36</v>
      </c>
      <c r="R137" s="34">
        <f>IFERROR(__xludf.DUMMYFUNCTION("""COMPUTED_VALUE"""),0.47)</f>
        <v>0.47</v>
      </c>
      <c r="S137" s="34">
        <f>IFERROR(__xludf.DUMMYFUNCTION("""COMPUTED_VALUE"""),0.24)</f>
        <v>0.24</v>
      </c>
      <c r="T137" s="17" t="str">
        <f t="shared" si="1"/>
        <v>Luis Garcia</v>
      </c>
    </row>
    <row r="138">
      <c r="A138" s="17">
        <f>IFERROR(__xludf.DUMMYFUNCTION("""COMPUTED_VALUE"""),137.0)</f>
        <v>137</v>
      </c>
      <c r="B138" s="17" t="str">
        <f>IFERROR(__xludf.DUMMYFUNCTION("""COMPUTED_VALUE"""),"Alec Bohm (PHI - 1B,3B)")</f>
        <v>Alec Bohm (PHI - 1B,3B)</v>
      </c>
      <c r="C138" s="17">
        <f>IFERROR(__xludf.DUMMYFUNCTION("""COMPUTED_VALUE"""),425.0)</f>
        <v>425</v>
      </c>
      <c r="D138" s="17">
        <f>IFERROR(__xludf.DUMMYFUNCTION("""COMPUTED_VALUE"""),52.0)</f>
        <v>52</v>
      </c>
      <c r="E138" s="17">
        <f>IFERROR(__xludf.DUMMYFUNCTION("""COMPUTED_VALUE"""),11.0)</f>
        <v>11</v>
      </c>
      <c r="F138" s="17">
        <f>IFERROR(__xludf.DUMMYFUNCTION("""COMPUTED_VALUE"""),56.0)</f>
        <v>56</v>
      </c>
      <c r="G138" s="17">
        <f>IFERROR(__xludf.DUMMYFUNCTION("""COMPUTED_VALUE"""),2.0)</f>
        <v>2</v>
      </c>
      <c r="H138" s="17">
        <f>IFERROR(__xludf.DUMMYFUNCTION("""COMPUTED_VALUE"""),0.268)</f>
        <v>0.268</v>
      </c>
      <c r="I138" s="17">
        <f>IFERROR(__xludf.DUMMYFUNCTION("""COMPUTED_VALUE"""),0.324)</f>
        <v>0.324</v>
      </c>
      <c r="J138" s="17">
        <f>IFERROR(__xludf.DUMMYFUNCTION("""COMPUTED_VALUE"""),114.0)</f>
        <v>114</v>
      </c>
      <c r="K138" s="17">
        <f>IFERROR(__xludf.DUMMYFUNCTION("""COMPUTED_VALUE"""),21.0)</f>
        <v>21</v>
      </c>
      <c r="L138" s="17">
        <f>IFERROR(__xludf.DUMMYFUNCTION("""COMPUTED_VALUE"""),2.0)</f>
        <v>2</v>
      </c>
      <c r="M138" s="17">
        <f>IFERROR(__xludf.DUMMYFUNCTION("""COMPUTED_VALUE"""),32.0)</f>
        <v>32</v>
      </c>
      <c r="N138" s="17">
        <f>IFERROR(__xludf.DUMMYFUNCTION("""COMPUTED_VALUE"""),74.0)</f>
        <v>74</v>
      </c>
      <c r="O138" s="17">
        <f>IFERROR(__xludf.DUMMYFUNCTION("""COMPUTED_VALUE"""),0.407)</f>
        <v>0.407</v>
      </c>
      <c r="P138" s="17">
        <f>IFERROR(__xludf.DUMMYFUNCTION("""COMPUTED_VALUE"""),0.731)</f>
        <v>0.731</v>
      </c>
      <c r="Q138" s="34">
        <f>IFERROR(__xludf.DUMMYFUNCTION("""COMPUTED_VALUE"""),0.26)</f>
        <v>0.26</v>
      </c>
      <c r="R138" s="34">
        <f>IFERROR(__xludf.DUMMYFUNCTION("""COMPUTED_VALUE"""),0.36)</f>
        <v>0.36</v>
      </c>
      <c r="S138" s="34">
        <f>IFERROR(__xludf.DUMMYFUNCTION("""COMPUTED_VALUE"""),0.17)</f>
        <v>0.17</v>
      </c>
      <c r="T138" s="17" t="str">
        <f t="shared" si="1"/>
        <v>Alec Bohm</v>
      </c>
    </row>
    <row r="139">
      <c r="A139" s="17">
        <f>IFERROR(__xludf.DUMMYFUNCTION("""COMPUTED_VALUE"""),138.0)</f>
        <v>138</v>
      </c>
      <c r="B139" s="17" t="str">
        <f>IFERROR(__xludf.DUMMYFUNCTION("""COMPUTED_VALUE"""),"Nolan Arenado (ARI - 3B)")</f>
        <v>Nolan Arenado (ARI - 3B)</v>
      </c>
      <c r="C139" s="17">
        <f>IFERROR(__xludf.DUMMYFUNCTION("""COMPUTED_VALUE"""),439.0)</f>
        <v>439</v>
      </c>
      <c r="D139" s="17">
        <f>IFERROR(__xludf.DUMMYFUNCTION("""COMPUTED_VALUE"""),52.0)</f>
        <v>52</v>
      </c>
      <c r="E139" s="17">
        <f>IFERROR(__xludf.DUMMYFUNCTION("""COMPUTED_VALUE"""),14.0)</f>
        <v>14</v>
      </c>
      <c r="F139" s="17">
        <f>IFERROR(__xludf.DUMMYFUNCTION("""COMPUTED_VALUE"""),61.0)</f>
        <v>61</v>
      </c>
      <c r="G139" s="17">
        <f>IFERROR(__xludf.DUMMYFUNCTION("""COMPUTED_VALUE"""),2.0)</f>
        <v>2</v>
      </c>
      <c r="H139" s="17">
        <f>IFERROR(__xludf.DUMMYFUNCTION("""COMPUTED_VALUE"""),0.254)</f>
        <v>0.254</v>
      </c>
      <c r="I139" s="17">
        <f>IFERROR(__xludf.DUMMYFUNCTION("""COMPUTED_VALUE"""),0.313)</f>
        <v>0.313</v>
      </c>
      <c r="J139" s="17">
        <f>IFERROR(__xludf.DUMMYFUNCTION("""COMPUTED_VALUE"""),111.0)</f>
        <v>111</v>
      </c>
      <c r="K139" s="17">
        <f>IFERROR(__xludf.DUMMYFUNCTION("""COMPUTED_VALUE"""),21.0)</f>
        <v>21</v>
      </c>
      <c r="L139" s="17">
        <f>IFERROR(__xludf.DUMMYFUNCTION("""COMPUTED_VALUE"""),1.0)</f>
        <v>1</v>
      </c>
      <c r="M139" s="17">
        <f>IFERROR(__xludf.DUMMYFUNCTION("""COMPUTED_VALUE"""),34.0)</f>
        <v>34</v>
      </c>
      <c r="N139" s="17">
        <f>IFERROR(__xludf.DUMMYFUNCTION("""COMPUTED_VALUE"""),70.0)</f>
        <v>70</v>
      </c>
      <c r="O139" s="17">
        <f>IFERROR(__xludf.DUMMYFUNCTION("""COMPUTED_VALUE"""),0.401)</f>
        <v>0.401</v>
      </c>
      <c r="P139" s="17">
        <f>IFERROR(__xludf.DUMMYFUNCTION("""COMPUTED_VALUE"""),0.715)</f>
        <v>0.715</v>
      </c>
      <c r="Q139" s="34">
        <f>IFERROR(__xludf.DUMMYFUNCTION("""COMPUTED_VALUE"""),0.19)</f>
        <v>0.19</v>
      </c>
      <c r="R139" s="34">
        <f>IFERROR(__xludf.DUMMYFUNCTION("""COMPUTED_VALUE"""),0.22)</f>
        <v>0.22</v>
      </c>
      <c r="S139" s="34">
        <f>IFERROR(__xludf.DUMMYFUNCTION("""COMPUTED_VALUE"""),0.17)</f>
        <v>0.17</v>
      </c>
      <c r="T139" s="17" t="str">
        <f t="shared" si="1"/>
        <v>Nolan Arenado</v>
      </c>
    </row>
    <row r="140">
      <c r="A140" s="17">
        <f>IFERROR(__xludf.DUMMYFUNCTION("""COMPUTED_VALUE"""),139.0)</f>
        <v>139</v>
      </c>
      <c r="B140" s="17" t="str">
        <f>IFERROR(__xludf.DUMMYFUNCTION("""COMPUTED_VALUE"""),"Trent Grisham (NYY - CF)")</f>
        <v>Trent Grisham (NYY - CF)</v>
      </c>
      <c r="C140" s="17">
        <f>IFERROR(__xludf.DUMMYFUNCTION("""COMPUTED_VALUE"""),372.0)</f>
        <v>372</v>
      </c>
      <c r="D140" s="17">
        <f>IFERROR(__xludf.DUMMYFUNCTION("""COMPUTED_VALUE"""),61.0)</f>
        <v>61</v>
      </c>
      <c r="E140" s="17">
        <f>IFERROR(__xludf.DUMMYFUNCTION("""COMPUTED_VALUE"""),20.0)</f>
        <v>20</v>
      </c>
      <c r="F140" s="17">
        <f>IFERROR(__xludf.DUMMYFUNCTION("""COMPUTED_VALUE"""),54.0)</f>
        <v>54</v>
      </c>
      <c r="G140" s="17">
        <f>IFERROR(__xludf.DUMMYFUNCTION("""COMPUTED_VALUE"""),5.0)</f>
        <v>5</v>
      </c>
      <c r="H140" s="17">
        <f>IFERROR(__xludf.DUMMYFUNCTION("""COMPUTED_VALUE"""),0.22)</f>
        <v>0.22</v>
      </c>
      <c r="I140" s="17">
        <f>IFERROR(__xludf.DUMMYFUNCTION("""COMPUTED_VALUE"""),0.333)</f>
        <v>0.333</v>
      </c>
      <c r="J140" s="17">
        <f>IFERROR(__xludf.DUMMYFUNCTION("""COMPUTED_VALUE"""),82.0)</f>
        <v>82</v>
      </c>
      <c r="K140" s="17">
        <f>IFERROR(__xludf.DUMMYFUNCTION("""COMPUTED_VALUE"""),14.0)</f>
        <v>14</v>
      </c>
      <c r="L140" s="17">
        <f>IFERROR(__xludf.DUMMYFUNCTION("""COMPUTED_VALUE"""),1.0)</f>
        <v>1</v>
      </c>
      <c r="M140" s="17">
        <f>IFERROR(__xludf.DUMMYFUNCTION("""COMPUTED_VALUE"""),61.0)</f>
        <v>61</v>
      </c>
      <c r="N140" s="17">
        <f>IFERROR(__xludf.DUMMYFUNCTION("""COMPUTED_VALUE"""),106.0)</f>
        <v>106</v>
      </c>
      <c r="O140" s="17">
        <f>IFERROR(__xludf.DUMMYFUNCTION("""COMPUTED_VALUE"""),0.427)</f>
        <v>0.427</v>
      </c>
      <c r="P140" s="17">
        <f>IFERROR(__xludf.DUMMYFUNCTION("""COMPUTED_VALUE"""),0.76)</f>
        <v>0.76</v>
      </c>
      <c r="Q140" s="34">
        <f>IFERROR(__xludf.DUMMYFUNCTION("""COMPUTED_VALUE"""),0.26)</f>
        <v>0.26</v>
      </c>
      <c r="R140" s="34">
        <f>IFERROR(__xludf.DUMMYFUNCTION("""COMPUTED_VALUE"""),0.39)</f>
        <v>0.39</v>
      </c>
      <c r="S140" s="34">
        <f>IFERROR(__xludf.DUMMYFUNCTION("""COMPUTED_VALUE"""),0.14)</f>
        <v>0.14</v>
      </c>
      <c r="T140" s="17" t="str">
        <f t="shared" si="1"/>
        <v>Trent Grisham</v>
      </c>
    </row>
    <row r="141">
      <c r="A141" s="17">
        <f>IFERROR(__xludf.DUMMYFUNCTION("""COMPUTED_VALUE"""),140.0)</f>
        <v>140</v>
      </c>
      <c r="B141" s="17" t="str">
        <f>IFERROR(__xludf.DUMMYFUNCTION("""COMPUTED_VALUE"""),"Adley Rutschman (BAL - C)")</f>
        <v>Adley Rutschman (BAL - C)</v>
      </c>
      <c r="C141" s="17">
        <f>IFERROR(__xludf.DUMMYFUNCTION("""COMPUTED_VALUE"""),387.0)</f>
        <v>387</v>
      </c>
      <c r="D141" s="17">
        <f>IFERROR(__xludf.DUMMYFUNCTION("""COMPUTED_VALUE"""),54.0)</f>
        <v>54</v>
      </c>
      <c r="E141" s="17">
        <f>IFERROR(__xludf.DUMMYFUNCTION("""COMPUTED_VALUE"""),14.0)</f>
        <v>14</v>
      </c>
      <c r="F141" s="17">
        <f>IFERROR(__xludf.DUMMYFUNCTION("""COMPUTED_VALUE"""),54.0)</f>
        <v>54</v>
      </c>
      <c r="G141" s="17">
        <f>IFERROR(__xludf.DUMMYFUNCTION("""COMPUTED_VALUE"""),1.0)</f>
        <v>1</v>
      </c>
      <c r="H141" s="17">
        <f>IFERROR(__xludf.DUMMYFUNCTION("""COMPUTED_VALUE"""),0.258)</f>
        <v>0.258</v>
      </c>
      <c r="I141" s="17">
        <f>IFERROR(__xludf.DUMMYFUNCTION("""COMPUTED_VALUE"""),0.347)</f>
        <v>0.347</v>
      </c>
      <c r="J141" s="17">
        <f>IFERROR(__xludf.DUMMYFUNCTION("""COMPUTED_VALUE"""),100.0)</f>
        <v>100</v>
      </c>
      <c r="K141" s="17">
        <f>IFERROR(__xludf.DUMMYFUNCTION("""COMPUTED_VALUE"""),21.0)</f>
        <v>21</v>
      </c>
      <c r="L141" s="17">
        <f>IFERROR(__xludf.DUMMYFUNCTION("""COMPUTED_VALUE"""),1.0)</f>
        <v>1</v>
      </c>
      <c r="M141" s="17">
        <f>IFERROR(__xludf.DUMMYFUNCTION("""COMPUTED_VALUE"""),51.0)</f>
        <v>51</v>
      </c>
      <c r="N141" s="17">
        <f>IFERROR(__xludf.DUMMYFUNCTION("""COMPUTED_VALUE"""),69.0)</f>
        <v>69</v>
      </c>
      <c r="O141" s="17">
        <f>IFERROR(__xludf.DUMMYFUNCTION("""COMPUTED_VALUE"""),0.428)</f>
        <v>0.428</v>
      </c>
      <c r="P141" s="17">
        <f>IFERROR(__xludf.DUMMYFUNCTION("""COMPUTED_VALUE"""),0.775)</f>
        <v>0.775</v>
      </c>
      <c r="Q141" s="34">
        <f>IFERROR(__xludf.DUMMYFUNCTION("""COMPUTED_VALUE"""),0.77)</f>
        <v>0.77</v>
      </c>
      <c r="R141" s="34">
        <f>IFERROR(__xludf.DUMMYFUNCTION("""COMPUTED_VALUE"""),0.73)</f>
        <v>0.73</v>
      </c>
      <c r="S141" s="34">
        <f>IFERROR(__xludf.DUMMYFUNCTION("""COMPUTED_VALUE"""),0.82)</f>
        <v>0.82</v>
      </c>
      <c r="T141" s="17" t="str">
        <f t="shared" si="1"/>
        <v>Adley Rutschman</v>
      </c>
    </row>
    <row r="142">
      <c r="A142" s="17">
        <f>IFERROR(__xludf.DUMMYFUNCTION("""COMPUTED_VALUE"""),141.0)</f>
        <v>141</v>
      </c>
      <c r="B142" s="17" t="str">
        <f>IFERROR(__xludf.DUMMYFUNCTION("""COMPUTED_VALUE"""),"Caleb Durbin (BOS - 2B,3B)")</f>
        <v>Caleb Durbin (BOS - 2B,3B)</v>
      </c>
      <c r="C142" s="17">
        <f>IFERROR(__xludf.DUMMYFUNCTION("""COMPUTED_VALUE"""),384.0)</f>
        <v>384</v>
      </c>
      <c r="D142" s="17">
        <f>IFERROR(__xludf.DUMMYFUNCTION("""COMPUTED_VALUE"""),52.0)</f>
        <v>52</v>
      </c>
      <c r="E142" s="17">
        <f>IFERROR(__xludf.DUMMYFUNCTION("""COMPUTED_VALUE"""),8.0)</f>
        <v>8</v>
      </c>
      <c r="F142" s="17">
        <f>IFERROR(__xludf.DUMMYFUNCTION("""COMPUTED_VALUE"""),45.0)</f>
        <v>45</v>
      </c>
      <c r="G142" s="17">
        <f>IFERROR(__xludf.DUMMYFUNCTION("""COMPUTED_VALUE"""),17.0)</f>
        <v>17</v>
      </c>
      <c r="H142" s="17">
        <f>IFERROR(__xludf.DUMMYFUNCTION("""COMPUTED_VALUE"""),0.254)</f>
        <v>0.254</v>
      </c>
      <c r="I142" s="17">
        <f>IFERROR(__xludf.DUMMYFUNCTION("""COMPUTED_VALUE"""),0.326)</f>
        <v>0.326</v>
      </c>
      <c r="J142" s="17">
        <f>IFERROR(__xludf.DUMMYFUNCTION("""COMPUTED_VALUE"""),98.0)</f>
        <v>98</v>
      </c>
      <c r="K142" s="17">
        <f>IFERROR(__xludf.DUMMYFUNCTION("""COMPUTED_VALUE"""),22.0)</f>
        <v>22</v>
      </c>
      <c r="L142" s="17">
        <f>IFERROR(__xludf.DUMMYFUNCTION("""COMPUTED_VALUE"""),2.0)</f>
        <v>2</v>
      </c>
      <c r="M142" s="17">
        <f>IFERROR(__xludf.DUMMYFUNCTION("""COMPUTED_VALUE"""),32.0)</f>
        <v>32</v>
      </c>
      <c r="N142" s="17">
        <f>IFERROR(__xludf.DUMMYFUNCTION("""COMPUTED_VALUE"""),48.0)</f>
        <v>48</v>
      </c>
      <c r="O142" s="17">
        <f>IFERROR(__xludf.DUMMYFUNCTION("""COMPUTED_VALUE"""),0.382)</f>
        <v>0.382</v>
      </c>
      <c r="P142" s="17">
        <f>IFERROR(__xludf.DUMMYFUNCTION("""COMPUTED_VALUE"""),0.709)</f>
        <v>0.709</v>
      </c>
      <c r="Q142" s="34">
        <f>IFERROR(__xludf.DUMMYFUNCTION("""COMPUTED_VALUE"""),0.22)</f>
        <v>0.22</v>
      </c>
      <c r="R142" s="34">
        <f>IFERROR(__xludf.DUMMYFUNCTION("""COMPUTED_VALUE"""),0.12)</f>
        <v>0.12</v>
      </c>
      <c r="S142" s="34">
        <f>IFERROR(__xludf.DUMMYFUNCTION("""COMPUTED_VALUE"""),0.32)</f>
        <v>0.32</v>
      </c>
      <c r="T142" s="17" t="str">
        <f t="shared" si="1"/>
        <v>Caleb Durbin</v>
      </c>
    </row>
    <row r="143">
      <c r="A143" s="17">
        <f>IFERROR(__xludf.DUMMYFUNCTION("""COMPUTED_VALUE"""),142.0)</f>
        <v>142</v>
      </c>
      <c r="B143" s="17" t="str">
        <f>IFERROR(__xludf.DUMMYFUNCTION("""COMPUTED_VALUE"""),"Isaac Paredes (HOU - 3B)")</f>
        <v>Isaac Paredes (HOU - 3B)</v>
      </c>
      <c r="C143" s="17">
        <f>IFERROR(__xludf.DUMMYFUNCTION("""COMPUTED_VALUE"""),382.0)</f>
        <v>382</v>
      </c>
      <c r="D143" s="17">
        <f>IFERROR(__xludf.DUMMYFUNCTION("""COMPUTED_VALUE"""),55.0)</f>
        <v>55</v>
      </c>
      <c r="E143" s="17">
        <f>IFERROR(__xludf.DUMMYFUNCTION("""COMPUTED_VALUE"""),18.0)</f>
        <v>18</v>
      </c>
      <c r="F143" s="17">
        <f>IFERROR(__xludf.DUMMYFUNCTION("""COMPUTED_VALUE"""),58.0)</f>
        <v>58</v>
      </c>
      <c r="G143" s="17">
        <f>IFERROR(__xludf.DUMMYFUNCTION("""COMPUTED_VALUE"""),1.0)</f>
        <v>1</v>
      </c>
      <c r="H143" s="17">
        <f>IFERROR(__xludf.DUMMYFUNCTION("""COMPUTED_VALUE"""),0.239)</f>
        <v>0.239</v>
      </c>
      <c r="I143" s="17">
        <f>IFERROR(__xludf.DUMMYFUNCTION("""COMPUTED_VALUE"""),0.343)</f>
        <v>0.343</v>
      </c>
      <c r="J143" s="17">
        <f>IFERROR(__xludf.DUMMYFUNCTION("""COMPUTED_VALUE"""),91.0)</f>
        <v>91</v>
      </c>
      <c r="K143" s="17">
        <f>IFERROR(__xludf.DUMMYFUNCTION("""COMPUTED_VALUE"""),17.0)</f>
        <v>17</v>
      </c>
      <c r="L143" s="17">
        <f>IFERROR(__xludf.DUMMYFUNCTION("""COMPUTED_VALUE"""),1.0)</f>
        <v>1</v>
      </c>
      <c r="M143" s="17">
        <f>IFERROR(__xludf.DUMMYFUNCTION("""COMPUTED_VALUE"""),52.0)</f>
        <v>52</v>
      </c>
      <c r="N143" s="17">
        <f>IFERROR(__xludf.DUMMYFUNCTION("""COMPUTED_VALUE"""),76.0)</f>
        <v>76</v>
      </c>
      <c r="O143" s="17">
        <f>IFERROR(__xludf.DUMMYFUNCTION("""COMPUTED_VALUE"""),0.429)</f>
        <v>0.429</v>
      </c>
      <c r="P143" s="17">
        <f>IFERROR(__xludf.DUMMYFUNCTION("""COMPUTED_VALUE"""),0.772)</f>
        <v>0.772</v>
      </c>
      <c r="Q143" s="34">
        <f>IFERROR(__xludf.DUMMYFUNCTION("""COMPUTED_VALUE"""),0.41)</f>
        <v>0.41</v>
      </c>
      <c r="R143" s="34">
        <f>IFERROR(__xludf.DUMMYFUNCTION("""COMPUTED_VALUE"""),0.47)</f>
        <v>0.47</v>
      </c>
      <c r="S143" s="34">
        <f>IFERROR(__xludf.DUMMYFUNCTION("""COMPUTED_VALUE"""),0.34)</f>
        <v>0.34</v>
      </c>
      <c r="T143" s="17" t="str">
        <f t="shared" si="1"/>
        <v>Isaac Paredes</v>
      </c>
    </row>
    <row r="144">
      <c r="A144" s="17">
        <f>IFERROR(__xludf.DUMMYFUNCTION("""COMPUTED_VALUE"""),143.0)</f>
        <v>143</v>
      </c>
      <c r="B144" s="17" t="str">
        <f>IFERROR(__xludf.DUMMYFUNCTION("""COMPUTED_VALUE"""),"Christian Yelich (MIL - LF,DH) IL10")</f>
        <v>Christian Yelich (MIL - LF,DH) IL10</v>
      </c>
      <c r="C144" s="17">
        <f>IFERROR(__xludf.DUMMYFUNCTION("""COMPUTED_VALUE"""),330.0)</f>
        <v>330</v>
      </c>
      <c r="D144" s="17">
        <f>IFERROR(__xludf.DUMMYFUNCTION("""COMPUTED_VALUE"""),49.0)</f>
        <v>49</v>
      </c>
      <c r="E144" s="17">
        <f>IFERROR(__xludf.DUMMYFUNCTION("""COMPUTED_VALUE"""),12.0)</f>
        <v>12</v>
      </c>
      <c r="F144" s="17">
        <f>IFERROR(__xludf.DUMMYFUNCTION("""COMPUTED_VALUE"""),48.0)</f>
        <v>48</v>
      </c>
      <c r="G144" s="17">
        <f>IFERROR(__xludf.DUMMYFUNCTION("""COMPUTED_VALUE"""),11.0)</f>
        <v>11</v>
      </c>
      <c r="H144" s="17">
        <f>IFERROR(__xludf.DUMMYFUNCTION("""COMPUTED_VALUE"""),0.256)</f>
        <v>0.256</v>
      </c>
      <c r="I144" s="17">
        <f>IFERROR(__xludf.DUMMYFUNCTION("""COMPUTED_VALUE"""),0.352)</f>
        <v>0.352</v>
      </c>
      <c r="J144" s="17">
        <f>IFERROR(__xludf.DUMMYFUNCTION("""COMPUTED_VALUE"""),85.0)</f>
        <v>85</v>
      </c>
      <c r="K144" s="17">
        <f>IFERROR(__xludf.DUMMYFUNCTION("""COMPUTED_VALUE"""),14.0)</f>
        <v>14</v>
      </c>
      <c r="L144" s="17">
        <f>IFERROR(__xludf.DUMMYFUNCTION("""COMPUTED_VALUE"""),1.0)</f>
        <v>1</v>
      </c>
      <c r="M144" s="17">
        <f>IFERROR(__xludf.DUMMYFUNCTION("""COMPUTED_VALUE"""),44.0)</f>
        <v>44</v>
      </c>
      <c r="N144" s="17">
        <f>IFERROR(__xludf.DUMMYFUNCTION("""COMPUTED_VALUE"""),92.0)</f>
        <v>92</v>
      </c>
      <c r="O144" s="17">
        <f>IFERROR(__xludf.DUMMYFUNCTION("""COMPUTED_VALUE"""),0.415)</f>
        <v>0.415</v>
      </c>
      <c r="P144" s="17">
        <f>IFERROR(__xludf.DUMMYFUNCTION("""COMPUTED_VALUE"""),0.767)</f>
        <v>0.767</v>
      </c>
      <c r="Q144" s="34">
        <f>IFERROR(__xludf.DUMMYFUNCTION("""COMPUTED_VALUE"""),0.89)</f>
        <v>0.89</v>
      </c>
      <c r="R144" s="34">
        <f>IFERROR(__xludf.DUMMYFUNCTION("""COMPUTED_VALUE"""),0.94)</f>
        <v>0.94</v>
      </c>
      <c r="S144" s="34">
        <f>IFERROR(__xludf.DUMMYFUNCTION("""COMPUTED_VALUE"""),0.84)</f>
        <v>0.84</v>
      </c>
      <c r="T144" s="17" t="str">
        <f t="shared" si="1"/>
        <v>Christian Yelich</v>
      </c>
    </row>
    <row r="145">
      <c r="A145" s="17">
        <f>IFERROR(__xludf.DUMMYFUNCTION("""COMPUTED_VALUE"""),144.0)</f>
        <v>144</v>
      </c>
      <c r="B145" s="17" t="str">
        <f>IFERROR(__xludf.DUMMYFUNCTION("""COMPUTED_VALUE"""),"Jordan Walker (STL - LF,RF)")</f>
        <v>Jordan Walker (STL - LF,RF)</v>
      </c>
      <c r="C145" s="17">
        <f>IFERROR(__xludf.DUMMYFUNCTION("""COMPUTED_VALUE"""),419.0)</f>
        <v>419</v>
      </c>
      <c r="D145" s="17">
        <f>IFERROR(__xludf.DUMMYFUNCTION("""COMPUTED_VALUE"""),52.0)</f>
        <v>52</v>
      </c>
      <c r="E145" s="17">
        <f>IFERROR(__xludf.DUMMYFUNCTION("""COMPUTED_VALUE"""),15.0)</f>
        <v>15</v>
      </c>
      <c r="F145" s="17">
        <f>IFERROR(__xludf.DUMMYFUNCTION("""COMPUTED_VALUE"""),55.0)</f>
        <v>55</v>
      </c>
      <c r="G145" s="17">
        <f>IFERROR(__xludf.DUMMYFUNCTION("""COMPUTED_VALUE"""),9.0)</f>
        <v>9</v>
      </c>
      <c r="H145" s="17">
        <f>IFERROR(__xludf.DUMMYFUNCTION("""COMPUTED_VALUE"""),0.239)</f>
        <v>0.239</v>
      </c>
      <c r="I145" s="17">
        <f>IFERROR(__xludf.DUMMYFUNCTION("""COMPUTED_VALUE"""),0.306)</f>
        <v>0.306</v>
      </c>
      <c r="J145" s="17">
        <f>IFERROR(__xludf.DUMMYFUNCTION("""COMPUTED_VALUE"""),100.0)</f>
        <v>100</v>
      </c>
      <c r="K145" s="17">
        <f>IFERROR(__xludf.DUMMYFUNCTION("""COMPUTED_VALUE"""),20.0)</f>
        <v>20</v>
      </c>
      <c r="L145" s="17">
        <f>IFERROR(__xludf.DUMMYFUNCTION("""COMPUTED_VALUE"""),1.0)</f>
        <v>1</v>
      </c>
      <c r="M145" s="17">
        <f>IFERROR(__xludf.DUMMYFUNCTION("""COMPUTED_VALUE"""),37.0)</f>
        <v>37</v>
      </c>
      <c r="N145" s="17">
        <f>IFERROR(__xludf.DUMMYFUNCTION("""COMPUTED_VALUE"""),127.0)</f>
        <v>127</v>
      </c>
      <c r="O145" s="17">
        <f>IFERROR(__xludf.DUMMYFUNCTION("""COMPUTED_VALUE"""),0.402)</f>
        <v>0.402</v>
      </c>
      <c r="P145" s="17">
        <f>IFERROR(__xludf.DUMMYFUNCTION("""COMPUTED_VALUE"""),0.709)</f>
        <v>0.709</v>
      </c>
      <c r="Q145" s="34">
        <f>IFERROR(__xludf.DUMMYFUNCTION("""COMPUTED_VALUE"""),0.87)</f>
        <v>0.87</v>
      </c>
      <c r="R145" s="34">
        <f>IFERROR(__xludf.DUMMYFUNCTION("""COMPUTED_VALUE"""),0.9)</f>
        <v>0.9</v>
      </c>
      <c r="S145" s="34">
        <f>IFERROR(__xludf.DUMMYFUNCTION("""COMPUTED_VALUE"""),0.84)</f>
        <v>0.84</v>
      </c>
      <c r="T145" s="17" t="str">
        <f t="shared" si="1"/>
        <v>Jordan Walker</v>
      </c>
    </row>
    <row r="146">
      <c r="A146" s="17">
        <f>IFERROR(__xludf.DUMMYFUNCTION("""COMPUTED_VALUE"""),145.0)</f>
        <v>145</v>
      </c>
      <c r="B146" s="17" t="str">
        <f>IFERROR(__xludf.DUMMYFUNCTION("""COMPUTED_VALUE"""),"Sal Frelick (MIL - LF,CF,RF)")</f>
        <v>Sal Frelick (MIL - LF,CF,RF)</v>
      </c>
      <c r="C146" s="17">
        <f>IFERROR(__xludf.DUMMYFUNCTION("""COMPUTED_VALUE"""),402.0)</f>
        <v>402</v>
      </c>
      <c r="D146" s="17">
        <f>IFERROR(__xludf.DUMMYFUNCTION("""COMPUTED_VALUE"""),53.0)</f>
        <v>53</v>
      </c>
      <c r="E146" s="17">
        <f>IFERROR(__xludf.DUMMYFUNCTION("""COMPUTED_VALUE"""),7.0)</f>
        <v>7</v>
      </c>
      <c r="F146" s="17">
        <f>IFERROR(__xludf.DUMMYFUNCTION("""COMPUTED_VALUE"""),45.0)</f>
        <v>45</v>
      </c>
      <c r="G146" s="17">
        <f>IFERROR(__xludf.DUMMYFUNCTION("""COMPUTED_VALUE"""),13.0)</f>
        <v>13</v>
      </c>
      <c r="H146" s="17">
        <f>IFERROR(__xludf.DUMMYFUNCTION("""COMPUTED_VALUE"""),0.264)</f>
        <v>0.264</v>
      </c>
      <c r="I146" s="17">
        <f>IFERROR(__xludf.DUMMYFUNCTION("""COMPUTED_VALUE"""),0.333)</f>
        <v>0.333</v>
      </c>
      <c r="J146" s="17">
        <f>IFERROR(__xludf.DUMMYFUNCTION("""COMPUTED_VALUE"""),106.0)</f>
        <v>106</v>
      </c>
      <c r="K146" s="17">
        <f>IFERROR(__xludf.DUMMYFUNCTION("""COMPUTED_VALUE"""),18.0)</f>
        <v>18</v>
      </c>
      <c r="L146" s="17">
        <f>IFERROR(__xludf.DUMMYFUNCTION("""COMPUTED_VALUE"""),3.0)</f>
        <v>3</v>
      </c>
      <c r="M146" s="17">
        <f>IFERROR(__xludf.DUMMYFUNCTION("""COMPUTED_VALUE"""),39.0)</f>
        <v>39</v>
      </c>
      <c r="N146" s="17">
        <f>IFERROR(__xludf.DUMMYFUNCTION("""COMPUTED_VALUE"""),62.0)</f>
        <v>62</v>
      </c>
      <c r="O146" s="17">
        <f>IFERROR(__xludf.DUMMYFUNCTION("""COMPUTED_VALUE"""),0.376)</f>
        <v>0.376</v>
      </c>
      <c r="P146" s="17">
        <f>IFERROR(__xludf.DUMMYFUNCTION("""COMPUTED_VALUE"""),0.709)</f>
        <v>0.709</v>
      </c>
      <c r="Q146" s="34">
        <f>IFERROR(__xludf.DUMMYFUNCTION("""COMPUTED_VALUE"""),0.23)</f>
        <v>0.23</v>
      </c>
      <c r="R146" s="34">
        <f>IFERROR(__xludf.DUMMYFUNCTION("""COMPUTED_VALUE"""),0.12)</f>
        <v>0.12</v>
      </c>
      <c r="S146" s="34">
        <f>IFERROR(__xludf.DUMMYFUNCTION("""COMPUTED_VALUE"""),0.34)</f>
        <v>0.34</v>
      </c>
      <c r="T146" s="17" t="str">
        <f t="shared" si="1"/>
        <v>Sal Frelick</v>
      </c>
    </row>
    <row r="147">
      <c r="A147" s="17">
        <f>IFERROR(__xludf.DUMMYFUNCTION("""COMPUTED_VALUE"""),146.0)</f>
        <v>146</v>
      </c>
      <c r="B147" s="17" t="str">
        <f>IFERROR(__xludf.DUMMYFUNCTION("""COMPUTED_VALUE"""),"Joey Ortiz (MIL - SS)")</f>
        <v>Joey Ortiz (MIL - SS)</v>
      </c>
      <c r="C147" s="17">
        <f>IFERROR(__xludf.DUMMYFUNCTION("""COMPUTED_VALUE"""),436.0)</f>
        <v>436</v>
      </c>
      <c r="D147" s="17">
        <f>IFERROR(__xludf.DUMMYFUNCTION("""COMPUTED_VALUE"""),56.0)</f>
        <v>56</v>
      </c>
      <c r="E147" s="17">
        <f>IFERROR(__xludf.DUMMYFUNCTION("""COMPUTED_VALUE"""),9.0)</f>
        <v>9</v>
      </c>
      <c r="F147" s="17">
        <f>IFERROR(__xludf.DUMMYFUNCTION("""COMPUTED_VALUE"""),49.0)</f>
        <v>49</v>
      </c>
      <c r="G147" s="17">
        <f>IFERROR(__xludf.DUMMYFUNCTION("""COMPUTED_VALUE"""),13.0)</f>
        <v>13</v>
      </c>
      <c r="H147" s="17">
        <f>IFERROR(__xludf.DUMMYFUNCTION("""COMPUTED_VALUE"""),0.244)</f>
        <v>0.244</v>
      </c>
      <c r="I147" s="17">
        <f>IFERROR(__xludf.DUMMYFUNCTION("""COMPUTED_VALUE"""),0.304)</f>
        <v>0.304</v>
      </c>
      <c r="J147" s="17">
        <f>IFERROR(__xludf.DUMMYFUNCTION("""COMPUTED_VALUE"""),107.0)</f>
        <v>107</v>
      </c>
      <c r="K147" s="17">
        <f>IFERROR(__xludf.DUMMYFUNCTION("""COMPUTED_VALUE"""),21.0)</f>
        <v>21</v>
      </c>
      <c r="L147" s="17">
        <f>IFERROR(__xludf.DUMMYFUNCTION("""COMPUTED_VALUE"""),3.0)</f>
        <v>3</v>
      </c>
      <c r="M147" s="17">
        <f>IFERROR(__xludf.DUMMYFUNCTION("""COMPUTED_VALUE"""),37.0)</f>
        <v>37</v>
      </c>
      <c r="N147" s="17">
        <f>IFERROR(__xludf.DUMMYFUNCTION("""COMPUTED_VALUE"""),85.0)</f>
        <v>85</v>
      </c>
      <c r="O147" s="17">
        <f>IFERROR(__xludf.DUMMYFUNCTION("""COMPUTED_VALUE"""),0.367)</f>
        <v>0.367</v>
      </c>
      <c r="P147" s="17">
        <f>IFERROR(__xludf.DUMMYFUNCTION("""COMPUTED_VALUE"""),0.672)</f>
        <v>0.672</v>
      </c>
      <c r="Q147" s="34">
        <f>IFERROR(__xludf.DUMMYFUNCTION("""COMPUTED_VALUE"""),0.01)</f>
        <v>0.01</v>
      </c>
      <c r="R147" s="34">
        <f>IFERROR(__xludf.DUMMYFUNCTION("""COMPUTED_VALUE"""),0.01)</f>
        <v>0.01</v>
      </c>
      <c r="S147" s="34">
        <f>IFERROR(__xludf.DUMMYFUNCTION("""COMPUTED_VALUE"""),0.01)</f>
        <v>0.01</v>
      </c>
      <c r="T147" s="17" t="str">
        <f t="shared" si="1"/>
        <v>Joey Ortiz</v>
      </c>
    </row>
    <row r="148">
      <c r="A148" s="17">
        <f>IFERROR(__xludf.DUMMYFUNCTION("""COMPUTED_VALUE"""),147.0)</f>
        <v>147</v>
      </c>
      <c r="B148" s="17" t="str">
        <f>IFERROR(__xludf.DUMMYFUNCTION("""COMPUTED_VALUE"""),"Jac Caglianone (KC - 1B,RF)")</f>
        <v>Jac Caglianone (KC - 1B,RF)</v>
      </c>
      <c r="C148" s="17">
        <f>IFERROR(__xludf.DUMMYFUNCTION("""COMPUTED_VALUE"""),373.0)</f>
        <v>373</v>
      </c>
      <c r="D148" s="17">
        <f>IFERROR(__xludf.DUMMYFUNCTION("""COMPUTED_VALUE"""),51.0)</f>
        <v>51</v>
      </c>
      <c r="E148" s="17">
        <f>IFERROR(__xludf.DUMMYFUNCTION("""COMPUTED_VALUE"""),16.0)</f>
        <v>16</v>
      </c>
      <c r="F148" s="17">
        <f>IFERROR(__xludf.DUMMYFUNCTION("""COMPUTED_VALUE"""),54.0)</f>
        <v>54</v>
      </c>
      <c r="G148" s="17">
        <f>IFERROR(__xludf.DUMMYFUNCTION("""COMPUTED_VALUE"""),3.0)</f>
        <v>3</v>
      </c>
      <c r="H148" s="17">
        <f>IFERROR(__xludf.DUMMYFUNCTION("""COMPUTED_VALUE"""),0.248)</f>
        <v>0.248</v>
      </c>
      <c r="I148" s="17">
        <f>IFERROR(__xludf.DUMMYFUNCTION("""COMPUTED_VALUE"""),0.319)</f>
        <v>0.319</v>
      </c>
      <c r="J148" s="17">
        <f>IFERROR(__xludf.DUMMYFUNCTION("""COMPUTED_VALUE"""),92.0)</f>
        <v>92</v>
      </c>
      <c r="K148" s="17">
        <f>IFERROR(__xludf.DUMMYFUNCTION("""COMPUTED_VALUE"""),18.0)</f>
        <v>18</v>
      </c>
      <c r="L148" s="17">
        <f>IFERROR(__xludf.DUMMYFUNCTION("""COMPUTED_VALUE"""),2.0)</f>
        <v>2</v>
      </c>
      <c r="M148" s="17">
        <f>IFERROR(__xludf.DUMMYFUNCTION("""COMPUTED_VALUE"""),33.0)</f>
        <v>33</v>
      </c>
      <c r="N148" s="17">
        <f>IFERROR(__xludf.DUMMYFUNCTION("""COMPUTED_VALUE"""),96.0)</f>
        <v>96</v>
      </c>
      <c r="O148" s="17">
        <f>IFERROR(__xludf.DUMMYFUNCTION("""COMPUTED_VALUE"""),0.436)</f>
        <v>0.436</v>
      </c>
      <c r="P148" s="17">
        <f>IFERROR(__xludf.DUMMYFUNCTION("""COMPUTED_VALUE"""),0.755)</f>
        <v>0.755</v>
      </c>
      <c r="Q148" s="34">
        <f>IFERROR(__xludf.DUMMYFUNCTION("""COMPUTED_VALUE"""),0.39)</f>
        <v>0.39</v>
      </c>
      <c r="R148" s="34">
        <f>IFERROR(__xludf.DUMMYFUNCTION("""COMPUTED_VALUE"""),0.53)</f>
        <v>0.53</v>
      </c>
      <c r="S148" s="34">
        <f>IFERROR(__xludf.DUMMYFUNCTION("""COMPUTED_VALUE"""),0.26)</f>
        <v>0.26</v>
      </c>
      <c r="T148" s="17" t="str">
        <f t="shared" si="1"/>
        <v>Jac Caglianone</v>
      </c>
    </row>
    <row r="149">
      <c r="A149" s="17">
        <f>IFERROR(__xludf.DUMMYFUNCTION("""COMPUTED_VALUE"""),148.0)</f>
        <v>148</v>
      </c>
      <c r="B149" s="17" t="str">
        <f>IFERROR(__xludf.DUMMYFUNCTION("""COMPUTED_VALUE"""),"Nolan Schanuel (LAA - 1B)")</f>
        <v>Nolan Schanuel (LAA - 1B)</v>
      </c>
      <c r="C149" s="17">
        <f>IFERROR(__xludf.DUMMYFUNCTION("""COMPUTED_VALUE"""),399.0)</f>
        <v>399</v>
      </c>
      <c r="D149" s="17">
        <f>IFERROR(__xludf.DUMMYFUNCTION("""COMPUTED_VALUE"""),54.0)</f>
        <v>54</v>
      </c>
      <c r="E149" s="17">
        <f>IFERROR(__xludf.DUMMYFUNCTION("""COMPUTED_VALUE"""),10.0)</f>
        <v>10</v>
      </c>
      <c r="F149" s="17">
        <f>IFERROR(__xludf.DUMMYFUNCTION("""COMPUTED_VALUE"""),48.0)</f>
        <v>48</v>
      </c>
      <c r="G149" s="17">
        <f>IFERROR(__xludf.DUMMYFUNCTION("""COMPUTED_VALUE"""),5.0)</f>
        <v>5</v>
      </c>
      <c r="H149" s="17">
        <f>IFERROR(__xludf.DUMMYFUNCTION("""COMPUTED_VALUE"""),0.262)</f>
        <v>0.262</v>
      </c>
      <c r="I149" s="17">
        <f>IFERROR(__xludf.DUMMYFUNCTION("""COMPUTED_VALUE"""),0.355)</f>
        <v>0.355</v>
      </c>
      <c r="J149" s="17">
        <f>IFERROR(__xludf.DUMMYFUNCTION("""COMPUTED_VALUE"""),105.0)</f>
        <v>105</v>
      </c>
      <c r="K149" s="17">
        <f>IFERROR(__xludf.DUMMYFUNCTION("""COMPUTED_VALUE"""),18.0)</f>
        <v>18</v>
      </c>
      <c r="L149" s="17">
        <f>IFERROR(__xludf.DUMMYFUNCTION("""COMPUTED_VALUE"""),1.0)</f>
        <v>1</v>
      </c>
      <c r="M149" s="17">
        <f>IFERROR(__xludf.DUMMYFUNCTION("""COMPUTED_VALUE"""),52.0)</f>
        <v>52</v>
      </c>
      <c r="N149" s="17">
        <f>IFERROR(__xludf.DUMMYFUNCTION("""COMPUTED_VALUE"""),65.0)</f>
        <v>65</v>
      </c>
      <c r="O149" s="17">
        <f>IFERROR(__xludf.DUMMYFUNCTION("""COMPUTED_VALUE"""),0.39)</f>
        <v>0.39</v>
      </c>
      <c r="P149" s="17">
        <f>IFERROR(__xludf.DUMMYFUNCTION("""COMPUTED_VALUE"""),0.746)</f>
        <v>0.746</v>
      </c>
      <c r="Q149" s="34">
        <f>IFERROR(__xludf.DUMMYFUNCTION("""COMPUTED_VALUE"""),0.11)</f>
        <v>0.11</v>
      </c>
      <c r="R149" s="34">
        <f>IFERROR(__xludf.DUMMYFUNCTION("""COMPUTED_VALUE"""),0.15)</f>
        <v>0.15</v>
      </c>
      <c r="S149" s="34">
        <f>IFERROR(__xludf.DUMMYFUNCTION("""COMPUTED_VALUE"""),0.07)</f>
        <v>0.07</v>
      </c>
      <c r="T149" s="17" t="str">
        <f t="shared" si="1"/>
        <v>Nolan Schanuel</v>
      </c>
    </row>
    <row r="150">
      <c r="A150" s="17">
        <f>IFERROR(__xludf.DUMMYFUNCTION("""COMPUTED_VALUE"""),149.0)</f>
        <v>149</v>
      </c>
      <c r="B150" s="17" t="str">
        <f>IFERROR(__xludf.DUMMYFUNCTION("""COMPUTED_VALUE"""),"Jung Hoo Lee (SF - CF,RF)")</f>
        <v>Jung Hoo Lee (SF - CF,RF)</v>
      </c>
      <c r="C150" s="17">
        <f>IFERROR(__xludf.DUMMYFUNCTION("""COMPUTED_VALUE"""),420.0)</f>
        <v>420</v>
      </c>
      <c r="D150" s="17">
        <f>IFERROR(__xludf.DUMMYFUNCTION("""COMPUTED_VALUE"""),53.0)</f>
        <v>53</v>
      </c>
      <c r="E150" s="17">
        <f>IFERROR(__xludf.DUMMYFUNCTION("""COMPUTED_VALUE"""),7.0)</f>
        <v>7</v>
      </c>
      <c r="F150" s="17">
        <f>IFERROR(__xludf.DUMMYFUNCTION("""COMPUTED_VALUE"""),47.0)</f>
        <v>47</v>
      </c>
      <c r="G150" s="17">
        <f>IFERROR(__xludf.DUMMYFUNCTION("""COMPUTED_VALUE"""),6.0)</f>
        <v>6</v>
      </c>
      <c r="H150" s="17">
        <f>IFERROR(__xludf.DUMMYFUNCTION("""COMPUTED_VALUE"""),0.272)</f>
        <v>0.272</v>
      </c>
      <c r="I150" s="17">
        <f>IFERROR(__xludf.DUMMYFUNCTION("""COMPUTED_VALUE"""),0.334)</f>
        <v>0.334</v>
      </c>
      <c r="J150" s="17">
        <f>IFERROR(__xludf.DUMMYFUNCTION("""COMPUTED_VALUE"""),114.0)</f>
        <v>114</v>
      </c>
      <c r="K150" s="17">
        <f>IFERROR(__xludf.DUMMYFUNCTION("""COMPUTED_VALUE"""),24.0)</f>
        <v>24</v>
      </c>
      <c r="L150" s="17">
        <f>IFERROR(__xludf.DUMMYFUNCTION("""COMPUTED_VALUE"""),5.0)</f>
        <v>5</v>
      </c>
      <c r="M150" s="17">
        <f>IFERROR(__xludf.DUMMYFUNCTION("""COMPUTED_VALUE"""),36.0)</f>
        <v>36</v>
      </c>
      <c r="N150" s="17">
        <f>IFERROR(__xludf.DUMMYFUNCTION("""COMPUTED_VALUE"""),52.0)</f>
        <v>52</v>
      </c>
      <c r="O150" s="17">
        <f>IFERROR(__xludf.DUMMYFUNCTION("""COMPUTED_VALUE"""),0.405)</f>
        <v>0.405</v>
      </c>
      <c r="P150" s="17">
        <f>IFERROR(__xludf.DUMMYFUNCTION("""COMPUTED_VALUE"""),0.739)</f>
        <v>0.739</v>
      </c>
      <c r="Q150" s="34">
        <f>IFERROR(__xludf.DUMMYFUNCTION("""COMPUTED_VALUE"""),0.31)</f>
        <v>0.31</v>
      </c>
      <c r="R150" s="34">
        <f>IFERROR(__xludf.DUMMYFUNCTION("""COMPUTED_VALUE"""),0.2)</f>
        <v>0.2</v>
      </c>
      <c r="S150" s="34">
        <f>IFERROR(__xludf.DUMMYFUNCTION("""COMPUTED_VALUE"""),0.41)</f>
        <v>0.41</v>
      </c>
      <c r="T150" s="17" t="str">
        <f t="shared" si="1"/>
        <v>Jung Hoo Lee</v>
      </c>
    </row>
    <row r="151">
      <c r="A151" s="17">
        <f>IFERROR(__xludf.DUMMYFUNCTION("""COMPUTED_VALUE"""),150.0)</f>
        <v>150</v>
      </c>
      <c r="B151" s="17" t="str">
        <f>IFERROR(__xludf.DUMMYFUNCTION("""COMPUTED_VALUE"""),"Colt Keith (DET - 1B,2B,3B,DH)")</f>
        <v>Colt Keith (DET - 1B,2B,3B,DH)</v>
      </c>
      <c r="C151" s="17">
        <f>IFERROR(__xludf.DUMMYFUNCTION("""COMPUTED_VALUE"""),377.0)</f>
        <v>377</v>
      </c>
      <c r="D151" s="17">
        <f>IFERROR(__xludf.DUMMYFUNCTION("""COMPUTED_VALUE"""),53.0)</f>
        <v>53</v>
      </c>
      <c r="E151" s="17">
        <f>IFERROR(__xludf.DUMMYFUNCTION("""COMPUTED_VALUE"""),12.0)</f>
        <v>12</v>
      </c>
      <c r="F151" s="17">
        <f>IFERROR(__xludf.DUMMYFUNCTION("""COMPUTED_VALUE"""),50.0)</f>
        <v>50</v>
      </c>
      <c r="G151" s="17">
        <f>IFERROR(__xludf.DUMMYFUNCTION("""COMPUTED_VALUE"""),2.0)</f>
        <v>2</v>
      </c>
      <c r="H151" s="17">
        <f>IFERROR(__xludf.DUMMYFUNCTION("""COMPUTED_VALUE"""),0.261)</f>
        <v>0.261</v>
      </c>
      <c r="I151" s="17">
        <f>IFERROR(__xludf.DUMMYFUNCTION("""COMPUTED_VALUE"""),0.332)</f>
        <v>0.332</v>
      </c>
      <c r="J151" s="17">
        <f>IFERROR(__xludf.DUMMYFUNCTION("""COMPUTED_VALUE"""),99.0)</f>
        <v>99</v>
      </c>
      <c r="K151" s="17">
        <f>IFERROR(__xludf.DUMMYFUNCTION("""COMPUTED_VALUE"""),20.0)</f>
        <v>20</v>
      </c>
      <c r="L151" s="17">
        <f>IFERROR(__xludf.DUMMYFUNCTION("""COMPUTED_VALUE"""),2.0)</f>
        <v>2</v>
      </c>
      <c r="M151" s="17">
        <f>IFERROR(__xludf.DUMMYFUNCTION("""COMPUTED_VALUE"""),38.0)</f>
        <v>38</v>
      </c>
      <c r="N151" s="17">
        <f>IFERROR(__xludf.DUMMYFUNCTION("""COMPUTED_VALUE"""),88.0)</f>
        <v>88</v>
      </c>
      <c r="O151" s="17">
        <f>IFERROR(__xludf.DUMMYFUNCTION("""COMPUTED_VALUE"""),0.417)</f>
        <v>0.417</v>
      </c>
      <c r="P151" s="17">
        <f>IFERROR(__xludf.DUMMYFUNCTION("""COMPUTED_VALUE"""),0.749)</f>
        <v>0.749</v>
      </c>
      <c r="Q151" s="34">
        <f>IFERROR(__xludf.DUMMYFUNCTION("""COMPUTED_VALUE"""),0.14)</f>
        <v>0.14</v>
      </c>
      <c r="R151" s="34">
        <f>IFERROR(__xludf.DUMMYFUNCTION("""COMPUTED_VALUE"""),0.18)</f>
        <v>0.18</v>
      </c>
      <c r="S151" s="34">
        <f>IFERROR(__xludf.DUMMYFUNCTION("""COMPUTED_VALUE"""),0.1)</f>
        <v>0.1</v>
      </c>
      <c r="T151" s="17" t="str">
        <f t="shared" si="1"/>
        <v>Colt Keith</v>
      </c>
    </row>
    <row r="152">
      <c r="A152" s="17">
        <f>IFERROR(__xludf.DUMMYFUNCTION("""COMPUTED_VALUE"""),151.0)</f>
        <v>151</v>
      </c>
      <c r="B152" s="17" t="str">
        <f>IFERROR(__xludf.DUMMYFUNCTION("""COMPUTED_VALUE"""),"Willi Castro (COL - 2B,3B,LF,RF)")</f>
        <v>Willi Castro (COL - 2B,3B,LF,RF)</v>
      </c>
      <c r="C152" s="17">
        <f>IFERROR(__xludf.DUMMYFUNCTION("""COMPUTED_VALUE"""),388.0)</f>
        <v>388</v>
      </c>
      <c r="D152" s="17">
        <f>IFERROR(__xludf.DUMMYFUNCTION("""COMPUTED_VALUE"""),54.0)</f>
        <v>54</v>
      </c>
      <c r="E152" s="17">
        <f>IFERROR(__xludf.DUMMYFUNCTION("""COMPUTED_VALUE"""),10.0)</f>
        <v>10</v>
      </c>
      <c r="F152" s="17">
        <f>IFERROR(__xludf.DUMMYFUNCTION("""COMPUTED_VALUE"""),45.0)</f>
        <v>45</v>
      </c>
      <c r="G152" s="17">
        <f>IFERROR(__xludf.DUMMYFUNCTION("""COMPUTED_VALUE"""),12.0)</f>
        <v>12</v>
      </c>
      <c r="H152" s="17">
        <f>IFERROR(__xludf.DUMMYFUNCTION("""COMPUTED_VALUE"""),0.251)</f>
        <v>0.251</v>
      </c>
      <c r="I152" s="17">
        <f>IFERROR(__xludf.DUMMYFUNCTION("""COMPUTED_VALUE"""),0.329)</f>
        <v>0.329</v>
      </c>
      <c r="J152" s="17">
        <f>IFERROR(__xludf.DUMMYFUNCTION("""COMPUTED_VALUE"""),97.0)</f>
        <v>97</v>
      </c>
      <c r="K152" s="17">
        <f>IFERROR(__xludf.DUMMYFUNCTION("""COMPUTED_VALUE"""),19.0)</f>
        <v>19</v>
      </c>
      <c r="L152" s="17">
        <f>IFERROR(__xludf.DUMMYFUNCTION("""COMPUTED_VALUE"""),3.0)</f>
        <v>3</v>
      </c>
      <c r="M152" s="17">
        <f>IFERROR(__xludf.DUMMYFUNCTION("""COMPUTED_VALUE"""),36.0)</f>
        <v>36</v>
      </c>
      <c r="N152" s="17">
        <f>IFERROR(__xludf.DUMMYFUNCTION("""COMPUTED_VALUE"""),103.0)</f>
        <v>103</v>
      </c>
      <c r="O152" s="17">
        <f>IFERROR(__xludf.DUMMYFUNCTION("""COMPUTED_VALUE"""),0.397)</f>
        <v>0.397</v>
      </c>
      <c r="P152" s="17">
        <f>IFERROR(__xludf.DUMMYFUNCTION("""COMPUTED_VALUE"""),0.726)</f>
        <v>0.726</v>
      </c>
      <c r="Q152" s="34">
        <f>IFERROR(__xludf.DUMMYFUNCTION("""COMPUTED_VALUE"""),0.09)</f>
        <v>0.09</v>
      </c>
      <c r="R152" s="34">
        <f>IFERROR(__xludf.DUMMYFUNCTION("""COMPUTED_VALUE"""),0.11)</f>
        <v>0.11</v>
      </c>
      <c r="S152" s="34">
        <f>IFERROR(__xludf.DUMMYFUNCTION("""COMPUTED_VALUE"""),0.06)</f>
        <v>0.06</v>
      </c>
      <c r="T152" s="17" t="str">
        <f t="shared" si="1"/>
        <v>Willi Castro</v>
      </c>
    </row>
    <row r="153">
      <c r="A153" s="17">
        <f>IFERROR(__xludf.DUMMYFUNCTION("""COMPUTED_VALUE"""),152.0)</f>
        <v>152</v>
      </c>
      <c r="B153" s="17" t="str">
        <f>IFERROR(__xludf.DUMMYFUNCTION("""COMPUTED_VALUE"""),"Chase DeLauter (CLE - CF,RF,DH)")</f>
        <v>Chase DeLauter (CLE - CF,RF,DH)</v>
      </c>
      <c r="C153" s="17">
        <f>IFERROR(__xludf.DUMMYFUNCTION("""COMPUTED_VALUE"""),385.0)</f>
        <v>385</v>
      </c>
      <c r="D153" s="17">
        <f>IFERROR(__xludf.DUMMYFUNCTION("""COMPUTED_VALUE"""),53.0)</f>
        <v>53</v>
      </c>
      <c r="E153" s="17">
        <f>IFERROR(__xludf.DUMMYFUNCTION("""COMPUTED_VALUE"""),14.0)</f>
        <v>14</v>
      </c>
      <c r="F153" s="17">
        <f>IFERROR(__xludf.DUMMYFUNCTION("""COMPUTED_VALUE"""),52.0)</f>
        <v>52</v>
      </c>
      <c r="G153" s="17">
        <f>IFERROR(__xludf.DUMMYFUNCTION("""COMPUTED_VALUE"""),2.0)</f>
        <v>2</v>
      </c>
      <c r="H153" s="17">
        <f>IFERROR(__xludf.DUMMYFUNCTION("""COMPUTED_VALUE"""),0.253)</f>
        <v>0.253</v>
      </c>
      <c r="I153" s="17">
        <f>IFERROR(__xludf.DUMMYFUNCTION("""COMPUTED_VALUE"""),0.327)</f>
        <v>0.327</v>
      </c>
      <c r="J153" s="17">
        <f>IFERROR(__xludf.DUMMYFUNCTION("""COMPUTED_VALUE"""),97.0)</f>
        <v>97</v>
      </c>
      <c r="K153" s="17">
        <f>IFERROR(__xludf.DUMMYFUNCTION("""COMPUTED_VALUE"""),21.0)</f>
        <v>21</v>
      </c>
      <c r="L153" s="17">
        <f>IFERROR(__xludf.DUMMYFUNCTION("""COMPUTED_VALUE"""),2.0)</f>
        <v>2</v>
      </c>
      <c r="M153" s="17">
        <f>IFERROR(__xludf.DUMMYFUNCTION("""COMPUTED_VALUE"""),42.0)</f>
        <v>42</v>
      </c>
      <c r="N153" s="17">
        <f>IFERROR(__xludf.DUMMYFUNCTION("""COMPUTED_VALUE"""),72.0)</f>
        <v>72</v>
      </c>
      <c r="O153" s="17">
        <f>IFERROR(__xludf.DUMMYFUNCTION("""COMPUTED_VALUE"""),0.422)</f>
        <v>0.422</v>
      </c>
      <c r="P153" s="17">
        <f>IFERROR(__xludf.DUMMYFUNCTION("""COMPUTED_VALUE"""),0.749)</f>
        <v>0.749</v>
      </c>
      <c r="Q153" s="34">
        <f>IFERROR(__xludf.DUMMYFUNCTION("""COMPUTED_VALUE"""),0.66)</f>
        <v>0.66</v>
      </c>
      <c r="R153" s="34">
        <f>IFERROR(__xludf.DUMMYFUNCTION("""COMPUTED_VALUE"""),0.61)</f>
        <v>0.61</v>
      </c>
      <c r="S153" s="34">
        <f>IFERROR(__xludf.DUMMYFUNCTION("""COMPUTED_VALUE"""),0.7)</f>
        <v>0.7</v>
      </c>
      <c r="T153" s="17" t="str">
        <f t="shared" si="1"/>
        <v>Chase DeLauter</v>
      </c>
    </row>
    <row r="154">
      <c r="A154" s="17">
        <f>IFERROR(__xludf.DUMMYFUNCTION("""COMPUTED_VALUE"""),153.0)</f>
        <v>153</v>
      </c>
      <c r="B154" s="17" t="str">
        <f>IFERROR(__xludf.DUMMYFUNCTION("""COMPUTED_VALUE"""),"Will Smith (LAD - C)")</f>
        <v>Will Smith (LAD - C)</v>
      </c>
      <c r="C154" s="17">
        <f>IFERROR(__xludf.DUMMYFUNCTION("""COMPUTED_VALUE"""),319.0)</f>
        <v>319</v>
      </c>
      <c r="D154" s="17">
        <f>IFERROR(__xludf.DUMMYFUNCTION("""COMPUTED_VALUE"""),50.0)</f>
        <v>50</v>
      </c>
      <c r="E154" s="17">
        <f>IFERROR(__xludf.DUMMYFUNCTION("""COMPUTED_VALUE"""),14.0)</f>
        <v>14</v>
      </c>
      <c r="F154" s="17">
        <f>IFERROR(__xludf.DUMMYFUNCTION("""COMPUTED_VALUE"""),50.0)</f>
        <v>50</v>
      </c>
      <c r="G154" s="17">
        <f>IFERROR(__xludf.DUMMYFUNCTION("""COMPUTED_VALUE"""),2.0)</f>
        <v>2</v>
      </c>
      <c r="H154" s="17">
        <f>IFERROR(__xludf.DUMMYFUNCTION("""COMPUTED_VALUE"""),0.258)</f>
        <v>0.258</v>
      </c>
      <c r="I154" s="17">
        <f>IFERROR(__xludf.DUMMYFUNCTION("""COMPUTED_VALUE"""),0.359)</f>
        <v>0.359</v>
      </c>
      <c r="J154" s="17">
        <f>IFERROR(__xludf.DUMMYFUNCTION("""COMPUTED_VALUE"""),82.0)</f>
        <v>82</v>
      </c>
      <c r="K154" s="17">
        <f>IFERROR(__xludf.DUMMYFUNCTION("""COMPUTED_VALUE"""),15.0)</f>
        <v>15</v>
      </c>
      <c r="L154" s="17">
        <f>IFERROR(__xludf.DUMMYFUNCTION("""COMPUTED_VALUE"""),1.0)</f>
        <v>1</v>
      </c>
      <c r="M154" s="17">
        <f>IFERROR(__xludf.DUMMYFUNCTION("""COMPUTED_VALUE"""),44.0)</f>
        <v>44</v>
      </c>
      <c r="N154" s="17">
        <f>IFERROR(__xludf.DUMMYFUNCTION("""COMPUTED_VALUE"""),71.0)</f>
        <v>71</v>
      </c>
      <c r="O154" s="17">
        <f>IFERROR(__xludf.DUMMYFUNCTION("""COMPUTED_VALUE"""),0.447)</f>
        <v>0.447</v>
      </c>
      <c r="P154" s="17">
        <f>IFERROR(__xludf.DUMMYFUNCTION("""COMPUTED_VALUE"""),0.806)</f>
        <v>0.806</v>
      </c>
      <c r="Q154" s="34">
        <f>IFERROR(__xludf.DUMMYFUNCTION("""COMPUTED_VALUE"""),0.93)</f>
        <v>0.93</v>
      </c>
      <c r="R154" s="34">
        <f>IFERROR(__xludf.DUMMYFUNCTION("""COMPUTED_VALUE"""),0.93)</f>
        <v>0.93</v>
      </c>
      <c r="S154" s="34">
        <f>IFERROR(__xludf.DUMMYFUNCTION("""COMPUTED_VALUE"""),0.93)</f>
        <v>0.93</v>
      </c>
      <c r="T154" s="17" t="str">
        <f t="shared" si="1"/>
        <v>Will Smith</v>
      </c>
    </row>
    <row r="155">
      <c r="A155" s="17">
        <f>IFERROR(__xludf.DUMMYFUNCTION("""COMPUTED_VALUE"""),154.0)</f>
        <v>154</v>
      </c>
      <c r="B155" s="17" t="str">
        <f>IFERROR(__xludf.DUMMYFUNCTION("""COMPUTED_VALUE"""),"Brandon Marsh (PHI - LF,CF)")</f>
        <v>Brandon Marsh (PHI - LF,CF)</v>
      </c>
      <c r="C155" s="17">
        <f>IFERROR(__xludf.DUMMYFUNCTION("""COMPUTED_VALUE"""),350.0)</f>
        <v>350</v>
      </c>
      <c r="D155" s="17">
        <f>IFERROR(__xludf.DUMMYFUNCTION("""COMPUTED_VALUE"""),48.0)</f>
        <v>48</v>
      </c>
      <c r="E155" s="17">
        <f>IFERROR(__xludf.DUMMYFUNCTION("""COMPUTED_VALUE"""),11.0)</f>
        <v>11</v>
      </c>
      <c r="F155" s="17">
        <f>IFERROR(__xludf.DUMMYFUNCTION("""COMPUTED_VALUE"""),46.0)</f>
        <v>46</v>
      </c>
      <c r="G155" s="17">
        <f>IFERROR(__xludf.DUMMYFUNCTION("""COMPUTED_VALUE"""),9.0)</f>
        <v>9</v>
      </c>
      <c r="H155" s="17">
        <f>IFERROR(__xludf.DUMMYFUNCTION("""COMPUTED_VALUE"""),0.257)</f>
        <v>0.257</v>
      </c>
      <c r="I155" s="17">
        <f>IFERROR(__xludf.DUMMYFUNCTION("""COMPUTED_VALUE"""),0.332)</f>
        <v>0.332</v>
      </c>
      <c r="J155" s="17">
        <f>IFERROR(__xludf.DUMMYFUNCTION("""COMPUTED_VALUE"""),90.0)</f>
        <v>90</v>
      </c>
      <c r="K155" s="17">
        <f>IFERROR(__xludf.DUMMYFUNCTION("""COMPUTED_VALUE"""),18.0)</f>
        <v>18</v>
      </c>
      <c r="L155" s="17">
        <f>IFERROR(__xludf.DUMMYFUNCTION("""COMPUTED_VALUE"""),2.0)</f>
        <v>2</v>
      </c>
      <c r="M155" s="17">
        <f>IFERROR(__xludf.DUMMYFUNCTION("""COMPUTED_VALUE"""),38.0)</f>
        <v>38</v>
      </c>
      <c r="N155" s="17">
        <f>IFERROR(__xludf.DUMMYFUNCTION("""COMPUTED_VALUE"""),107.0)</f>
        <v>107</v>
      </c>
      <c r="O155" s="17">
        <f>IFERROR(__xludf.DUMMYFUNCTION("""COMPUTED_VALUE"""),0.413)</f>
        <v>0.413</v>
      </c>
      <c r="P155" s="17">
        <f>IFERROR(__xludf.DUMMYFUNCTION("""COMPUTED_VALUE"""),0.745)</f>
        <v>0.745</v>
      </c>
      <c r="Q155" s="34">
        <f>IFERROR(__xludf.DUMMYFUNCTION("""COMPUTED_VALUE"""),0.14)</f>
        <v>0.14</v>
      </c>
      <c r="R155" s="34">
        <f>IFERROR(__xludf.DUMMYFUNCTION("""COMPUTED_VALUE"""),0.17)</f>
        <v>0.17</v>
      </c>
      <c r="S155" s="34">
        <f>IFERROR(__xludf.DUMMYFUNCTION("""COMPUTED_VALUE"""),0.11)</f>
        <v>0.11</v>
      </c>
      <c r="T155" s="17" t="str">
        <f t="shared" si="1"/>
        <v>Brandon Marsh</v>
      </c>
    </row>
    <row r="156">
      <c r="A156" s="17">
        <f>IFERROR(__xludf.DUMMYFUNCTION("""COMPUTED_VALUE"""),155.0)</f>
        <v>155</v>
      </c>
      <c r="B156" s="17" t="str">
        <f>IFERROR(__xludf.DUMMYFUNCTION("""COMPUTED_VALUE"""),"Josh Lowe (LAA - LF,CF,RF)")</f>
        <v>Josh Lowe (LAA - LF,CF,RF)</v>
      </c>
      <c r="C156" s="17">
        <f>IFERROR(__xludf.DUMMYFUNCTION("""COMPUTED_VALUE"""),363.0)</f>
        <v>363</v>
      </c>
      <c r="D156" s="17">
        <f>IFERROR(__xludf.DUMMYFUNCTION("""COMPUTED_VALUE"""),47.0)</f>
        <v>47</v>
      </c>
      <c r="E156" s="17">
        <f>IFERROR(__xludf.DUMMYFUNCTION("""COMPUTED_VALUE"""),12.0)</f>
        <v>12</v>
      </c>
      <c r="F156" s="17">
        <f>IFERROR(__xludf.DUMMYFUNCTION("""COMPUTED_VALUE"""),45.0)</f>
        <v>45</v>
      </c>
      <c r="G156" s="17">
        <f>IFERROR(__xludf.DUMMYFUNCTION("""COMPUTED_VALUE"""),16.0)</f>
        <v>16</v>
      </c>
      <c r="H156" s="17">
        <f>IFERROR(__xludf.DUMMYFUNCTION("""COMPUTED_VALUE"""),0.239)</f>
        <v>0.239</v>
      </c>
      <c r="I156" s="17">
        <f>IFERROR(__xludf.DUMMYFUNCTION("""COMPUTED_VALUE"""),0.305)</f>
        <v>0.305</v>
      </c>
      <c r="J156" s="17">
        <f>IFERROR(__xludf.DUMMYFUNCTION("""COMPUTED_VALUE"""),87.0)</f>
        <v>87</v>
      </c>
      <c r="K156" s="17">
        <f>IFERROR(__xludf.DUMMYFUNCTION("""COMPUTED_VALUE"""),18.0)</f>
        <v>18</v>
      </c>
      <c r="L156" s="17">
        <f>IFERROR(__xludf.DUMMYFUNCTION("""COMPUTED_VALUE"""),2.0)</f>
        <v>2</v>
      </c>
      <c r="M156" s="17">
        <f>IFERROR(__xludf.DUMMYFUNCTION("""COMPUTED_VALUE"""),32.0)</f>
        <v>32</v>
      </c>
      <c r="N156" s="17">
        <f>IFERROR(__xludf.DUMMYFUNCTION("""COMPUTED_VALUE"""),109.0)</f>
        <v>109</v>
      </c>
      <c r="O156" s="17">
        <f>IFERROR(__xludf.DUMMYFUNCTION("""COMPUTED_VALUE"""),0.401)</f>
        <v>0.401</v>
      </c>
      <c r="P156" s="17">
        <f>IFERROR(__xludf.DUMMYFUNCTION("""COMPUTED_VALUE"""),0.706)</f>
        <v>0.706</v>
      </c>
      <c r="Q156" s="34">
        <f>IFERROR(__xludf.DUMMYFUNCTION("""COMPUTED_VALUE"""),0.02)</f>
        <v>0.02</v>
      </c>
      <c r="R156" s="34">
        <f>IFERROR(__xludf.DUMMYFUNCTION("""COMPUTED_VALUE"""),0.03)</f>
        <v>0.03</v>
      </c>
      <c r="S156" s="34">
        <f>IFERROR(__xludf.DUMMYFUNCTION("""COMPUTED_VALUE"""),0.01)</f>
        <v>0.01</v>
      </c>
      <c r="T156" s="17" t="str">
        <f t="shared" si="1"/>
        <v>Josh Lowe</v>
      </c>
    </row>
    <row r="157">
      <c r="A157" s="17">
        <f>IFERROR(__xludf.DUMMYFUNCTION("""COMPUTED_VALUE"""),156.0)</f>
        <v>156</v>
      </c>
      <c r="B157" s="17" t="str">
        <f>IFERROR(__xludf.DUMMYFUNCTION("""COMPUTED_VALUE"""),"Tyler O'Neill (BAL - LF,RF)")</f>
        <v>Tyler O'Neill (BAL - LF,RF)</v>
      </c>
      <c r="C157" s="17">
        <f>IFERROR(__xludf.DUMMYFUNCTION("""COMPUTED_VALUE"""),339.0)</f>
        <v>339</v>
      </c>
      <c r="D157" s="17">
        <f>IFERROR(__xludf.DUMMYFUNCTION("""COMPUTED_VALUE"""),50.0)</f>
        <v>50</v>
      </c>
      <c r="E157" s="17">
        <f>IFERROR(__xludf.DUMMYFUNCTION("""COMPUTED_VALUE"""),18.0)</f>
        <v>18</v>
      </c>
      <c r="F157" s="17">
        <f>IFERROR(__xludf.DUMMYFUNCTION("""COMPUTED_VALUE"""),51.0)</f>
        <v>51</v>
      </c>
      <c r="G157" s="17">
        <f>IFERROR(__xludf.DUMMYFUNCTION("""COMPUTED_VALUE"""),4.0)</f>
        <v>4</v>
      </c>
      <c r="H157" s="17">
        <f>IFERROR(__xludf.DUMMYFUNCTION("""COMPUTED_VALUE"""),0.234)</f>
        <v>0.234</v>
      </c>
      <c r="I157" s="17">
        <f>IFERROR(__xludf.DUMMYFUNCTION("""COMPUTED_VALUE"""),0.325)</f>
        <v>0.325</v>
      </c>
      <c r="J157" s="17">
        <f>IFERROR(__xludf.DUMMYFUNCTION("""COMPUTED_VALUE"""),79.0)</f>
        <v>79</v>
      </c>
      <c r="K157" s="17">
        <f>IFERROR(__xludf.DUMMYFUNCTION("""COMPUTED_VALUE"""),13.0)</f>
        <v>13</v>
      </c>
      <c r="L157" s="17">
        <f>IFERROR(__xludf.DUMMYFUNCTION("""COMPUTED_VALUE"""),1.0)</f>
        <v>1</v>
      </c>
      <c r="M157" s="17">
        <f>IFERROR(__xludf.DUMMYFUNCTION("""COMPUTED_VALUE"""),41.0)</f>
        <v>41</v>
      </c>
      <c r="N157" s="17">
        <f>IFERROR(__xludf.DUMMYFUNCTION("""COMPUTED_VALUE"""),107.0)</f>
        <v>107</v>
      </c>
      <c r="O157" s="17">
        <f>IFERROR(__xludf.DUMMYFUNCTION("""COMPUTED_VALUE"""),0.438)</f>
        <v>0.438</v>
      </c>
      <c r="P157" s="17">
        <f>IFERROR(__xludf.DUMMYFUNCTION("""COMPUTED_VALUE"""),0.764)</f>
        <v>0.764</v>
      </c>
      <c r="Q157" s="34">
        <f>IFERROR(__xludf.DUMMYFUNCTION("""COMPUTED_VALUE"""),0.01)</f>
        <v>0.01</v>
      </c>
      <c r="R157" s="34">
        <f>IFERROR(__xludf.DUMMYFUNCTION("""COMPUTED_VALUE"""),0.01)</f>
        <v>0.01</v>
      </c>
      <c r="S157" s="34">
        <f>IFERROR(__xludf.DUMMYFUNCTION("""COMPUTED_VALUE"""),0.01)</f>
        <v>0.01</v>
      </c>
      <c r="T157" s="17" t="str">
        <f t="shared" si="1"/>
        <v>Tyler O'Neill</v>
      </c>
    </row>
    <row r="158">
      <c r="A158" s="17">
        <f>IFERROR(__xludf.DUMMYFUNCTION("""COMPUTED_VALUE"""),157.0)</f>
        <v>157</v>
      </c>
      <c r="B158" s="17" t="str">
        <f>IFERROR(__xludf.DUMMYFUNCTION("""COMPUTED_VALUE"""),"Brady House (WSH - 3B,DH)")</f>
        <v>Brady House (WSH - 3B,DH)</v>
      </c>
      <c r="C158" s="17">
        <f>IFERROR(__xludf.DUMMYFUNCTION("""COMPUTED_VALUE"""),435.0)</f>
        <v>435</v>
      </c>
      <c r="D158" s="17">
        <f>IFERROR(__xludf.DUMMYFUNCTION("""COMPUTED_VALUE"""),49.0)</f>
        <v>49</v>
      </c>
      <c r="E158" s="17">
        <f>IFERROR(__xludf.DUMMYFUNCTION("""COMPUTED_VALUE"""),13.0)</f>
        <v>13</v>
      </c>
      <c r="F158" s="17">
        <f>IFERROR(__xludf.DUMMYFUNCTION("""COMPUTED_VALUE"""),55.0)</f>
        <v>55</v>
      </c>
      <c r="G158" s="17">
        <f>IFERROR(__xludf.DUMMYFUNCTION("""COMPUTED_VALUE"""),5.0)</f>
        <v>5</v>
      </c>
      <c r="H158" s="17">
        <f>IFERROR(__xludf.DUMMYFUNCTION("""COMPUTED_VALUE"""),0.243)</f>
        <v>0.243</v>
      </c>
      <c r="I158" s="17">
        <f>IFERROR(__xludf.DUMMYFUNCTION("""COMPUTED_VALUE"""),0.286)</f>
        <v>0.286</v>
      </c>
      <c r="J158" s="17">
        <f>IFERROR(__xludf.DUMMYFUNCTION("""COMPUTED_VALUE"""),106.0)</f>
        <v>106</v>
      </c>
      <c r="K158" s="17">
        <f>IFERROR(__xludf.DUMMYFUNCTION("""COMPUTED_VALUE"""),20.0)</f>
        <v>20</v>
      </c>
      <c r="L158" s="17">
        <f>IFERROR(__xludf.DUMMYFUNCTION("""COMPUTED_VALUE"""),1.0)</f>
        <v>1</v>
      </c>
      <c r="M158" s="17">
        <f>IFERROR(__xludf.DUMMYFUNCTION("""COMPUTED_VALUE"""),23.0)</f>
        <v>23</v>
      </c>
      <c r="N158" s="17">
        <f>IFERROR(__xludf.DUMMYFUNCTION("""COMPUTED_VALUE"""),129.0)</f>
        <v>129</v>
      </c>
      <c r="O158" s="17">
        <f>IFERROR(__xludf.DUMMYFUNCTION("""COMPUTED_VALUE"""),0.381)</f>
        <v>0.381</v>
      </c>
      <c r="P158" s="17">
        <f>IFERROR(__xludf.DUMMYFUNCTION("""COMPUTED_VALUE"""),0.667)</f>
        <v>0.667</v>
      </c>
      <c r="Q158" s="34">
        <f>IFERROR(__xludf.DUMMYFUNCTION("""COMPUTED_VALUE"""),0.04)</f>
        <v>0.04</v>
      </c>
      <c r="R158" s="34">
        <f>IFERROR(__xludf.DUMMYFUNCTION("""COMPUTED_VALUE"""),0.05)</f>
        <v>0.05</v>
      </c>
      <c r="S158" s="34">
        <f>IFERROR(__xludf.DUMMYFUNCTION("""COMPUTED_VALUE"""),0.02)</f>
        <v>0.02</v>
      </c>
      <c r="T158" s="17" t="str">
        <f t="shared" si="1"/>
        <v>Brady House</v>
      </c>
    </row>
    <row r="159">
      <c r="A159" s="17">
        <f>IFERROR(__xludf.DUMMYFUNCTION("""COMPUTED_VALUE"""),158.0)</f>
        <v>158</v>
      </c>
      <c r="B159" s="17" t="str">
        <f>IFERROR(__xludf.DUMMYFUNCTION("""COMPUTED_VALUE"""),"Brendan Donovan (SEA - 2B,3B,SS,LF) IL10")</f>
        <v>Brendan Donovan (SEA - 2B,3B,SS,LF) IL10</v>
      </c>
      <c r="C159" s="17">
        <f>IFERROR(__xludf.DUMMYFUNCTION("""COMPUTED_VALUE"""),371.0)</f>
        <v>371</v>
      </c>
      <c r="D159" s="17">
        <f>IFERROR(__xludf.DUMMYFUNCTION("""COMPUTED_VALUE"""),52.0)</f>
        <v>52</v>
      </c>
      <c r="E159" s="17">
        <f>IFERROR(__xludf.DUMMYFUNCTION("""COMPUTED_VALUE"""),9.0)</f>
        <v>9</v>
      </c>
      <c r="F159" s="17">
        <f>IFERROR(__xludf.DUMMYFUNCTION("""COMPUTED_VALUE"""),44.0)</f>
        <v>44</v>
      </c>
      <c r="G159" s="17">
        <f>IFERROR(__xludf.DUMMYFUNCTION("""COMPUTED_VALUE"""),4.0)</f>
        <v>4</v>
      </c>
      <c r="H159" s="17">
        <f>IFERROR(__xludf.DUMMYFUNCTION("""COMPUTED_VALUE"""),0.268)</f>
        <v>0.268</v>
      </c>
      <c r="I159" s="17">
        <f>IFERROR(__xludf.DUMMYFUNCTION("""COMPUTED_VALUE"""),0.351)</f>
        <v>0.351</v>
      </c>
      <c r="J159" s="17">
        <f>IFERROR(__xludf.DUMMYFUNCTION("""COMPUTED_VALUE"""),99.0)</f>
        <v>99</v>
      </c>
      <c r="K159" s="17">
        <f>IFERROR(__xludf.DUMMYFUNCTION("""COMPUTED_VALUE"""),20.0)</f>
        <v>20</v>
      </c>
      <c r="L159" s="17">
        <f>IFERROR(__xludf.DUMMYFUNCTION("""COMPUTED_VALUE"""),1.0)</f>
        <v>1</v>
      </c>
      <c r="M159" s="17">
        <f>IFERROR(__xludf.DUMMYFUNCTION("""COMPUTED_VALUE"""),40.0)</f>
        <v>40</v>
      </c>
      <c r="N159" s="17">
        <f>IFERROR(__xludf.DUMMYFUNCTION("""COMPUTED_VALUE"""),61.0)</f>
        <v>61</v>
      </c>
      <c r="O159" s="17">
        <f>IFERROR(__xludf.DUMMYFUNCTION("""COMPUTED_VALUE"""),0.403)</f>
        <v>0.403</v>
      </c>
      <c r="P159" s="17">
        <f>IFERROR(__xludf.DUMMYFUNCTION("""COMPUTED_VALUE"""),0.754)</f>
        <v>0.754</v>
      </c>
      <c r="Q159" s="34">
        <f>IFERROR(__xludf.DUMMYFUNCTION("""COMPUTED_VALUE"""),0.72)</f>
        <v>0.72</v>
      </c>
      <c r="R159" s="34">
        <f>IFERROR(__xludf.DUMMYFUNCTION("""COMPUTED_VALUE"""),0.81)</f>
        <v>0.81</v>
      </c>
      <c r="S159" s="34">
        <f>IFERROR(__xludf.DUMMYFUNCTION("""COMPUTED_VALUE"""),0.63)</f>
        <v>0.63</v>
      </c>
      <c r="T159" s="17" t="str">
        <f t="shared" si="1"/>
        <v>Brendan Donovan</v>
      </c>
    </row>
    <row r="160">
      <c r="A160" s="17">
        <f>IFERROR(__xludf.DUMMYFUNCTION("""COMPUTED_VALUE"""),159.0)</f>
        <v>159</v>
      </c>
      <c r="B160" s="17" t="str">
        <f>IFERROR(__xludf.DUMMYFUNCTION("""COMPUTED_VALUE"""),"Agustin Ramirez (MIA - C,DH)")</f>
        <v>Agustin Ramirez (MIA - C,DH)</v>
      </c>
      <c r="C160" s="17">
        <f>IFERROR(__xludf.DUMMYFUNCTION("""COMPUTED_VALUE"""),348.0)</f>
        <v>348</v>
      </c>
      <c r="D160" s="17">
        <f>IFERROR(__xludf.DUMMYFUNCTION("""COMPUTED_VALUE"""),47.0)</f>
        <v>47</v>
      </c>
      <c r="E160" s="17">
        <f>IFERROR(__xludf.DUMMYFUNCTION("""COMPUTED_VALUE"""),13.0)</f>
        <v>13</v>
      </c>
      <c r="F160" s="17">
        <f>IFERROR(__xludf.DUMMYFUNCTION("""COMPUTED_VALUE"""),48.0)</f>
        <v>48</v>
      </c>
      <c r="G160" s="17">
        <f>IFERROR(__xludf.DUMMYFUNCTION("""COMPUTED_VALUE"""),9.0)</f>
        <v>9</v>
      </c>
      <c r="H160" s="17">
        <f>IFERROR(__xludf.DUMMYFUNCTION("""COMPUTED_VALUE"""),0.244)</f>
        <v>0.244</v>
      </c>
      <c r="I160" s="17">
        <f>IFERROR(__xludf.DUMMYFUNCTION("""COMPUTED_VALUE"""),0.311)</f>
        <v>0.311</v>
      </c>
      <c r="J160" s="17">
        <f>IFERROR(__xludf.DUMMYFUNCTION("""COMPUTED_VALUE"""),85.0)</f>
        <v>85</v>
      </c>
      <c r="K160" s="17">
        <f>IFERROR(__xludf.DUMMYFUNCTION("""COMPUTED_VALUE"""),19.0)</f>
        <v>19</v>
      </c>
      <c r="L160" s="17">
        <f>IFERROR(__xludf.DUMMYFUNCTION("""COMPUTED_VALUE"""),1.0)</f>
        <v>1</v>
      </c>
      <c r="M160" s="17">
        <f>IFERROR(__xludf.DUMMYFUNCTION("""COMPUTED_VALUE"""),29.0)</f>
        <v>29</v>
      </c>
      <c r="N160" s="17">
        <f>IFERROR(__xludf.DUMMYFUNCTION("""COMPUTED_VALUE"""),76.0)</f>
        <v>76</v>
      </c>
      <c r="O160" s="17">
        <f>IFERROR(__xludf.DUMMYFUNCTION("""COMPUTED_VALUE"""),0.418)</f>
        <v>0.418</v>
      </c>
      <c r="P160" s="17">
        <f>IFERROR(__xludf.DUMMYFUNCTION("""COMPUTED_VALUE"""),0.729)</f>
        <v>0.729</v>
      </c>
      <c r="Q160" s="34">
        <f>IFERROR(__xludf.DUMMYFUNCTION("""COMPUTED_VALUE"""),0.74)</f>
        <v>0.74</v>
      </c>
      <c r="R160" s="34">
        <f>IFERROR(__xludf.DUMMYFUNCTION("""COMPUTED_VALUE"""),0.81)</f>
        <v>0.81</v>
      </c>
      <c r="S160" s="34">
        <f>IFERROR(__xludf.DUMMYFUNCTION("""COMPUTED_VALUE"""),0.66)</f>
        <v>0.66</v>
      </c>
      <c r="T160" s="17" t="str">
        <f t="shared" si="1"/>
        <v>Agustin Ramirez</v>
      </c>
    </row>
    <row r="161">
      <c r="A161" s="17">
        <f>IFERROR(__xludf.DUMMYFUNCTION("""COMPUTED_VALUE"""),160.0)</f>
        <v>160</v>
      </c>
      <c r="B161" s="17" t="str">
        <f>IFERROR(__xludf.DUMMYFUNCTION("""COMPUTED_VALUE"""),"TJ Friedl (CIN - LF,CF)")</f>
        <v>TJ Friedl (CIN - LF,CF)</v>
      </c>
      <c r="C161" s="17">
        <f>IFERROR(__xludf.DUMMYFUNCTION("""COMPUTED_VALUE"""),412.0)</f>
        <v>412</v>
      </c>
      <c r="D161" s="17">
        <f>IFERROR(__xludf.DUMMYFUNCTION("""COMPUTED_VALUE"""),58.0)</f>
        <v>58</v>
      </c>
      <c r="E161" s="17">
        <f>IFERROR(__xludf.DUMMYFUNCTION("""COMPUTED_VALUE"""),11.0)</f>
        <v>11</v>
      </c>
      <c r="F161" s="17">
        <f>IFERROR(__xludf.DUMMYFUNCTION("""COMPUTED_VALUE"""),44.0)</f>
        <v>44</v>
      </c>
      <c r="G161" s="17">
        <f>IFERROR(__xludf.DUMMYFUNCTION("""COMPUTED_VALUE"""),10.0)</f>
        <v>10</v>
      </c>
      <c r="H161" s="17">
        <f>IFERROR(__xludf.DUMMYFUNCTION("""COMPUTED_VALUE"""),0.239)</f>
        <v>0.239</v>
      </c>
      <c r="I161" s="17">
        <f>IFERROR(__xludf.DUMMYFUNCTION("""COMPUTED_VALUE"""),0.331)</f>
        <v>0.331</v>
      </c>
      <c r="J161" s="17">
        <f>IFERROR(__xludf.DUMMYFUNCTION("""COMPUTED_VALUE"""),98.0)</f>
        <v>98</v>
      </c>
      <c r="K161" s="17">
        <f>IFERROR(__xludf.DUMMYFUNCTION("""COMPUTED_VALUE"""),16.0)</f>
        <v>16</v>
      </c>
      <c r="L161" s="17">
        <f>IFERROR(__xludf.DUMMYFUNCTION("""COMPUTED_VALUE"""),2.0)</f>
        <v>2</v>
      </c>
      <c r="M161" s="17">
        <f>IFERROR(__xludf.DUMMYFUNCTION("""COMPUTED_VALUE"""),50.0)</f>
        <v>50</v>
      </c>
      <c r="N161" s="17">
        <f>IFERROR(__xludf.DUMMYFUNCTION("""COMPUTED_VALUE"""),83.0)</f>
        <v>83</v>
      </c>
      <c r="O161" s="17">
        <f>IFERROR(__xludf.DUMMYFUNCTION("""COMPUTED_VALUE"""),0.369)</f>
        <v>0.369</v>
      </c>
      <c r="P161" s="17">
        <f>IFERROR(__xludf.DUMMYFUNCTION("""COMPUTED_VALUE"""),0.699)</f>
        <v>0.699</v>
      </c>
      <c r="Q161" s="34">
        <f>IFERROR(__xludf.DUMMYFUNCTION("""COMPUTED_VALUE"""),0.15)</f>
        <v>0.15</v>
      </c>
      <c r="R161" s="34">
        <f>IFERROR(__xludf.DUMMYFUNCTION("""COMPUTED_VALUE"""),0.16)</f>
        <v>0.16</v>
      </c>
      <c r="S161" s="34">
        <f>IFERROR(__xludf.DUMMYFUNCTION("""COMPUTED_VALUE"""),0.14)</f>
        <v>0.14</v>
      </c>
      <c r="T161" s="17" t="str">
        <f t="shared" si="1"/>
        <v>TJ Friedl</v>
      </c>
    </row>
    <row r="162">
      <c r="A162" s="17">
        <f>IFERROR(__xludf.DUMMYFUNCTION("""COMPUTED_VALUE"""),161.0)</f>
        <v>161</v>
      </c>
      <c r="B162" s="17" t="str">
        <f>IFERROR(__xludf.DUMMYFUNCTION("""COMPUTED_VALUE"""),"Nolan Gorman (STL - 2B,3B,DH)")</f>
        <v>Nolan Gorman (STL - 2B,3B,DH)</v>
      </c>
      <c r="C162" s="17">
        <f>IFERROR(__xludf.DUMMYFUNCTION("""COMPUTED_VALUE"""),400.0)</f>
        <v>400</v>
      </c>
      <c r="D162" s="17">
        <f>IFERROR(__xludf.DUMMYFUNCTION("""COMPUTED_VALUE"""),52.0)</f>
        <v>52</v>
      </c>
      <c r="E162" s="17">
        <f>IFERROR(__xludf.DUMMYFUNCTION("""COMPUTED_VALUE"""),19.0)</f>
        <v>19</v>
      </c>
      <c r="F162" s="17">
        <f>IFERROR(__xludf.DUMMYFUNCTION("""COMPUTED_VALUE"""),59.0)</f>
        <v>59</v>
      </c>
      <c r="G162" s="17">
        <f>IFERROR(__xludf.DUMMYFUNCTION("""COMPUTED_VALUE"""),3.0)</f>
        <v>3</v>
      </c>
      <c r="H162" s="17">
        <f>IFERROR(__xludf.DUMMYFUNCTION("""COMPUTED_VALUE"""),0.217)</f>
        <v>0.217</v>
      </c>
      <c r="I162" s="17">
        <f>IFERROR(__xludf.DUMMYFUNCTION("""COMPUTED_VALUE"""),0.302)</f>
        <v>0.302</v>
      </c>
      <c r="J162" s="17">
        <f>IFERROR(__xludf.DUMMYFUNCTION("""COMPUTED_VALUE"""),87.0)</f>
        <v>87</v>
      </c>
      <c r="K162" s="17">
        <f>IFERROR(__xludf.DUMMYFUNCTION("""COMPUTED_VALUE"""),16.0)</f>
        <v>16</v>
      </c>
      <c r="L162" s="17">
        <f>IFERROR(__xludf.DUMMYFUNCTION("""COMPUTED_VALUE"""),1.0)</f>
        <v>1</v>
      </c>
      <c r="M162" s="17">
        <f>IFERROR(__xludf.DUMMYFUNCTION("""COMPUTED_VALUE"""),47.0)</f>
        <v>47</v>
      </c>
      <c r="N162" s="17">
        <f>IFERROR(__xludf.DUMMYFUNCTION("""COMPUTED_VALUE"""),143.0)</f>
        <v>143</v>
      </c>
      <c r="O162" s="17">
        <f>IFERROR(__xludf.DUMMYFUNCTION("""COMPUTED_VALUE"""),0.405)</f>
        <v>0.405</v>
      </c>
      <c r="P162" s="17">
        <f>IFERROR(__xludf.DUMMYFUNCTION("""COMPUTED_VALUE"""),0.707)</f>
        <v>0.707</v>
      </c>
      <c r="Q162" s="34">
        <f>IFERROR(__xludf.DUMMYFUNCTION("""COMPUTED_VALUE"""),0.05)</f>
        <v>0.05</v>
      </c>
      <c r="R162" s="34">
        <f>IFERROR(__xludf.DUMMYFUNCTION("""COMPUTED_VALUE"""),0.05)</f>
        <v>0.05</v>
      </c>
      <c r="S162" s="34">
        <f>IFERROR(__xludf.DUMMYFUNCTION("""COMPUTED_VALUE"""),0.05)</f>
        <v>0.05</v>
      </c>
      <c r="T162" s="17" t="str">
        <f t="shared" si="1"/>
        <v>Nolan Gorman</v>
      </c>
    </row>
    <row r="163">
      <c r="A163" s="17">
        <f>IFERROR(__xludf.DUMMYFUNCTION("""COMPUTED_VALUE"""),162.0)</f>
        <v>162</v>
      </c>
      <c r="B163" s="17" t="str">
        <f>IFERROR(__xludf.DUMMYFUNCTION("""COMPUTED_VALUE"""),"Samuel Basallo (BAL - C,DH)")</f>
        <v>Samuel Basallo (BAL - C,DH)</v>
      </c>
      <c r="C163" s="17">
        <f>IFERROR(__xludf.DUMMYFUNCTION("""COMPUTED_VALUE"""),346.0)</f>
        <v>346</v>
      </c>
      <c r="D163" s="17">
        <f>IFERROR(__xludf.DUMMYFUNCTION("""COMPUTED_VALUE"""),47.0)</f>
        <v>47</v>
      </c>
      <c r="E163" s="17">
        <f>IFERROR(__xludf.DUMMYFUNCTION("""COMPUTED_VALUE"""),17.0)</f>
        <v>17</v>
      </c>
      <c r="F163" s="17">
        <f>IFERROR(__xludf.DUMMYFUNCTION("""COMPUTED_VALUE"""),53.0)</f>
        <v>53</v>
      </c>
      <c r="G163" s="17">
        <f>IFERROR(__xludf.DUMMYFUNCTION("""COMPUTED_VALUE"""),2.0)</f>
        <v>2</v>
      </c>
      <c r="H163" s="17">
        <f>IFERROR(__xludf.DUMMYFUNCTION("""COMPUTED_VALUE"""),0.241)</f>
        <v>0.241</v>
      </c>
      <c r="I163" s="17">
        <f>IFERROR(__xludf.DUMMYFUNCTION("""COMPUTED_VALUE"""),0.312)</f>
        <v>0.312</v>
      </c>
      <c r="J163" s="17">
        <f>IFERROR(__xludf.DUMMYFUNCTION("""COMPUTED_VALUE"""),83.0)</f>
        <v>83</v>
      </c>
      <c r="K163" s="17">
        <f>IFERROR(__xludf.DUMMYFUNCTION("""COMPUTED_VALUE"""),16.0)</f>
        <v>16</v>
      </c>
      <c r="L163" s="17">
        <f>IFERROR(__xludf.DUMMYFUNCTION("""COMPUTED_VALUE"""),0.0)</f>
        <v>0</v>
      </c>
      <c r="M163" s="17">
        <f>IFERROR(__xludf.DUMMYFUNCTION("""COMPUTED_VALUE"""),32.0)</f>
        <v>32</v>
      </c>
      <c r="N163" s="17">
        <f>IFERROR(__xludf.DUMMYFUNCTION("""COMPUTED_VALUE"""),92.0)</f>
        <v>92</v>
      </c>
      <c r="O163" s="17">
        <f>IFERROR(__xludf.DUMMYFUNCTION("""COMPUTED_VALUE"""),0.437)</f>
        <v>0.437</v>
      </c>
      <c r="P163" s="17">
        <f>IFERROR(__xludf.DUMMYFUNCTION("""COMPUTED_VALUE"""),0.75)</f>
        <v>0.75</v>
      </c>
      <c r="Q163" s="34">
        <f>IFERROR(__xludf.DUMMYFUNCTION("""COMPUTED_VALUE"""),0.22)</f>
        <v>0.22</v>
      </c>
      <c r="R163" s="34">
        <f>IFERROR(__xludf.DUMMYFUNCTION("""COMPUTED_VALUE"""),0.24)</f>
        <v>0.24</v>
      </c>
      <c r="S163" s="34">
        <f>IFERROR(__xludf.DUMMYFUNCTION("""COMPUTED_VALUE"""),0.2)</f>
        <v>0.2</v>
      </c>
      <c r="T163" s="17" t="str">
        <f t="shared" si="1"/>
        <v>Samuel Basallo</v>
      </c>
    </row>
    <row r="164">
      <c r="A164" s="17">
        <f>IFERROR(__xludf.DUMMYFUNCTION("""COMPUTED_VALUE"""),163.0)</f>
        <v>163</v>
      </c>
      <c r="B164" s="17" t="str">
        <f>IFERROR(__xludf.DUMMYFUNCTION("""COMPUTED_VALUE"""),"Mark Vientos (NYM - 1B,3B,DH)")</f>
        <v>Mark Vientos (NYM - 1B,3B,DH)</v>
      </c>
      <c r="C164" s="17">
        <f>IFERROR(__xludf.DUMMYFUNCTION("""COMPUTED_VALUE"""),366.0)</f>
        <v>366</v>
      </c>
      <c r="D164" s="17">
        <f>IFERROR(__xludf.DUMMYFUNCTION("""COMPUTED_VALUE"""),46.0)</f>
        <v>46</v>
      </c>
      <c r="E164" s="17">
        <f>IFERROR(__xludf.DUMMYFUNCTION("""COMPUTED_VALUE"""),17.0)</f>
        <v>17</v>
      </c>
      <c r="F164" s="17">
        <f>IFERROR(__xludf.DUMMYFUNCTION("""COMPUTED_VALUE"""),54.0)</f>
        <v>54</v>
      </c>
      <c r="G164" s="17">
        <f>IFERROR(__xludf.DUMMYFUNCTION("""COMPUTED_VALUE"""),1.0)</f>
        <v>1</v>
      </c>
      <c r="H164" s="17">
        <f>IFERROR(__xludf.DUMMYFUNCTION("""COMPUTED_VALUE"""),0.242)</f>
        <v>0.242</v>
      </c>
      <c r="I164" s="17">
        <f>IFERROR(__xludf.DUMMYFUNCTION("""COMPUTED_VALUE"""),0.304)</f>
        <v>0.304</v>
      </c>
      <c r="J164" s="17">
        <f>IFERROR(__xludf.DUMMYFUNCTION("""COMPUTED_VALUE"""),89.0)</f>
        <v>89</v>
      </c>
      <c r="K164" s="17">
        <f>IFERROR(__xludf.DUMMYFUNCTION("""COMPUTED_VALUE"""),16.0)</f>
        <v>16</v>
      </c>
      <c r="L164" s="17">
        <f>IFERROR(__xludf.DUMMYFUNCTION("""COMPUTED_VALUE"""),1.0)</f>
        <v>1</v>
      </c>
      <c r="M164" s="17">
        <f>IFERROR(__xludf.DUMMYFUNCTION("""COMPUTED_VALUE"""),30.0)</f>
        <v>30</v>
      </c>
      <c r="N164" s="17">
        <f>IFERROR(__xludf.DUMMYFUNCTION("""COMPUTED_VALUE"""),104.0)</f>
        <v>104</v>
      </c>
      <c r="O164" s="17">
        <f>IFERROR(__xludf.DUMMYFUNCTION("""COMPUTED_VALUE"""),0.43)</f>
        <v>0.43</v>
      </c>
      <c r="P164" s="17">
        <f>IFERROR(__xludf.DUMMYFUNCTION("""COMPUTED_VALUE"""),0.734)</f>
        <v>0.734</v>
      </c>
      <c r="Q164" s="34">
        <f>IFERROR(__xludf.DUMMYFUNCTION("""COMPUTED_VALUE"""),0.05)</f>
        <v>0.05</v>
      </c>
      <c r="R164" s="34">
        <f>IFERROR(__xludf.DUMMYFUNCTION("""COMPUTED_VALUE"""),0.06)</f>
        <v>0.06</v>
      </c>
      <c r="S164" s="34">
        <f>IFERROR(__xludf.DUMMYFUNCTION("""COMPUTED_VALUE"""),0.03)</f>
        <v>0.03</v>
      </c>
      <c r="T164" s="17" t="str">
        <f t="shared" si="1"/>
        <v>Mark Vientos</v>
      </c>
    </row>
    <row r="165">
      <c r="A165" s="17">
        <f>IFERROR(__xludf.DUMMYFUNCTION("""COMPUTED_VALUE"""),164.0)</f>
        <v>164</v>
      </c>
      <c r="B165" s="17" t="str">
        <f>IFERROR(__xludf.DUMMYFUNCTION("""COMPUTED_VALUE"""),"Brooks Lee (MIN - 2B,3B,SS)")</f>
        <v>Brooks Lee (MIN - 2B,3B,SS)</v>
      </c>
      <c r="C165" s="17">
        <f>IFERROR(__xludf.DUMMYFUNCTION("""COMPUTED_VALUE"""),416.0)</f>
        <v>416</v>
      </c>
      <c r="D165" s="17">
        <f>IFERROR(__xludf.DUMMYFUNCTION("""COMPUTED_VALUE"""),50.0)</f>
        <v>50</v>
      </c>
      <c r="E165" s="17">
        <f>IFERROR(__xludf.DUMMYFUNCTION("""COMPUTED_VALUE"""),13.0)</f>
        <v>13</v>
      </c>
      <c r="F165" s="17">
        <f>IFERROR(__xludf.DUMMYFUNCTION("""COMPUTED_VALUE"""),52.0)</f>
        <v>52</v>
      </c>
      <c r="G165" s="17">
        <f>IFERROR(__xludf.DUMMYFUNCTION("""COMPUTED_VALUE"""),4.0)</f>
        <v>4</v>
      </c>
      <c r="H165" s="17">
        <f>IFERROR(__xludf.DUMMYFUNCTION("""COMPUTED_VALUE"""),0.244)</f>
        <v>0.244</v>
      </c>
      <c r="I165" s="17">
        <f>IFERROR(__xludf.DUMMYFUNCTION("""COMPUTED_VALUE"""),0.3)</f>
        <v>0.3</v>
      </c>
      <c r="J165" s="17">
        <f>IFERROR(__xludf.DUMMYFUNCTION("""COMPUTED_VALUE"""),102.0)</f>
        <v>102</v>
      </c>
      <c r="K165" s="17">
        <f>IFERROR(__xludf.DUMMYFUNCTION("""COMPUTED_VALUE"""),19.0)</f>
        <v>19</v>
      </c>
      <c r="L165" s="17">
        <f>IFERROR(__xludf.DUMMYFUNCTION("""COMPUTED_VALUE"""),1.0)</f>
        <v>1</v>
      </c>
      <c r="M165" s="17">
        <f>IFERROR(__xludf.DUMMYFUNCTION("""COMPUTED_VALUE"""),31.0)</f>
        <v>31</v>
      </c>
      <c r="N165" s="17">
        <f>IFERROR(__xludf.DUMMYFUNCTION("""COMPUTED_VALUE"""),79.0)</f>
        <v>79</v>
      </c>
      <c r="O165" s="17">
        <f>IFERROR(__xludf.DUMMYFUNCTION("""COMPUTED_VALUE"""),0.39)</f>
        <v>0.39</v>
      </c>
      <c r="P165" s="17">
        <f>IFERROR(__xludf.DUMMYFUNCTION("""COMPUTED_VALUE"""),0.689)</f>
        <v>0.689</v>
      </c>
      <c r="Q165" s="34">
        <f>IFERROR(__xludf.DUMMYFUNCTION("""COMPUTED_VALUE"""),0.14)</f>
        <v>0.14</v>
      </c>
      <c r="R165" s="34">
        <f>IFERROR(__xludf.DUMMYFUNCTION("""COMPUTED_VALUE"""),0.17)</f>
        <v>0.17</v>
      </c>
      <c r="S165" s="34">
        <f>IFERROR(__xludf.DUMMYFUNCTION("""COMPUTED_VALUE"""),0.11)</f>
        <v>0.11</v>
      </c>
      <c r="T165" s="17" t="str">
        <f t="shared" si="1"/>
        <v>Brooks Lee</v>
      </c>
    </row>
    <row r="166">
      <c r="A166" s="17">
        <f>IFERROR(__xludf.DUMMYFUNCTION("""COMPUTED_VALUE"""),165.0)</f>
        <v>165</v>
      </c>
      <c r="B166" s="17" t="str">
        <f>IFERROR(__xludf.DUMMYFUNCTION("""COMPUTED_VALUE"""),"Cam Smith (HOU - RF)")</f>
        <v>Cam Smith (HOU - RF)</v>
      </c>
      <c r="C166" s="17">
        <f>IFERROR(__xludf.DUMMYFUNCTION("""COMPUTED_VALUE"""),409.0)</f>
        <v>409</v>
      </c>
      <c r="D166" s="17">
        <f>IFERROR(__xludf.DUMMYFUNCTION("""COMPUTED_VALUE"""),54.0)</f>
        <v>54</v>
      </c>
      <c r="E166" s="17">
        <f>IFERROR(__xludf.DUMMYFUNCTION("""COMPUTED_VALUE"""),11.0)</f>
        <v>11</v>
      </c>
      <c r="F166" s="17">
        <f>IFERROR(__xludf.DUMMYFUNCTION("""COMPUTED_VALUE"""),49.0)</f>
        <v>49</v>
      </c>
      <c r="G166" s="17">
        <f>IFERROR(__xludf.DUMMYFUNCTION("""COMPUTED_VALUE"""),8.0)</f>
        <v>8</v>
      </c>
      <c r="H166" s="17">
        <f>IFERROR(__xludf.DUMMYFUNCTION("""COMPUTED_VALUE"""),0.241)</f>
        <v>0.241</v>
      </c>
      <c r="I166" s="17">
        <f>IFERROR(__xludf.DUMMYFUNCTION("""COMPUTED_VALUE"""),0.319)</f>
        <v>0.319</v>
      </c>
      <c r="J166" s="17">
        <f>IFERROR(__xludf.DUMMYFUNCTION("""COMPUTED_VALUE"""),98.0)</f>
        <v>98</v>
      </c>
      <c r="K166" s="17">
        <f>IFERROR(__xludf.DUMMYFUNCTION("""COMPUTED_VALUE"""),20.0)</f>
        <v>20</v>
      </c>
      <c r="L166" s="17">
        <f>IFERROR(__xludf.DUMMYFUNCTION("""COMPUTED_VALUE"""),2.0)</f>
        <v>2</v>
      </c>
      <c r="M166" s="17">
        <f>IFERROR(__xludf.DUMMYFUNCTION("""COMPUTED_VALUE"""),42.0)</f>
        <v>42</v>
      </c>
      <c r="N166" s="17">
        <f>IFERROR(__xludf.DUMMYFUNCTION("""COMPUTED_VALUE"""),121.0)</f>
        <v>121</v>
      </c>
      <c r="O166" s="17">
        <f>IFERROR(__xludf.DUMMYFUNCTION("""COMPUTED_VALUE"""),0.384)</f>
        <v>0.384</v>
      </c>
      <c r="P166" s="17">
        <f>IFERROR(__xludf.DUMMYFUNCTION("""COMPUTED_VALUE"""),0.702)</f>
        <v>0.702</v>
      </c>
      <c r="Q166" s="34">
        <f>IFERROR(__xludf.DUMMYFUNCTION("""COMPUTED_VALUE"""),0.23)</f>
        <v>0.23</v>
      </c>
      <c r="R166" s="34">
        <f>IFERROR(__xludf.DUMMYFUNCTION("""COMPUTED_VALUE"""),0.29)</f>
        <v>0.29</v>
      </c>
      <c r="S166" s="34">
        <f>IFERROR(__xludf.DUMMYFUNCTION("""COMPUTED_VALUE"""),0.17)</f>
        <v>0.17</v>
      </c>
      <c r="T166" s="17" t="str">
        <f t="shared" si="1"/>
        <v>Cam Smith</v>
      </c>
    </row>
    <row r="167">
      <c r="A167" s="17">
        <f>IFERROR(__xludf.DUMMYFUNCTION("""COMPUTED_VALUE"""),166.0)</f>
        <v>166</v>
      </c>
      <c r="B167" s="17" t="str">
        <f>IFERROR(__xludf.DUMMYFUNCTION("""COMPUTED_VALUE"""),"Connor Norby (MIA - 1B,3B,DH)")</f>
        <v>Connor Norby (MIA - 1B,3B,DH)</v>
      </c>
      <c r="C167" s="17">
        <f>IFERROR(__xludf.DUMMYFUNCTION("""COMPUTED_VALUE"""),377.0)</f>
        <v>377</v>
      </c>
      <c r="D167" s="17">
        <f>IFERROR(__xludf.DUMMYFUNCTION("""COMPUTED_VALUE"""),49.0)</f>
        <v>49</v>
      </c>
      <c r="E167" s="17">
        <f>IFERROR(__xludf.DUMMYFUNCTION("""COMPUTED_VALUE"""),12.0)</f>
        <v>12</v>
      </c>
      <c r="F167" s="17">
        <f>IFERROR(__xludf.DUMMYFUNCTION("""COMPUTED_VALUE"""),48.0)</f>
        <v>48</v>
      </c>
      <c r="G167" s="17">
        <f>IFERROR(__xludf.DUMMYFUNCTION("""COMPUTED_VALUE"""),7.0)</f>
        <v>7</v>
      </c>
      <c r="H167" s="17">
        <f>IFERROR(__xludf.DUMMYFUNCTION("""COMPUTED_VALUE"""),0.244)</f>
        <v>0.244</v>
      </c>
      <c r="I167" s="17">
        <f>IFERROR(__xludf.DUMMYFUNCTION("""COMPUTED_VALUE"""),0.307)</f>
        <v>0.307</v>
      </c>
      <c r="J167" s="17">
        <f>IFERROR(__xludf.DUMMYFUNCTION("""COMPUTED_VALUE"""),92.0)</f>
        <v>92</v>
      </c>
      <c r="K167" s="17">
        <f>IFERROR(__xludf.DUMMYFUNCTION("""COMPUTED_VALUE"""),20.0)</f>
        <v>20</v>
      </c>
      <c r="L167" s="17">
        <f>IFERROR(__xludf.DUMMYFUNCTION("""COMPUTED_VALUE"""),1.0)</f>
        <v>1</v>
      </c>
      <c r="M167" s="17">
        <f>IFERROR(__xludf.DUMMYFUNCTION("""COMPUTED_VALUE"""),31.0)</f>
        <v>31</v>
      </c>
      <c r="N167" s="17">
        <f>IFERROR(__xludf.DUMMYFUNCTION("""COMPUTED_VALUE"""),113.0)</f>
        <v>113</v>
      </c>
      <c r="O167" s="17">
        <f>IFERROR(__xludf.DUMMYFUNCTION("""COMPUTED_VALUE"""),0.398)</f>
        <v>0.398</v>
      </c>
      <c r="P167" s="17">
        <f>IFERROR(__xludf.DUMMYFUNCTION("""COMPUTED_VALUE"""),0.705)</f>
        <v>0.705</v>
      </c>
      <c r="Q167" s="34">
        <f>IFERROR(__xludf.DUMMYFUNCTION("""COMPUTED_VALUE"""),0.02)</f>
        <v>0.02</v>
      </c>
      <c r="R167" s="34">
        <f>IFERROR(__xludf.DUMMYFUNCTION("""COMPUTED_VALUE"""),0.02)</f>
        <v>0.02</v>
      </c>
      <c r="S167" s="34">
        <f>IFERROR(__xludf.DUMMYFUNCTION("""COMPUTED_VALUE"""),0.02)</f>
        <v>0.02</v>
      </c>
      <c r="T167" s="17" t="str">
        <f t="shared" si="1"/>
        <v>Connor Norby</v>
      </c>
    </row>
    <row r="168">
      <c r="A168" s="17">
        <f>IFERROR(__xludf.DUMMYFUNCTION("""COMPUTED_VALUE"""),167.0)</f>
        <v>167</v>
      </c>
      <c r="B168" s="17" t="str">
        <f>IFERROR(__xludf.DUMMYFUNCTION("""COMPUTED_VALUE"""),"Yainer Diaz (HOU - C,DH)")</f>
        <v>Yainer Diaz (HOU - C,DH)</v>
      </c>
      <c r="C168" s="17">
        <f>IFERROR(__xludf.DUMMYFUNCTION("""COMPUTED_VALUE"""),350.0)</f>
        <v>350</v>
      </c>
      <c r="D168" s="17">
        <f>IFERROR(__xludf.DUMMYFUNCTION("""COMPUTED_VALUE"""),42.0)</f>
        <v>42</v>
      </c>
      <c r="E168" s="17">
        <f>IFERROR(__xludf.DUMMYFUNCTION("""COMPUTED_VALUE"""),13.0)</f>
        <v>13</v>
      </c>
      <c r="F168" s="17">
        <f>IFERROR(__xludf.DUMMYFUNCTION("""COMPUTED_VALUE"""),49.0)</f>
        <v>49</v>
      </c>
      <c r="G168" s="17">
        <f>IFERROR(__xludf.DUMMYFUNCTION("""COMPUTED_VALUE"""),1.0)</f>
        <v>1</v>
      </c>
      <c r="H168" s="17">
        <f>IFERROR(__xludf.DUMMYFUNCTION("""COMPUTED_VALUE"""),0.267)</f>
        <v>0.267</v>
      </c>
      <c r="I168" s="17">
        <f>IFERROR(__xludf.DUMMYFUNCTION("""COMPUTED_VALUE"""),0.303)</f>
        <v>0.303</v>
      </c>
      <c r="J168" s="17">
        <f>IFERROR(__xludf.DUMMYFUNCTION("""COMPUTED_VALUE"""),93.0)</f>
        <v>93</v>
      </c>
      <c r="K168" s="17">
        <f>IFERROR(__xludf.DUMMYFUNCTION("""COMPUTED_VALUE"""),17.0)</f>
        <v>17</v>
      </c>
      <c r="L168" s="17">
        <f>IFERROR(__xludf.DUMMYFUNCTION("""COMPUTED_VALUE"""),1.0)</f>
        <v>1</v>
      </c>
      <c r="M168" s="17">
        <f>IFERROR(__xludf.DUMMYFUNCTION("""COMPUTED_VALUE"""),17.0)</f>
        <v>17</v>
      </c>
      <c r="N168" s="17">
        <f>IFERROR(__xludf.DUMMYFUNCTION("""COMPUTED_VALUE"""),64.0)</f>
        <v>64</v>
      </c>
      <c r="O168" s="17">
        <f>IFERROR(__xludf.DUMMYFUNCTION("""COMPUTED_VALUE"""),0.433)</f>
        <v>0.433</v>
      </c>
      <c r="P168" s="17">
        <f>IFERROR(__xludf.DUMMYFUNCTION("""COMPUTED_VALUE"""),0.736)</f>
        <v>0.736</v>
      </c>
      <c r="Q168" s="34">
        <f>IFERROR(__xludf.DUMMYFUNCTION("""COMPUTED_VALUE"""),0.57)</f>
        <v>0.57</v>
      </c>
      <c r="R168" s="34">
        <f>IFERROR(__xludf.DUMMYFUNCTION("""COMPUTED_VALUE"""),0.57)</f>
        <v>0.57</v>
      </c>
      <c r="S168" s="34">
        <f>IFERROR(__xludf.DUMMYFUNCTION("""COMPUTED_VALUE"""),0.56)</f>
        <v>0.56</v>
      </c>
      <c r="T168" s="17" t="str">
        <f t="shared" si="1"/>
        <v>Yainer Diaz</v>
      </c>
    </row>
    <row r="169">
      <c r="A169" s="17">
        <f>IFERROR(__xludf.DUMMYFUNCTION("""COMPUTED_VALUE"""),168.0)</f>
        <v>168</v>
      </c>
      <c r="B169" s="17" t="str">
        <f>IFERROR(__xludf.DUMMYFUNCTION("""COMPUTED_VALUE"""),"Jeff McNeil (ATH - 2B,LF,CF,RF)")</f>
        <v>Jeff McNeil (ATH - 2B,LF,CF,RF)</v>
      </c>
      <c r="C169" s="17">
        <f>IFERROR(__xludf.DUMMYFUNCTION("""COMPUTED_VALUE"""),376.0)</f>
        <v>376</v>
      </c>
      <c r="D169" s="17">
        <f>IFERROR(__xludf.DUMMYFUNCTION("""COMPUTED_VALUE"""),49.0)</f>
        <v>49</v>
      </c>
      <c r="E169" s="17">
        <f>IFERROR(__xludf.DUMMYFUNCTION("""COMPUTED_VALUE"""),9.0)</f>
        <v>9</v>
      </c>
      <c r="F169" s="17">
        <f>IFERROR(__xludf.DUMMYFUNCTION("""COMPUTED_VALUE"""),45.0)</f>
        <v>45</v>
      </c>
      <c r="G169" s="17">
        <f>IFERROR(__xludf.DUMMYFUNCTION("""COMPUTED_VALUE"""),3.0)</f>
        <v>3</v>
      </c>
      <c r="H169" s="17">
        <f>IFERROR(__xludf.DUMMYFUNCTION("""COMPUTED_VALUE"""),0.266)</f>
        <v>0.266</v>
      </c>
      <c r="I169" s="17">
        <f>IFERROR(__xludf.DUMMYFUNCTION("""COMPUTED_VALUE"""),0.341)</f>
        <v>0.341</v>
      </c>
      <c r="J169" s="17">
        <f>IFERROR(__xludf.DUMMYFUNCTION("""COMPUTED_VALUE"""),100.0)</f>
        <v>100</v>
      </c>
      <c r="K169" s="17">
        <f>IFERROR(__xludf.DUMMYFUNCTION("""COMPUTED_VALUE"""),21.0)</f>
        <v>21</v>
      </c>
      <c r="L169" s="17">
        <f>IFERROR(__xludf.DUMMYFUNCTION("""COMPUTED_VALUE"""),2.0)</f>
        <v>2</v>
      </c>
      <c r="M169" s="17">
        <f>IFERROR(__xludf.DUMMYFUNCTION("""COMPUTED_VALUE"""),36.0)</f>
        <v>36</v>
      </c>
      <c r="N169" s="17">
        <f>IFERROR(__xludf.DUMMYFUNCTION("""COMPUTED_VALUE"""),53.0)</f>
        <v>53</v>
      </c>
      <c r="O169" s="17">
        <f>IFERROR(__xludf.DUMMYFUNCTION("""COMPUTED_VALUE"""),0.407)</f>
        <v>0.407</v>
      </c>
      <c r="P169" s="17">
        <f>IFERROR(__xludf.DUMMYFUNCTION("""COMPUTED_VALUE"""),0.747)</f>
        <v>0.747</v>
      </c>
      <c r="Q169" s="34">
        <f>IFERROR(__xludf.DUMMYFUNCTION("""COMPUTED_VALUE"""),0.07)</f>
        <v>0.07</v>
      </c>
      <c r="R169" s="34">
        <f>IFERROR(__xludf.DUMMYFUNCTION("""COMPUTED_VALUE"""),0.07)</f>
        <v>0.07</v>
      </c>
      <c r="S169" s="34">
        <f>IFERROR(__xludf.DUMMYFUNCTION("""COMPUTED_VALUE"""),0.07)</f>
        <v>0.07</v>
      </c>
      <c r="T169" s="17" t="str">
        <f t="shared" si="1"/>
        <v>Jeff McNeil</v>
      </c>
    </row>
    <row r="170">
      <c r="A170" s="17">
        <f>IFERROR(__xludf.DUMMYFUNCTION("""COMPUTED_VALUE"""),169.0)</f>
        <v>169</v>
      </c>
      <c r="B170" s="17" t="str">
        <f>IFERROR(__xludf.DUMMYFUNCTION("""COMPUTED_VALUE"""),"Evan Carter (TEX - LF,CF,RF)")</f>
        <v>Evan Carter (TEX - LF,CF,RF)</v>
      </c>
      <c r="C170" s="17">
        <f>IFERROR(__xludf.DUMMYFUNCTION("""COMPUTED_VALUE"""),339.0)</f>
        <v>339</v>
      </c>
      <c r="D170" s="17">
        <f>IFERROR(__xludf.DUMMYFUNCTION("""COMPUTED_VALUE"""),49.0)</f>
        <v>49</v>
      </c>
      <c r="E170" s="17">
        <f>IFERROR(__xludf.DUMMYFUNCTION("""COMPUTED_VALUE"""),10.0)</f>
        <v>10</v>
      </c>
      <c r="F170" s="17">
        <f>IFERROR(__xludf.DUMMYFUNCTION("""COMPUTED_VALUE"""),41.0)</f>
        <v>41</v>
      </c>
      <c r="G170" s="17">
        <f>IFERROR(__xludf.DUMMYFUNCTION("""COMPUTED_VALUE"""),16.0)</f>
        <v>16</v>
      </c>
      <c r="H170" s="17">
        <f>IFERROR(__xludf.DUMMYFUNCTION("""COMPUTED_VALUE"""),0.236)</f>
        <v>0.236</v>
      </c>
      <c r="I170" s="17">
        <f>IFERROR(__xludf.DUMMYFUNCTION("""COMPUTED_VALUE"""),0.33)</f>
        <v>0.33</v>
      </c>
      <c r="J170" s="17">
        <f>IFERROR(__xludf.DUMMYFUNCTION("""COMPUTED_VALUE"""),80.0)</f>
        <v>80</v>
      </c>
      <c r="K170" s="17">
        <f>IFERROR(__xludf.DUMMYFUNCTION("""COMPUTED_VALUE"""),16.0)</f>
        <v>16</v>
      </c>
      <c r="L170" s="17">
        <f>IFERROR(__xludf.DUMMYFUNCTION("""COMPUTED_VALUE"""),3.0)</f>
        <v>3</v>
      </c>
      <c r="M170" s="17">
        <f>IFERROR(__xludf.DUMMYFUNCTION("""COMPUTED_VALUE"""),42.0)</f>
        <v>42</v>
      </c>
      <c r="N170" s="17">
        <f>IFERROR(__xludf.DUMMYFUNCTION("""COMPUTED_VALUE"""),88.0)</f>
        <v>88</v>
      </c>
      <c r="O170" s="17">
        <f>IFERROR(__xludf.DUMMYFUNCTION("""COMPUTED_VALUE"""),0.39)</f>
        <v>0.39</v>
      </c>
      <c r="P170" s="17">
        <f>IFERROR(__xludf.DUMMYFUNCTION("""COMPUTED_VALUE"""),0.72)</f>
        <v>0.72</v>
      </c>
      <c r="Q170" s="34">
        <f>IFERROR(__xludf.DUMMYFUNCTION("""COMPUTED_VALUE"""),0.05)</f>
        <v>0.05</v>
      </c>
      <c r="R170" s="34">
        <f>IFERROR(__xludf.DUMMYFUNCTION("""COMPUTED_VALUE"""),0.05)</f>
        <v>0.05</v>
      </c>
      <c r="S170" s="34">
        <f>IFERROR(__xludf.DUMMYFUNCTION("""COMPUTED_VALUE"""),0.05)</f>
        <v>0.05</v>
      </c>
      <c r="T170" s="17" t="str">
        <f t="shared" si="1"/>
        <v>Evan Carter</v>
      </c>
    </row>
    <row r="171">
      <c r="A171" s="17">
        <f>IFERROR(__xludf.DUMMYFUNCTION("""COMPUTED_VALUE"""),170.0)</f>
        <v>170</v>
      </c>
      <c r="B171" s="17" t="str">
        <f>IFERROR(__xludf.DUMMYFUNCTION("""COMPUTED_VALUE"""),"Max Muncy (LAD - 3B)")</f>
        <v>Max Muncy (LAD - 3B)</v>
      </c>
      <c r="C171" s="17">
        <f>IFERROR(__xludf.DUMMYFUNCTION("""COMPUTED_VALUE"""),297.0)</f>
        <v>297</v>
      </c>
      <c r="D171" s="17">
        <f>IFERROR(__xludf.DUMMYFUNCTION("""COMPUTED_VALUE"""),50.0)</f>
        <v>50</v>
      </c>
      <c r="E171" s="17">
        <f>IFERROR(__xludf.DUMMYFUNCTION("""COMPUTED_VALUE"""),18.0)</f>
        <v>18</v>
      </c>
      <c r="F171" s="17">
        <f>IFERROR(__xludf.DUMMYFUNCTION("""COMPUTED_VALUE"""),49.0)</f>
        <v>49</v>
      </c>
      <c r="G171" s="17">
        <f>IFERROR(__xludf.DUMMYFUNCTION("""COMPUTED_VALUE"""),2.0)</f>
        <v>2</v>
      </c>
      <c r="H171" s="17">
        <f>IFERROR(__xludf.DUMMYFUNCTION("""COMPUTED_VALUE"""),0.227)</f>
        <v>0.227</v>
      </c>
      <c r="I171" s="17">
        <f>IFERROR(__xludf.DUMMYFUNCTION("""COMPUTED_VALUE"""),0.354)</f>
        <v>0.354</v>
      </c>
      <c r="J171" s="17">
        <f>IFERROR(__xludf.DUMMYFUNCTION("""COMPUTED_VALUE"""),67.0)</f>
        <v>67</v>
      </c>
      <c r="K171" s="17">
        <f>IFERROR(__xludf.DUMMYFUNCTION("""COMPUTED_VALUE"""),12.0)</f>
        <v>12</v>
      </c>
      <c r="L171" s="17">
        <f>IFERROR(__xludf.DUMMYFUNCTION("""COMPUTED_VALUE"""),1.0)</f>
        <v>1</v>
      </c>
      <c r="M171" s="17">
        <f>IFERROR(__xludf.DUMMYFUNCTION("""COMPUTED_VALUE"""),54.0)</f>
        <v>54</v>
      </c>
      <c r="N171" s="17">
        <f>IFERROR(__xludf.DUMMYFUNCTION("""COMPUTED_VALUE"""),89.0)</f>
        <v>89</v>
      </c>
      <c r="O171" s="17">
        <f>IFERROR(__xludf.DUMMYFUNCTION("""COMPUTED_VALUE"""),0.455)</f>
        <v>0.455</v>
      </c>
      <c r="P171" s="17">
        <f>IFERROR(__xludf.DUMMYFUNCTION("""COMPUTED_VALUE"""),0.81)</f>
        <v>0.81</v>
      </c>
      <c r="Q171" s="34">
        <f>IFERROR(__xludf.DUMMYFUNCTION("""COMPUTED_VALUE"""),0.68)</f>
        <v>0.68</v>
      </c>
      <c r="R171" s="34">
        <f>IFERROR(__xludf.DUMMYFUNCTION("""COMPUTED_VALUE"""),0.81)</f>
        <v>0.81</v>
      </c>
      <c r="S171" s="34">
        <f>IFERROR(__xludf.DUMMYFUNCTION("""COMPUTED_VALUE"""),0.56)</f>
        <v>0.56</v>
      </c>
      <c r="T171" s="17" t="str">
        <f t="shared" si="1"/>
        <v>Max Muncy</v>
      </c>
    </row>
    <row r="172">
      <c r="A172" s="17">
        <f>IFERROR(__xludf.DUMMYFUNCTION("""COMPUTED_VALUE"""),171.0)</f>
        <v>171</v>
      </c>
      <c r="B172" s="17" t="str">
        <f>IFERROR(__xludf.DUMMYFUNCTION("""COMPUTED_VALUE"""),"Jorge Soler (LAA - RF,DH)")</f>
        <v>Jorge Soler (LAA - RF,DH)</v>
      </c>
      <c r="C172" s="17">
        <f>IFERROR(__xludf.DUMMYFUNCTION("""COMPUTED_VALUE"""),367.0)</f>
        <v>367</v>
      </c>
      <c r="D172" s="17">
        <f>IFERROR(__xludf.DUMMYFUNCTION("""COMPUTED_VALUE"""),50.0)</f>
        <v>50</v>
      </c>
      <c r="E172" s="17">
        <f>IFERROR(__xludf.DUMMYFUNCTION("""COMPUTED_VALUE"""),18.0)</f>
        <v>18</v>
      </c>
      <c r="F172" s="17">
        <f>IFERROR(__xludf.DUMMYFUNCTION("""COMPUTED_VALUE"""),55.0)</f>
        <v>55</v>
      </c>
      <c r="G172" s="17">
        <f>IFERROR(__xludf.DUMMYFUNCTION("""COMPUTED_VALUE"""),1.0)</f>
        <v>1</v>
      </c>
      <c r="H172" s="17">
        <f>IFERROR(__xludf.DUMMYFUNCTION("""COMPUTED_VALUE"""),0.223)</f>
        <v>0.223</v>
      </c>
      <c r="I172" s="17">
        <f>IFERROR(__xludf.DUMMYFUNCTION("""COMPUTED_VALUE"""),0.316)</f>
        <v>0.316</v>
      </c>
      <c r="J172" s="17">
        <f>IFERROR(__xludf.DUMMYFUNCTION("""COMPUTED_VALUE"""),82.0)</f>
        <v>82</v>
      </c>
      <c r="K172" s="17">
        <f>IFERROR(__xludf.DUMMYFUNCTION("""COMPUTED_VALUE"""),17.0)</f>
        <v>17</v>
      </c>
      <c r="L172" s="17">
        <f>IFERROR(__xludf.DUMMYFUNCTION("""COMPUTED_VALUE"""),0.0)</f>
        <v>0</v>
      </c>
      <c r="M172" s="17">
        <f>IFERROR(__xludf.DUMMYFUNCTION("""COMPUTED_VALUE"""),46.0)</f>
        <v>46</v>
      </c>
      <c r="N172" s="17">
        <f>IFERROR(__xludf.DUMMYFUNCTION("""COMPUTED_VALUE"""),118.0)</f>
        <v>118</v>
      </c>
      <c r="O172" s="17">
        <f>IFERROR(__xludf.DUMMYFUNCTION("""COMPUTED_VALUE"""),0.42)</f>
        <v>0.42</v>
      </c>
      <c r="P172" s="17">
        <f>IFERROR(__xludf.DUMMYFUNCTION("""COMPUTED_VALUE"""),0.736)</f>
        <v>0.736</v>
      </c>
      <c r="Q172" s="34">
        <f>IFERROR(__xludf.DUMMYFUNCTION("""COMPUTED_VALUE"""),0.31)</f>
        <v>0.31</v>
      </c>
      <c r="R172" s="34">
        <f>IFERROR(__xludf.DUMMYFUNCTION("""COMPUTED_VALUE"""),0.43)</f>
        <v>0.43</v>
      </c>
      <c r="S172" s="34">
        <f>IFERROR(__xludf.DUMMYFUNCTION("""COMPUTED_VALUE"""),0.18)</f>
        <v>0.18</v>
      </c>
      <c r="T172" s="17" t="str">
        <f t="shared" si="1"/>
        <v>Jorge Soler</v>
      </c>
    </row>
    <row r="173">
      <c r="A173" s="17">
        <f>IFERROR(__xludf.DUMMYFUNCTION("""COMPUTED_VALUE"""),172.0)</f>
        <v>172</v>
      </c>
      <c r="B173" s="17" t="str">
        <f>IFERROR(__xludf.DUMMYFUNCTION("""COMPUTED_VALUE"""),"Jordan Westburg (BAL - 2B,3B) IL60")</f>
        <v>Jordan Westburg (BAL - 2B,3B) IL60</v>
      </c>
      <c r="C173" s="17">
        <f>IFERROR(__xludf.DUMMYFUNCTION("""COMPUTED_VALUE"""),300.0)</f>
        <v>300</v>
      </c>
      <c r="D173" s="17">
        <f>IFERROR(__xludf.DUMMYFUNCTION("""COMPUTED_VALUE"""),45.0)</f>
        <v>45</v>
      </c>
      <c r="E173" s="17">
        <f>IFERROR(__xludf.DUMMYFUNCTION("""COMPUTED_VALUE"""),13.0)</f>
        <v>13</v>
      </c>
      <c r="F173" s="17">
        <f>IFERROR(__xludf.DUMMYFUNCTION("""COMPUTED_VALUE"""),44.0)</f>
        <v>44</v>
      </c>
      <c r="G173" s="17">
        <f>IFERROR(__xludf.DUMMYFUNCTION("""COMPUTED_VALUE"""),3.0)</f>
        <v>3</v>
      </c>
      <c r="H173" s="17">
        <f>IFERROR(__xludf.DUMMYFUNCTION("""COMPUTED_VALUE"""),0.26)</f>
        <v>0.26</v>
      </c>
      <c r="I173" s="17">
        <f>IFERROR(__xludf.DUMMYFUNCTION("""COMPUTED_VALUE"""),0.317)</f>
        <v>0.317</v>
      </c>
      <c r="J173" s="17">
        <f>IFERROR(__xludf.DUMMYFUNCTION("""COMPUTED_VALUE"""),78.0)</f>
        <v>78</v>
      </c>
      <c r="K173" s="17">
        <f>IFERROR(__xludf.DUMMYFUNCTION("""COMPUTED_VALUE"""),16.0)</f>
        <v>16</v>
      </c>
      <c r="L173" s="17">
        <f>IFERROR(__xludf.DUMMYFUNCTION("""COMPUTED_VALUE"""),2.0)</f>
        <v>2</v>
      </c>
      <c r="M173" s="17">
        <f>IFERROR(__xludf.DUMMYFUNCTION("""COMPUTED_VALUE"""),22.0)</f>
        <v>22</v>
      </c>
      <c r="N173" s="17">
        <f>IFERROR(__xludf.DUMMYFUNCTION("""COMPUTED_VALUE"""),73.0)</f>
        <v>73</v>
      </c>
      <c r="O173" s="17">
        <f>IFERROR(__xludf.DUMMYFUNCTION("""COMPUTED_VALUE"""),0.456)</f>
        <v>0.456</v>
      </c>
      <c r="P173" s="17">
        <f>IFERROR(__xludf.DUMMYFUNCTION("""COMPUTED_VALUE"""),0.773)</f>
        <v>0.773</v>
      </c>
      <c r="Q173" s="34">
        <f>IFERROR(__xludf.DUMMYFUNCTION("""COMPUTED_VALUE"""),0.18)</f>
        <v>0.18</v>
      </c>
      <c r="R173" s="34">
        <f>IFERROR(__xludf.DUMMYFUNCTION("""COMPUTED_VALUE"""),0.21)</f>
        <v>0.21</v>
      </c>
      <c r="S173" s="34">
        <f>IFERROR(__xludf.DUMMYFUNCTION("""COMPUTED_VALUE"""),0.16)</f>
        <v>0.16</v>
      </c>
      <c r="T173" s="17" t="str">
        <f t="shared" si="1"/>
        <v>Jordan Westburg</v>
      </c>
    </row>
    <row r="174">
      <c r="A174" s="17">
        <f>IFERROR(__xludf.DUMMYFUNCTION("""COMPUTED_VALUE"""),173.0)</f>
        <v>173</v>
      </c>
      <c r="B174" s="17" t="str">
        <f>IFERROR(__xludf.DUMMYFUNCTION("""COMPUTED_VALUE"""),"Kyle Manzardo (CLE - 1B,DH)")</f>
        <v>Kyle Manzardo (CLE - 1B,DH)</v>
      </c>
      <c r="C174" s="17">
        <f>IFERROR(__xludf.DUMMYFUNCTION("""COMPUTED_VALUE"""),356.0)</f>
        <v>356</v>
      </c>
      <c r="D174" s="17">
        <f>IFERROR(__xludf.DUMMYFUNCTION("""COMPUTED_VALUE"""),46.0)</f>
        <v>46</v>
      </c>
      <c r="E174" s="17">
        <f>IFERROR(__xludf.DUMMYFUNCTION("""COMPUTED_VALUE"""),17.0)</f>
        <v>17</v>
      </c>
      <c r="F174" s="17">
        <f>IFERROR(__xludf.DUMMYFUNCTION("""COMPUTED_VALUE"""),54.0)</f>
        <v>54</v>
      </c>
      <c r="G174" s="17">
        <f>IFERROR(__xludf.DUMMYFUNCTION("""COMPUTED_VALUE"""),1.0)</f>
        <v>1</v>
      </c>
      <c r="H174" s="17">
        <f>IFERROR(__xludf.DUMMYFUNCTION("""COMPUTED_VALUE"""),0.234)</f>
        <v>0.234</v>
      </c>
      <c r="I174" s="17">
        <f>IFERROR(__xludf.DUMMYFUNCTION("""COMPUTED_VALUE"""),0.32)</f>
        <v>0.32</v>
      </c>
      <c r="J174" s="17">
        <f>IFERROR(__xludf.DUMMYFUNCTION("""COMPUTED_VALUE"""),83.0)</f>
        <v>83</v>
      </c>
      <c r="K174" s="17">
        <f>IFERROR(__xludf.DUMMYFUNCTION("""COMPUTED_VALUE"""),17.0)</f>
        <v>17</v>
      </c>
      <c r="L174" s="17">
        <f>IFERROR(__xludf.DUMMYFUNCTION("""COMPUTED_VALUE"""),1.0)</f>
        <v>1</v>
      </c>
      <c r="M174" s="17">
        <f>IFERROR(__xludf.DUMMYFUNCTION("""COMPUTED_VALUE"""),41.0)</f>
        <v>41</v>
      </c>
      <c r="N174" s="17">
        <f>IFERROR(__xludf.DUMMYFUNCTION("""COMPUTED_VALUE"""),99.0)</f>
        <v>99</v>
      </c>
      <c r="O174" s="17">
        <f>IFERROR(__xludf.DUMMYFUNCTION("""COMPUTED_VALUE"""),0.433)</f>
        <v>0.433</v>
      </c>
      <c r="P174" s="17">
        <f>IFERROR(__xludf.DUMMYFUNCTION("""COMPUTED_VALUE"""),0.753)</f>
        <v>0.753</v>
      </c>
      <c r="Q174" s="34">
        <f>IFERROR(__xludf.DUMMYFUNCTION("""COMPUTED_VALUE"""),0.05)</f>
        <v>0.05</v>
      </c>
      <c r="R174" s="34">
        <f>IFERROR(__xludf.DUMMYFUNCTION("""COMPUTED_VALUE"""),0.07)</f>
        <v>0.07</v>
      </c>
      <c r="S174" s="34">
        <f>IFERROR(__xludf.DUMMYFUNCTION("""COMPUTED_VALUE"""),0.03)</f>
        <v>0.03</v>
      </c>
      <c r="T174" s="17" t="str">
        <f t="shared" si="1"/>
        <v>Kyle Manzardo</v>
      </c>
    </row>
    <row r="175">
      <c r="A175" s="17">
        <f>IFERROR(__xludf.DUMMYFUNCTION("""COMPUTED_VALUE"""),174.0)</f>
        <v>174</v>
      </c>
      <c r="B175" s="17" t="str">
        <f>IFERROR(__xludf.DUMMYFUNCTION("""COMPUTED_VALUE"""),"Ryan Jeffers (MIN - C,DH)")</f>
        <v>Ryan Jeffers (MIN - C,DH)</v>
      </c>
      <c r="C175" s="17">
        <f>IFERROR(__xludf.DUMMYFUNCTION("""COMPUTED_VALUE"""),352.0)</f>
        <v>352</v>
      </c>
      <c r="D175" s="17">
        <f>IFERROR(__xludf.DUMMYFUNCTION("""COMPUTED_VALUE"""),48.0)</f>
        <v>48</v>
      </c>
      <c r="E175" s="17">
        <f>IFERROR(__xludf.DUMMYFUNCTION("""COMPUTED_VALUE"""),13.0)</f>
        <v>13</v>
      </c>
      <c r="F175" s="17">
        <f>IFERROR(__xludf.DUMMYFUNCTION("""COMPUTED_VALUE"""),48.0)</f>
        <v>48</v>
      </c>
      <c r="G175" s="17">
        <f>IFERROR(__xludf.DUMMYFUNCTION("""COMPUTED_VALUE"""),2.0)</f>
        <v>2</v>
      </c>
      <c r="H175" s="17">
        <f>IFERROR(__xludf.DUMMYFUNCTION("""COMPUTED_VALUE"""),0.246)</f>
        <v>0.246</v>
      </c>
      <c r="I175" s="17">
        <f>IFERROR(__xludf.DUMMYFUNCTION("""COMPUTED_VALUE"""),0.336)</f>
        <v>0.336</v>
      </c>
      <c r="J175" s="17">
        <f>IFERROR(__xludf.DUMMYFUNCTION("""COMPUTED_VALUE"""),87.0)</f>
        <v>87</v>
      </c>
      <c r="K175" s="17">
        <f>IFERROR(__xludf.DUMMYFUNCTION("""COMPUTED_VALUE"""),18.0)</f>
        <v>18</v>
      </c>
      <c r="L175" s="17">
        <f>IFERROR(__xludf.DUMMYFUNCTION("""COMPUTED_VALUE"""),1.0)</f>
        <v>1</v>
      </c>
      <c r="M175" s="17">
        <f>IFERROR(__xludf.DUMMYFUNCTION("""COMPUTED_VALUE"""),42.0)</f>
        <v>42</v>
      </c>
      <c r="N175" s="17">
        <f>IFERROR(__xludf.DUMMYFUNCTION("""COMPUTED_VALUE"""),84.0)</f>
        <v>84</v>
      </c>
      <c r="O175" s="17">
        <f>IFERROR(__xludf.DUMMYFUNCTION("""COMPUTED_VALUE"""),0.413)</f>
        <v>0.413</v>
      </c>
      <c r="P175" s="17">
        <f>IFERROR(__xludf.DUMMYFUNCTION("""COMPUTED_VALUE"""),0.749)</f>
        <v>0.749</v>
      </c>
      <c r="Q175" s="34">
        <f>IFERROR(__xludf.DUMMYFUNCTION("""COMPUTED_VALUE"""),0.2)</f>
        <v>0.2</v>
      </c>
      <c r="R175" s="34">
        <f>IFERROR(__xludf.DUMMYFUNCTION("""COMPUTED_VALUE"""),0.21)</f>
        <v>0.21</v>
      </c>
      <c r="S175" s="34">
        <f>IFERROR(__xludf.DUMMYFUNCTION("""COMPUTED_VALUE"""),0.19)</f>
        <v>0.19</v>
      </c>
      <c r="T175" s="17" t="str">
        <f t="shared" si="1"/>
        <v>Ryan Jeffers</v>
      </c>
    </row>
    <row r="176">
      <c r="A176" s="17">
        <f>IFERROR(__xludf.DUMMYFUNCTION("""COMPUTED_VALUE"""),175.0)</f>
        <v>175</v>
      </c>
      <c r="B176" s="17" t="str">
        <f>IFERROR(__xludf.DUMMYFUNCTION("""COMPUTED_VALUE"""),"Marcell Ozuna (PIT - DH)")</f>
        <v>Marcell Ozuna (PIT - DH)</v>
      </c>
      <c r="C176" s="17">
        <f>IFERROR(__xludf.DUMMYFUNCTION("""COMPUTED_VALUE"""),347.0)</f>
        <v>347</v>
      </c>
      <c r="D176" s="17">
        <f>IFERROR(__xludf.DUMMYFUNCTION("""COMPUTED_VALUE"""),47.0)</f>
        <v>47</v>
      </c>
      <c r="E176" s="17">
        <f>IFERROR(__xludf.DUMMYFUNCTION("""COMPUTED_VALUE"""),16.0)</f>
        <v>16</v>
      </c>
      <c r="F176" s="17">
        <f>IFERROR(__xludf.DUMMYFUNCTION("""COMPUTED_VALUE"""),50.0)</f>
        <v>50</v>
      </c>
      <c r="G176" s="17">
        <f>IFERROR(__xludf.DUMMYFUNCTION("""COMPUTED_VALUE"""),0.0)</f>
        <v>0</v>
      </c>
      <c r="H176" s="17">
        <f>IFERROR(__xludf.DUMMYFUNCTION("""COMPUTED_VALUE"""),0.241)</f>
        <v>0.241</v>
      </c>
      <c r="I176" s="17">
        <f>IFERROR(__xludf.DUMMYFUNCTION("""COMPUTED_VALUE"""),0.339)</f>
        <v>0.339</v>
      </c>
      <c r="J176" s="17">
        <f>IFERROR(__xludf.DUMMYFUNCTION("""COMPUTED_VALUE"""),83.0)</f>
        <v>83</v>
      </c>
      <c r="K176" s="17">
        <f>IFERROR(__xludf.DUMMYFUNCTION("""COMPUTED_VALUE"""),15.0)</f>
        <v>15</v>
      </c>
      <c r="L176" s="17">
        <f>IFERROR(__xludf.DUMMYFUNCTION("""COMPUTED_VALUE"""),0.0)</f>
        <v>0</v>
      </c>
      <c r="M176" s="17">
        <f>IFERROR(__xludf.DUMMYFUNCTION("""COMPUTED_VALUE"""),49.0)</f>
        <v>49</v>
      </c>
      <c r="N176" s="17">
        <f>IFERROR(__xludf.DUMMYFUNCTION("""COMPUTED_VALUE"""),96.0)</f>
        <v>96</v>
      </c>
      <c r="O176" s="17">
        <f>IFERROR(__xludf.DUMMYFUNCTION("""COMPUTED_VALUE"""),0.42)</f>
        <v>0.42</v>
      </c>
      <c r="P176" s="17">
        <f>IFERROR(__xludf.DUMMYFUNCTION("""COMPUTED_VALUE"""),0.759)</f>
        <v>0.759</v>
      </c>
      <c r="Q176" s="34">
        <f>IFERROR(__xludf.DUMMYFUNCTION("""COMPUTED_VALUE"""),0.07)</f>
        <v>0.07</v>
      </c>
      <c r="R176" s="34">
        <f>IFERROR(__xludf.DUMMYFUNCTION("""COMPUTED_VALUE"""),0.07)</f>
        <v>0.07</v>
      </c>
      <c r="S176" s="34">
        <f>IFERROR(__xludf.DUMMYFUNCTION("""COMPUTED_VALUE"""),0.06)</f>
        <v>0.06</v>
      </c>
      <c r="T176" s="17" t="str">
        <f t="shared" si="1"/>
        <v>Marcell Ozuna</v>
      </c>
    </row>
    <row r="177">
      <c r="A177" s="17">
        <f>IFERROR(__xludf.DUMMYFUNCTION("""COMPUTED_VALUE"""),176.0)</f>
        <v>176</v>
      </c>
      <c r="B177" s="17" t="str">
        <f>IFERROR(__xludf.DUMMYFUNCTION("""COMPUTED_VALUE"""),"Francisco Alvarez (NYM - C)")</f>
        <v>Francisco Alvarez (NYM - C)</v>
      </c>
      <c r="C177" s="17">
        <f>IFERROR(__xludf.DUMMYFUNCTION("""COMPUTED_VALUE"""),330.0)</f>
        <v>330</v>
      </c>
      <c r="D177" s="17">
        <f>IFERROR(__xludf.DUMMYFUNCTION("""COMPUTED_VALUE"""),45.0)</f>
        <v>45</v>
      </c>
      <c r="E177" s="17">
        <f>IFERROR(__xludf.DUMMYFUNCTION("""COMPUTED_VALUE"""),17.0)</f>
        <v>17</v>
      </c>
      <c r="F177" s="17">
        <f>IFERROR(__xludf.DUMMYFUNCTION("""COMPUTED_VALUE"""),50.0)</f>
        <v>50</v>
      </c>
      <c r="G177" s="17">
        <f>IFERROR(__xludf.DUMMYFUNCTION("""COMPUTED_VALUE"""),1.0)</f>
        <v>1</v>
      </c>
      <c r="H177" s="17">
        <f>IFERROR(__xludf.DUMMYFUNCTION("""COMPUTED_VALUE"""),0.233)</f>
        <v>0.233</v>
      </c>
      <c r="I177" s="17">
        <f>IFERROR(__xludf.DUMMYFUNCTION("""COMPUTED_VALUE"""),0.316)</f>
        <v>0.316</v>
      </c>
      <c r="J177" s="17">
        <f>IFERROR(__xludf.DUMMYFUNCTION("""COMPUTED_VALUE"""),77.0)</f>
        <v>77</v>
      </c>
      <c r="K177" s="17">
        <f>IFERROR(__xludf.DUMMYFUNCTION("""COMPUTED_VALUE"""),13.0)</f>
        <v>13</v>
      </c>
      <c r="L177" s="17">
        <f>IFERROR(__xludf.DUMMYFUNCTION("""COMPUTED_VALUE"""),1.0)</f>
        <v>1</v>
      </c>
      <c r="M177" s="17">
        <f>IFERROR(__xludf.DUMMYFUNCTION("""COMPUTED_VALUE"""),36.0)</f>
        <v>36</v>
      </c>
      <c r="N177" s="17">
        <f>IFERROR(__xludf.DUMMYFUNCTION("""COMPUTED_VALUE"""),94.0)</f>
        <v>94</v>
      </c>
      <c r="O177" s="17">
        <f>IFERROR(__xludf.DUMMYFUNCTION("""COMPUTED_VALUE"""),0.432)</f>
        <v>0.432</v>
      </c>
      <c r="P177" s="17">
        <f>IFERROR(__xludf.DUMMYFUNCTION("""COMPUTED_VALUE"""),0.748)</f>
        <v>0.748</v>
      </c>
      <c r="Q177" s="34">
        <f>IFERROR(__xludf.DUMMYFUNCTION("""COMPUTED_VALUE"""),0.25)</f>
        <v>0.25</v>
      </c>
      <c r="R177" s="34">
        <f>IFERROR(__xludf.DUMMYFUNCTION("""COMPUTED_VALUE"""),0.29)</f>
        <v>0.29</v>
      </c>
      <c r="S177" s="34">
        <f>IFERROR(__xludf.DUMMYFUNCTION("""COMPUTED_VALUE"""),0.21)</f>
        <v>0.21</v>
      </c>
      <c r="T177" s="17" t="str">
        <f t="shared" si="1"/>
        <v>Francisco Alvarez</v>
      </c>
    </row>
    <row r="178">
      <c r="A178" s="17">
        <f>IFERROR(__xludf.DUMMYFUNCTION("""COMPUTED_VALUE"""),177.0)</f>
        <v>177</v>
      </c>
      <c r="B178" s="17" t="str">
        <f>IFERROR(__xludf.DUMMYFUNCTION("""COMPUTED_VALUE"""),"Andrew Vaughn (MIL - 1B) IL10")</f>
        <v>Andrew Vaughn (MIL - 1B) IL10</v>
      </c>
      <c r="C178" s="17">
        <f>IFERROR(__xludf.DUMMYFUNCTION("""COMPUTED_VALUE"""),341.0)</f>
        <v>341</v>
      </c>
      <c r="D178" s="17">
        <f>IFERROR(__xludf.DUMMYFUNCTION("""COMPUTED_VALUE"""),40.0)</f>
        <v>40</v>
      </c>
      <c r="E178" s="17">
        <f>IFERROR(__xludf.DUMMYFUNCTION("""COMPUTED_VALUE"""),14.0)</f>
        <v>14</v>
      </c>
      <c r="F178" s="17">
        <f>IFERROR(__xludf.DUMMYFUNCTION("""COMPUTED_VALUE"""),51.0)</f>
        <v>51</v>
      </c>
      <c r="G178" s="17">
        <f>IFERROR(__xludf.DUMMYFUNCTION("""COMPUTED_VALUE"""),0.0)</f>
        <v>0</v>
      </c>
      <c r="H178" s="17">
        <f>IFERROR(__xludf.DUMMYFUNCTION("""COMPUTED_VALUE"""),0.252)</f>
        <v>0.252</v>
      </c>
      <c r="I178" s="17">
        <f>IFERROR(__xludf.DUMMYFUNCTION("""COMPUTED_VALUE"""),0.314)</f>
        <v>0.314</v>
      </c>
      <c r="J178" s="17">
        <f>IFERROR(__xludf.DUMMYFUNCTION("""COMPUTED_VALUE"""),86.0)</f>
        <v>86</v>
      </c>
      <c r="K178" s="17">
        <f>IFERROR(__xludf.DUMMYFUNCTION("""COMPUTED_VALUE"""),17.0)</f>
        <v>17</v>
      </c>
      <c r="L178" s="17">
        <f>IFERROR(__xludf.DUMMYFUNCTION("""COMPUTED_VALUE"""),1.0)</f>
        <v>1</v>
      </c>
      <c r="M178" s="17">
        <f>IFERROR(__xludf.DUMMYFUNCTION("""COMPUTED_VALUE"""),28.0)</f>
        <v>28</v>
      </c>
      <c r="N178" s="17">
        <f>IFERROR(__xludf.DUMMYFUNCTION("""COMPUTED_VALUE"""),74.0)</f>
        <v>74</v>
      </c>
      <c r="O178" s="17">
        <f>IFERROR(__xludf.DUMMYFUNCTION("""COMPUTED_VALUE"""),0.427)</f>
        <v>0.427</v>
      </c>
      <c r="P178" s="17">
        <f>IFERROR(__xludf.DUMMYFUNCTION("""COMPUTED_VALUE"""),0.741)</f>
        <v>0.741</v>
      </c>
      <c r="Q178" s="34">
        <f>IFERROR(__xludf.DUMMYFUNCTION("""COMPUTED_VALUE"""),0.19)</f>
        <v>0.19</v>
      </c>
      <c r="R178" s="34">
        <f>IFERROR(__xludf.DUMMYFUNCTION("""COMPUTED_VALUE"""),0.34)</f>
        <v>0.34</v>
      </c>
      <c r="S178" s="34">
        <f>IFERROR(__xludf.DUMMYFUNCTION("""COMPUTED_VALUE"""),0.05)</f>
        <v>0.05</v>
      </c>
      <c r="T178" s="17" t="str">
        <f t="shared" si="1"/>
        <v>Andrew Vaughn</v>
      </c>
    </row>
    <row r="179">
      <c r="A179" s="17">
        <f>IFERROR(__xludf.DUMMYFUNCTION("""COMPUTED_VALUE"""),178.0)</f>
        <v>178</v>
      </c>
      <c r="B179" s="17" t="str">
        <f>IFERROR(__xludf.DUMMYFUNCTION("""COMPUTED_VALUE"""),"Chase Meidroth (CWS - 2B,3B,SS)")</f>
        <v>Chase Meidroth (CWS - 2B,3B,SS)</v>
      </c>
      <c r="C179" s="17">
        <f>IFERROR(__xludf.DUMMYFUNCTION("""COMPUTED_VALUE"""),394.0)</f>
        <v>394</v>
      </c>
      <c r="D179" s="17">
        <f>IFERROR(__xludf.DUMMYFUNCTION("""COMPUTED_VALUE"""),52.0)</f>
        <v>52</v>
      </c>
      <c r="E179" s="17">
        <f>IFERROR(__xludf.DUMMYFUNCTION("""COMPUTED_VALUE"""),6.0)</f>
        <v>6</v>
      </c>
      <c r="F179" s="17">
        <f>IFERROR(__xludf.DUMMYFUNCTION("""COMPUTED_VALUE"""),37.0)</f>
        <v>37</v>
      </c>
      <c r="G179" s="17">
        <f>IFERROR(__xludf.DUMMYFUNCTION("""COMPUTED_VALUE"""),10.0)</f>
        <v>10</v>
      </c>
      <c r="H179" s="17">
        <f>IFERROR(__xludf.DUMMYFUNCTION("""COMPUTED_VALUE"""),0.253)</f>
        <v>0.253</v>
      </c>
      <c r="I179" s="17">
        <f>IFERROR(__xludf.DUMMYFUNCTION("""COMPUTED_VALUE"""),0.343)</f>
        <v>0.343</v>
      </c>
      <c r="J179" s="17">
        <f>IFERROR(__xludf.DUMMYFUNCTION("""COMPUTED_VALUE"""),100.0)</f>
        <v>100</v>
      </c>
      <c r="K179" s="17">
        <f>IFERROR(__xludf.DUMMYFUNCTION("""COMPUTED_VALUE"""),16.0)</f>
        <v>16</v>
      </c>
      <c r="L179" s="17">
        <f>IFERROR(__xludf.DUMMYFUNCTION("""COMPUTED_VALUE"""),1.0)</f>
        <v>1</v>
      </c>
      <c r="M179" s="17">
        <f>IFERROR(__xludf.DUMMYFUNCTION("""COMPUTED_VALUE"""),50.0)</f>
        <v>50</v>
      </c>
      <c r="N179" s="17">
        <f>IFERROR(__xludf.DUMMYFUNCTION("""COMPUTED_VALUE"""),72.0)</f>
        <v>72</v>
      </c>
      <c r="O179" s="17">
        <f>IFERROR(__xludf.DUMMYFUNCTION("""COMPUTED_VALUE"""),0.345)</f>
        <v>0.345</v>
      </c>
      <c r="P179" s="17">
        <f>IFERROR(__xludf.DUMMYFUNCTION("""COMPUTED_VALUE"""),0.688)</f>
        <v>0.688</v>
      </c>
      <c r="Q179" s="34">
        <f>IFERROR(__xludf.DUMMYFUNCTION("""COMPUTED_VALUE"""),0.06)</f>
        <v>0.06</v>
      </c>
      <c r="R179" s="34">
        <f>IFERROR(__xludf.DUMMYFUNCTION("""COMPUTED_VALUE"""),0.08)</f>
        <v>0.08</v>
      </c>
      <c r="S179" s="34">
        <f>IFERROR(__xludf.DUMMYFUNCTION("""COMPUTED_VALUE"""),0.04)</f>
        <v>0.04</v>
      </c>
      <c r="T179" s="17" t="str">
        <f t="shared" si="1"/>
        <v>Chase Meidroth</v>
      </c>
    </row>
    <row r="180">
      <c r="A180" s="17">
        <f>IFERROR(__xludf.DUMMYFUNCTION("""COMPUTED_VALUE"""),179.0)</f>
        <v>179</v>
      </c>
      <c r="B180" s="17" t="str">
        <f>IFERROR(__xludf.DUMMYFUNCTION("""COMPUTED_VALUE"""),"Jake Cronenworth (SD - 1B,2B,SS)")</f>
        <v>Jake Cronenworth (SD - 1B,2B,SS)</v>
      </c>
      <c r="C180" s="17">
        <f>IFERROR(__xludf.DUMMYFUNCTION("""COMPUTED_VALUE"""),409.0)</f>
        <v>409</v>
      </c>
      <c r="D180" s="17">
        <f>IFERROR(__xludf.DUMMYFUNCTION("""COMPUTED_VALUE"""),55.0)</f>
        <v>55</v>
      </c>
      <c r="E180" s="17">
        <f>IFERROR(__xludf.DUMMYFUNCTION("""COMPUTED_VALUE"""),11.0)</f>
        <v>11</v>
      </c>
      <c r="F180" s="17">
        <f>IFERROR(__xludf.DUMMYFUNCTION("""COMPUTED_VALUE"""),48.0)</f>
        <v>48</v>
      </c>
      <c r="G180" s="17">
        <f>IFERROR(__xludf.DUMMYFUNCTION("""COMPUTED_VALUE"""),4.0)</f>
        <v>4</v>
      </c>
      <c r="H180" s="17">
        <f>IFERROR(__xludf.DUMMYFUNCTION("""COMPUTED_VALUE"""),0.232)</f>
        <v>0.232</v>
      </c>
      <c r="I180" s="17">
        <f>IFERROR(__xludf.DUMMYFUNCTION("""COMPUTED_VALUE"""),0.331)</f>
        <v>0.331</v>
      </c>
      <c r="J180" s="17">
        <f>IFERROR(__xludf.DUMMYFUNCTION("""COMPUTED_VALUE"""),95.0)</f>
        <v>95</v>
      </c>
      <c r="K180" s="17">
        <f>IFERROR(__xludf.DUMMYFUNCTION("""COMPUTED_VALUE"""),20.0)</f>
        <v>20</v>
      </c>
      <c r="L180" s="17">
        <f>IFERROR(__xludf.DUMMYFUNCTION("""COMPUTED_VALUE"""),2.0)</f>
        <v>2</v>
      </c>
      <c r="M180" s="17">
        <f>IFERROR(__xludf.DUMMYFUNCTION("""COMPUTED_VALUE"""),54.0)</f>
        <v>54</v>
      </c>
      <c r="N180" s="17">
        <f>IFERROR(__xludf.DUMMYFUNCTION("""COMPUTED_VALUE"""),95.0)</f>
        <v>95</v>
      </c>
      <c r="O180" s="17">
        <f>IFERROR(__xludf.DUMMYFUNCTION("""COMPUTED_VALUE"""),0.368)</f>
        <v>0.368</v>
      </c>
      <c r="P180" s="17">
        <f>IFERROR(__xludf.DUMMYFUNCTION("""COMPUTED_VALUE"""),0.7)</f>
        <v>0.7</v>
      </c>
      <c r="Q180" s="34">
        <f>IFERROR(__xludf.DUMMYFUNCTION("""COMPUTED_VALUE"""),0.08)</f>
        <v>0.08</v>
      </c>
      <c r="R180" s="34">
        <f>IFERROR(__xludf.DUMMYFUNCTION("""COMPUTED_VALUE"""),0.11)</f>
        <v>0.11</v>
      </c>
      <c r="S180" s="34">
        <f>IFERROR(__xludf.DUMMYFUNCTION("""COMPUTED_VALUE"""),0.05)</f>
        <v>0.05</v>
      </c>
      <c r="T180" s="17" t="str">
        <f t="shared" si="1"/>
        <v>Jake Cronenworth</v>
      </c>
    </row>
    <row r="181">
      <c r="A181" s="17">
        <f>IFERROR(__xludf.DUMMYFUNCTION("""COMPUTED_VALUE"""),180.0)</f>
        <v>180</v>
      </c>
      <c r="B181" s="17" t="str">
        <f>IFERROR(__xludf.DUMMYFUNCTION("""COMPUTED_VALUE"""),"Anthony Volpe (NYY - SS) IL10")</f>
        <v>Anthony Volpe (NYY - SS) IL10</v>
      </c>
      <c r="C181" s="17">
        <f>IFERROR(__xludf.DUMMYFUNCTION("""COMPUTED_VALUE"""),344.0)</f>
        <v>344</v>
      </c>
      <c r="D181" s="17">
        <f>IFERROR(__xludf.DUMMYFUNCTION("""COMPUTED_VALUE"""),45.0)</f>
        <v>45</v>
      </c>
      <c r="E181" s="17">
        <f>IFERROR(__xludf.DUMMYFUNCTION("""COMPUTED_VALUE"""),11.0)</f>
        <v>11</v>
      </c>
      <c r="F181" s="17">
        <f>IFERROR(__xludf.DUMMYFUNCTION("""COMPUTED_VALUE"""),42.0)</f>
        <v>42</v>
      </c>
      <c r="G181" s="17">
        <f>IFERROR(__xludf.DUMMYFUNCTION("""COMPUTED_VALUE"""),14.0)</f>
        <v>14</v>
      </c>
      <c r="H181" s="17">
        <f>IFERROR(__xludf.DUMMYFUNCTION("""COMPUTED_VALUE"""),0.231)</f>
        <v>0.231</v>
      </c>
      <c r="I181" s="17">
        <f>IFERROR(__xludf.DUMMYFUNCTION("""COMPUTED_VALUE"""),0.295)</f>
        <v>0.295</v>
      </c>
      <c r="J181" s="17">
        <f>IFERROR(__xludf.DUMMYFUNCTION("""COMPUTED_VALUE"""),79.0)</f>
        <v>79</v>
      </c>
      <c r="K181" s="17">
        <f>IFERROR(__xludf.DUMMYFUNCTION("""COMPUTED_VALUE"""),18.0)</f>
        <v>18</v>
      </c>
      <c r="L181" s="17">
        <f>IFERROR(__xludf.DUMMYFUNCTION("""COMPUTED_VALUE"""),2.0)</f>
        <v>2</v>
      </c>
      <c r="M181" s="17">
        <f>IFERROR(__xludf.DUMMYFUNCTION("""COMPUTED_VALUE"""),30.0)</f>
        <v>30</v>
      </c>
      <c r="N181" s="17">
        <f>IFERROR(__xludf.DUMMYFUNCTION("""COMPUTED_VALUE"""),91.0)</f>
        <v>91</v>
      </c>
      <c r="O181" s="17">
        <f>IFERROR(__xludf.DUMMYFUNCTION("""COMPUTED_VALUE"""),0.394)</f>
        <v>0.394</v>
      </c>
      <c r="P181" s="17">
        <f>IFERROR(__xludf.DUMMYFUNCTION("""COMPUTED_VALUE"""),0.689)</f>
        <v>0.689</v>
      </c>
      <c r="Q181" s="34">
        <f>IFERROR(__xludf.DUMMYFUNCTION("""COMPUTED_VALUE"""),0.07)</f>
        <v>0.07</v>
      </c>
      <c r="R181" s="34">
        <f>IFERROR(__xludf.DUMMYFUNCTION("""COMPUTED_VALUE"""),0.09)</f>
        <v>0.09</v>
      </c>
      <c r="S181" s="34">
        <f>IFERROR(__xludf.DUMMYFUNCTION("""COMPUTED_VALUE"""),0.06)</f>
        <v>0.06</v>
      </c>
      <c r="T181" s="17" t="str">
        <f t="shared" si="1"/>
        <v>Anthony Volpe</v>
      </c>
    </row>
    <row r="182">
      <c r="A182" s="17">
        <f>IFERROR(__xludf.DUMMYFUNCTION("""COMPUTED_VALUE"""),181.0)</f>
        <v>181</v>
      </c>
      <c r="B182" s="17" t="str">
        <f>IFERROR(__xludf.DUMMYFUNCTION("""COMPUTED_VALUE"""),"J.P. Crawford (SEA - SS)")</f>
        <v>J.P. Crawford (SEA - SS)</v>
      </c>
      <c r="C182" s="17">
        <f>IFERROR(__xludf.DUMMYFUNCTION("""COMPUTED_VALUE"""),415.0)</f>
        <v>415</v>
      </c>
      <c r="D182" s="17">
        <f>IFERROR(__xludf.DUMMYFUNCTION("""COMPUTED_VALUE"""),56.0)</f>
        <v>56</v>
      </c>
      <c r="E182" s="17">
        <f>IFERROR(__xludf.DUMMYFUNCTION("""COMPUTED_VALUE"""),9.0)</f>
        <v>9</v>
      </c>
      <c r="F182" s="17">
        <f>IFERROR(__xludf.DUMMYFUNCTION("""COMPUTED_VALUE"""),44.0)</f>
        <v>44</v>
      </c>
      <c r="G182" s="17">
        <f>IFERROR(__xludf.DUMMYFUNCTION("""COMPUTED_VALUE"""),4.0)</f>
        <v>4</v>
      </c>
      <c r="H182" s="17">
        <f>IFERROR(__xludf.DUMMYFUNCTION("""COMPUTED_VALUE"""),0.241)</f>
        <v>0.241</v>
      </c>
      <c r="I182" s="17">
        <f>IFERROR(__xludf.DUMMYFUNCTION("""COMPUTED_VALUE"""),0.341)</f>
        <v>0.341</v>
      </c>
      <c r="J182" s="17">
        <f>IFERROR(__xludf.DUMMYFUNCTION("""COMPUTED_VALUE"""),100.0)</f>
        <v>100</v>
      </c>
      <c r="K182" s="17">
        <f>IFERROR(__xludf.DUMMYFUNCTION("""COMPUTED_VALUE"""),19.0)</f>
        <v>19</v>
      </c>
      <c r="L182" s="17">
        <f>IFERROR(__xludf.DUMMYFUNCTION("""COMPUTED_VALUE"""),1.0)</f>
        <v>1</v>
      </c>
      <c r="M182" s="17">
        <f>IFERROR(__xludf.DUMMYFUNCTION("""COMPUTED_VALUE"""),60.0)</f>
        <v>60</v>
      </c>
      <c r="N182" s="17">
        <f>IFERROR(__xludf.DUMMYFUNCTION("""COMPUTED_VALUE"""),92.0)</f>
        <v>92</v>
      </c>
      <c r="O182" s="17">
        <f>IFERROR(__xludf.DUMMYFUNCTION("""COMPUTED_VALUE"""),0.36)</f>
        <v>0.36</v>
      </c>
      <c r="P182" s="17">
        <f>IFERROR(__xludf.DUMMYFUNCTION("""COMPUTED_VALUE"""),0.7)</f>
        <v>0.7</v>
      </c>
      <c r="Q182" s="34">
        <f>IFERROR(__xludf.DUMMYFUNCTION("""COMPUTED_VALUE"""),0.06)</f>
        <v>0.06</v>
      </c>
      <c r="R182" s="34">
        <f>IFERROR(__xludf.DUMMYFUNCTION("""COMPUTED_VALUE"""),0.06)</f>
        <v>0.06</v>
      </c>
      <c r="S182" s="34">
        <f>IFERROR(__xludf.DUMMYFUNCTION("""COMPUTED_VALUE"""),0.06)</f>
        <v>0.06</v>
      </c>
      <c r="T182" s="17" t="str">
        <f t="shared" si="1"/>
        <v>J.P. Crawford</v>
      </c>
    </row>
    <row r="183">
      <c r="A183" s="17">
        <f>IFERROR(__xludf.DUMMYFUNCTION("""COMPUTED_VALUE"""),182.0)</f>
        <v>182</v>
      </c>
      <c r="B183" s="17" t="str">
        <f>IFERROR(__xludf.DUMMYFUNCTION("""COMPUTED_VALUE"""),"Jackson Holliday (BAL - 2B,SS) IL10")</f>
        <v>Jackson Holliday (BAL - 2B,SS) IL10</v>
      </c>
      <c r="C183" s="17">
        <f>IFERROR(__xludf.DUMMYFUNCTION("""COMPUTED_VALUE"""),323.0)</f>
        <v>323</v>
      </c>
      <c r="D183" s="17">
        <f>IFERROR(__xludf.DUMMYFUNCTION("""COMPUTED_VALUE"""),48.0)</f>
        <v>48</v>
      </c>
      <c r="E183" s="17">
        <f>IFERROR(__xludf.DUMMYFUNCTION("""COMPUTED_VALUE"""),9.0)</f>
        <v>9</v>
      </c>
      <c r="F183" s="17">
        <f>IFERROR(__xludf.DUMMYFUNCTION("""COMPUTED_VALUE"""),37.0)</f>
        <v>37</v>
      </c>
      <c r="G183" s="17">
        <f>IFERROR(__xludf.DUMMYFUNCTION("""COMPUTED_VALUE"""),10.0)</f>
        <v>10</v>
      </c>
      <c r="H183" s="17">
        <f>IFERROR(__xludf.DUMMYFUNCTION("""COMPUTED_VALUE"""),0.248)</f>
        <v>0.248</v>
      </c>
      <c r="I183" s="17">
        <f>IFERROR(__xludf.DUMMYFUNCTION("""COMPUTED_VALUE"""),0.331)</f>
        <v>0.331</v>
      </c>
      <c r="J183" s="17">
        <f>IFERROR(__xludf.DUMMYFUNCTION("""COMPUTED_VALUE"""),80.0)</f>
        <v>80</v>
      </c>
      <c r="K183" s="17">
        <f>IFERROR(__xludf.DUMMYFUNCTION("""COMPUTED_VALUE"""),15.0)</f>
        <v>15</v>
      </c>
      <c r="L183" s="17">
        <f>IFERROR(__xludf.DUMMYFUNCTION("""COMPUTED_VALUE"""),2.0)</f>
        <v>2</v>
      </c>
      <c r="M183" s="17">
        <f>IFERROR(__xludf.DUMMYFUNCTION("""COMPUTED_VALUE"""),38.0)</f>
        <v>38</v>
      </c>
      <c r="N183" s="17">
        <f>IFERROR(__xludf.DUMMYFUNCTION("""COMPUTED_VALUE"""),80.0)</f>
        <v>80</v>
      </c>
      <c r="O183" s="17">
        <f>IFERROR(__xludf.DUMMYFUNCTION("""COMPUTED_VALUE"""),0.393)</f>
        <v>0.393</v>
      </c>
      <c r="P183" s="17">
        <f>IFERROR(__xludf.DUMMYFUNCTION("""COMPUTED_VALUE"""),0.724)</f>
        <v>0.724</v>
      </c>
      <c r="Q183" s="34">
        <f>IFERROR(__xludf.DUMMYFUNCTION("""COMPUTED_VALUE"""),0.44)</f>
        <v>0.44</v>
      </c>
      <c r="R183" s="34">
        <f>IFERROR(__xludf.DUMMYFUNCTION("""COMPUTED_VALUE"""),0.45)</f>
        <v>0.45</v>
      </c>
      <c r="S183" s="34">
        <f>IFERROR(__xludf.DUMMYFUNCTION("""COMPUTED_VALUE"""),0.43)</f>
        <v>0.43</v>
      </c>
      <c r="T183" s="17" t="str">
        <f t="shared" si="1"/>
        <v>Jackson Holliday</v>
      </c>
    </row>
    <row r="184">
      <c r="A184" s="17">
        <f>IFERROR(__xludf.DUMMYFUNCTION("""COMPUTED_VALUE"""),183.0)</f>
        <v>183</v>
      </c>
      <c r="B184" s="17" t="str">
        <f>IFERROR(__xludf.DUMMYFUNCTION("""COMPUTED_VALUE"""),"Carter Jensen (KC - C,DH)")</f>
        <v>Carter Jensen (KC - C,DH)</v>
      </c>
      <c r="C184" s="17">
        <f>IFERROR(__xludf.DUMMYFUNCTION("""COMPUTED_VALUE"""),320.0)</f>
        <v>320</v>
      </c>
      <c r="D184" s="17">
        <f>IFERROR(__xludf.DUMMYFUNCTION("""COMPUTED_VALUE"""),44.0)</f>
        <v>44</v>
      </c>
      <c r="E184" s="17">
        <f>IFERROR(__xludf.DUMMYFUNCTION("""COMPUTED_VALUE"""),12.0)</f>
        <v>12</v>
      </c>
      <c r="F184" s="17">
        <f>IFERROR(__xludf.DUMMYFUNCTION("""COMPUTED_VALUE"""),45.0)</f>
        <v>45</v>
      </c>
      <c r="G184" s="17">
        <f>IFERROR(__xludf.DUMMYFUNCTION("""COMPUTED_VALUE"""),4.0)</f>
        <v>4</v>
      </c>
      <c r="H184" s="17">
        <f>IFERROR(__xludf.DUMMYFUNCTION("""COMPUTED_VALUE"""),0.246)</f>
        <v>0.246</v>
      </c>
      <c r="I184" s="17">
        <f>IFERROR(__xludf.DUMMYFUNCTION("""COMPUTED_VALUE"""),0.325)</f>
        <v>0.325</v>
      </c>
      <c r="J184" s="17">
        <f>IFERROR(__xludf.DUMMYFUNCTION("""COMPUTED_VALUE"""),79.0)</f>
        <v>79</v>
      </c>
      <c r="K184" s="17">
        <f>IFERROR(__xludf.DUMMYFUNCTION("""COMPUTED_VALUE"""),15.0)</f>
        <v>15</v>
      </c>
      <c r="L184" s="17">
        <f>IFERROR(__xludf.DUMMYFUNCTION("""COMPUTED_VALUE"""),2.0)</f>
        <v>2</v>
      </c>
      <c r="M184" s="17">
        <f>IFERROR(__xludf.DUMMYFUNCTION("""COMPUTED_VALUE"""),36.0)</f>
        <v>36</v>
      </c>
      <c r="N184" s="17">
        <f>IFERROR(__xludf.DUMMYFUNCTION("""COMPUTED_VALUE"""),92.0)</f>
        <v>92</v>
      </c>
      <c r="O184" s="17">
        <f>IFERROR(__xludf.DUMMYFUNCTION("""COMPUTED_VALUE"""),0.422)</f>
        <v>0.422</v>
      </c>
      <c r="P184" s="17">
        <f>IFERROR(__xludf.DUMMYFUNCTION("""COMPUTED_VALUE"""),0.747)</f>
        <v>0.747</v>
      </c>
      <c r="Q184" s="34">
        <f>IFERROR(__xludf.DUMMYFUNCTION("""COMPUTED_VALUE"""),0.33)</f>
        <v>0.33</v>
      </c>
      <c r="R184" s="34">
        <f>IFERROR(__xludf.DUMMYFUNCTION("""COMPUTED_VALUE"""),0.41)</f>
        <v>0.41</v>
      </c>
      <c r="S184" s="34">
        <f>IFERROR(__xludf.DUMMYFUNCTION("""COMPUTED_VALUE"""),0.25)</f>
        <v>0.25</v>
      </c>
      <c r="T184" s="17" t="str">
        <f t="shared" si="1"/>
        <v>Carter Jensen</v>
      </c>
    </row>
    <row r="185">
      <c r="A185" s="17">
        <f>IFERROR(__xludf.DUMMYFUNCTION("""COMPUTED_VALUE"""),184.0)</f>
        <v>184</v>
      </c>
      <c r="B185" s="17" t="str">
        <f>IFERROR(__xludf.DUMMYFUNCTION("""COMPUTED_VALUE"""),"Jorge Polanco (NYM - 2B,3B,DH) IL10")</f>
        <v>Jorge Polanco (NYM - 2B,3B,DH) IL10</v>
      </c>
      <c r="C185" s="17">
        <f>IFERROR(__xludf.DUMMYFUNCTION("""COMPUTED_VALUE"""),308.0)</f>
        <v>308</v>
      </c>
      <c r="D185" s="17">
        <f>IFERROR(__xludf.DUMMYFUNCTION("""COMPUTED_VALUE"""),42.0)</f>
        <v>42</v>
      </c>
      <c r="E185" s="17">
        <f>IFERROR(__xludf.DUMMYFUNCTION("""COMPUTED_VALUE"""),14.0)</f>
        <v>14</v>
      </c>
      <c r="F185" s="17">
        <f>IFERROR(__xludf.DUMMYFUNCTION("""COMPUTED_VALUE"""),46.0)</f>
        <v>46</v>
      </c>
      <c r="G185" s="17">
        <f>IFERROR(__xludf.DUMMYFUNCTION("""COMPUTED_VALUE"""),3.0)</f>
        <v>3</v>
      </c>
      <c r="H185" s="17">
        <f>IFERROR(__xludf.DUMMYFUNCTION("""COMPUTED_VALUE"""),0.244)</f>
        <v>0.244</v>
      </c>
      <c r="I185" s="17">
        <f>IFERROR(__xludf.DUMMYFUNCTION("""COMPUTED_VALUE"""),0.323)</f>
        <v>0.323</v>
      </c>
      <c r="J185" s="17">
        <f>IFERROR(__xludf.DUMMYFUNCTION("""COMPUTED_VALUE"""),75.0)</f>
        <v>75</v>
      </c>
      <c r="K185" s="17">
        <f>IFERROR(__xludf.DUMMYFUNCTION("""COMPUTED_VALUE"""),14.0)</f>
        <v>14</v>
      </c>
      <c r="L185" s="17">
        <f>IFERROR(__xludf.DUMMYFUNCTION("""COMPUTED_VALUE"""),0.0)</f>
        <v>0</v>
      </c>
      <c r="M185" s="17">
        <f>IFERROR(__xludf.DUMMYFUNCTION("""COMPUTED_VALUE"""),34.0)</f>
        <v>34</v>
      </c>
      <c r="N185" s="17">
        <f>IFERROR(__xludf.DUMMYFUNCTION("""COMPUTED_VALUE"""),70.0)</f>
        <v>70</v>
      </c>
      <c r="O185" s="17">
        <f>IFERROR(__xludf.DUMMYFUNCTION("""COMPUTED_VALUE"""),0.428)</f>
        <v>0.428</v>
      </c>
      <c r="P185" s="17">
        <f>IFERROR(__xludf.DUMMYFUNCTION("""COMPUTED_VALUE"""),0.751)</f>
        <v>0.751</v>
      </c>
      <c r="Q185" s="34">
        <f>IFERROR(__xludf.DUMMYFUNCTION("""COMPUTED_VALUE"""),0.21)</f>
        <v>0.21</v>
      </c>
      <c r="R185" s="34">
        <f>IFERROR(__xludf.DUMMYFUNCTION("""COMPUTED_VALUE"""),0.3)</f>
        <v>0.3</v>
      </c>
      <c r="S185" s="34">
        <f>IFERROR(__xludf.DUMMYFUNCTION("""COMPUTED_VALUE"""),0.12)</f>
        <v>0.12</v>
      </c>
      <c r="T185" s="17" t="str">
        <f t="shared" si="1"/>
        <v>Jorge Polanco</v>
      </c>
    </row>
    <row r="186">
      <c r="A186" s="17">
        <f>IFERROR(__xludf.DUMMYFUNCTION("""COMPUTED_VALUE"""),185.0)</f>
        <v>185</v>
      </c>
      <c r="B186" s="17" t="str">
        <f>IFERROR(__xludf.DUMMYFUNCTION("""COMPUTED_VALUE"""),"Brayan Rocchio (CLE - 2B,SS)")</f>
        <v>Brayan Rocchio (CLE - 2B,SS)</v>
      </c>
      <c r="C186" s="17">
        <f>IFERROR(__xludf.DUMMYFUNCTION("""COMPUTED_VALUE"""),382.0)</f>
        <v>382</v>
      </c>
      <c r="D186" s="17">
        <f>IFERROR(__xludf.DUMMYFUNCTION("""COMPUTED_VALUE"""),48.0)</f>
        <v>48</v>
      </c>
      <c r="E186" s="17">
        <f>IFERROR(__xludf.DUMMYFUNCTION("""COMPUTED_VALUE"""),8.0)</f>
        <v>8</v>
      </c>
      <c r="F186" s="17">
        <f>IFERROR(__xludf.DUMMYFUNCTION("""COMPUTED_VALUE"""),43.0)</f>
        <v>43</v>
      </c>
      <c r="G186" s="17">
        <f>IFERROR(__xludf.DUMMYFUNCTION("""COMPUTED_VALUE"""),10.0)</f>
        <v>10</v>
      </c>
      <c r="H186" s="17">
        <f>IFERROR(__xludf.DUMMYFUNCTION("""COMPUTED_VALUE"""),0.241)</f>
        <v>0.241</v>
      </c>
      <c r="I186" s="17">
        <f>IFERROR(__xludf.DUMMYFUNCTION("""COMPUTED_VALUE"""),0.31)</f>
        <v>0.31</v>
      </c>
      <c r="J186" s="17">
        <f>IFERROR(__xludf.DUMMYFUNCTION("""COMPUTED_VALUE"""),92.0)</f>
        <v>92</v>
      </c>
      <c r="K186" s="17">
        <f>IFERROR(__xludf.DUMMYFUNCTION("""COMPUTED_VALUE"""),20.0)</f>
        <v>20</v>
      </c>
      <c r="L186" s="17">
        <f>IFERROR(__xludf.DUMMYFUNCTION("""COMPUTED_VALUE"""),2.0)</f>
        <v>2</v>
      </c>
      <c r="M186" s="17">
        <f>IFERROR(__xludf.DUMMYFUNCTION("""COMPUTED_VALUE"""),35.0)</f>
        <v>35</v>
      </c>
      <c r="N186" s="17">
        <f>IFERROR(__xludf.DUMMYFUNCTION("""COMPUTED_VALUE"""),76.0)</f>
        <v>76</v>
      </c>
      <c r="O186" s="17">
        <f>IFERROR(__xludf.DUMMYFUNCTION("""COMPUTED_VALUE"""),0.367)</f>
        <v>0.367</v>
      </c>
      <c r="P186" s="17">
        <f>IFERROR(__xludf.DUMMYFUNCTION("""COMPUTED_VALUE"""),0.678)</f>
        <v>0.678</v>
      </c>
      <c r="Q186" s="34">
        <f>IFERROR(__xludf.DUMMYFUNCTION("""COMPUTED_VALUE"""),0.14)</f>
        <v>0.14</v>
      </c>
      <c r="R186" s="34">
        <f>IFERROR(__xludf.DUMMYFUNCTION("""COMPUTED_VALUE"""),0.15)</f>
        <v>0.15</v>
      </c>
      <c r="S186" s="34">
        <f>IFERROR(__xludf.DUMMYFUNCTION("""COMPUTED_VALUE"""),0.12)</f>
        <v>0.12</v>
      </c>
      <c r="T186" s="17" t="str">
        <f t="shared" si="1"/>
        <v>Brayan Rocchio</v>
      </c>
    </row>
    <row r="187">
      <c r="A187" s="17">
        <f>IFERROR(__xludf.DUMMYFUNCTION("""COMPUTED_VALUE"""),186.0)</f>
        <v>186</v>
      </c>
      <c r="B187" s="17" t="str">
        <f>IFERROR(__xludf.DUMMYFUNCTION("""COMPUTED_VALUE"""),"Ha-Seong Kim (ATL - 2B,SS) IL10")</f>
        <v>Ha-Seong Kim (ATL - 2B,SS) IL10</v>
      </c>
      <c r="C187" s="17">
        <f>IFERROR(__xludf.DUMMYFUNCTION("""COMPUTED_VALUE"""),328.0)</f>
        <v>328</v>
      </c>
      <c r="D187" s="17">
        <f>IFERROR(__xludf.DUMMYFUNCTION("""COMPUTED_VALUE"""),45.0)</f>
        <v>45</v>
      </c>
      <c r="E187" s="17">
        <f>IFERROR(__xludf.DUMMYFUNCTION("""COMPUTED_VALUE"""),8.0)</f>
        <v>8</v>
      </c>
      <c r="F187" s="17">
        <f>IFERROR(__xludf.DUMMYFUNCTION("""COMPUTED_VALUE"""),37.0)</f>
        <v>37</v>
      </c>
      <c r="G187" s="17">
        <f>IFERROR(__xludf.DUMMYFUNCTION("""COMPUTED_VALUE"""),14.0)</f>
        <v>14</v>
      </c>
      <c r="H187" s="17">
        <f>IFERROR(__xludf.DUMMYFUNCTION("""COMPUTED_VALUE"""),0.244)</f>
        <v>0.244</v>
      </c>
      <c r="I187" s="17">
        <f>IFERROR(__xludf.DUMMYFUNCTION("""COMPUTED_VALUE"""),0.331)</f>
        <v>0.331</v>
      </c>
      <c r="J187" s="17">
        <f>IFERROR(__xludf.DUMMYFUNCTION("""COMPUTED_VALUE"""),80.0)</f>
        <v>80</v>
      </c>
      <c r="K187" s="17">
        <f>IFERROR(__xludf.DUMMYFUNCTION("""COMPUTED_VALUE"""),14.0)</f>
        <v>14</v>
      </c>
      <c r="L187" s="17">
        <f>IFERROR(__xludf.DUMMYFUNCTION("""COMPUTED_VALUE"""),1.0)</f>
        <v>1</v>
      </c>
      <c r="M187" s="17">
        <f>IFERROR(__xludf.DUMMYFUNCTION("""COMPUTED_VALUE"""),41.0)</f>
        <v>41</v>
      </c>
      <c r="N187" s="17">
        <f>IFERROR(__xludf.DUMMYFUNCTION("""COMPUTED_VALUE"""),68.0)</f>
        <v>68</v>
      </c>
      <c r="O187" s="17">
        <f>IFERROR(__xludf.DUMMYFUNCTION("""COMPUTED_VALUE"""),0.372)</f>
        <v>0.372</v>
      </c>
      <c r="P187" s="17">
        <f>IFERROR(__xludf.DUMMYFUNCTION("""COMPUTED_VALUE"""),0.704)</f>
        <v>0.704</v>
      </c>
      <c r="Q187" s="34">
        <f>IFERROR(__xludf.DUMMYFUNCTION("""COMPUTED_VALUE"""),0.01)</f>
        <v>0.01</v>
      </c>
      <c r="R187" s="34">
        <f>IFERROR(__xludf.DUMMYFUNCTION("""COMPUTED_VALUE"""),0.02)</f>
        <v>0.02</v>
      </c>
      <c r="S187" s="34">
        <f>IFERROR(__xludf.DUMMYFUNCTION("""COMPUTED_VALUE"""),0.01)</f>
        <v>0.01</v>
      </c>
      <c r="T187" s="17" t="str">
        <f t="shared" si="1"/>
        <v>Ha-Seong Kim</v>
      </c>
    </row>
    <row r="188">
      <c r="A188" s="17">
        <f>IFERROR(__xludf.DUMMYFUNCTION("""COMPUTED_VALUE"""),187.0)</f>
        <v>187</v>
      </c>
      <c r="B188" s="17" t="str">
        <f>IFERROR(__xludf.DUMMYFUNCTION("""COMPUTED_VALUE"""),"Andrew Benintendi (CWS - LF,DH)")</f>
        <v>Andrew Benintendi (CWS - LF,DH)</v>
      </c>
      <c r="C188" s="17">
        <f>IFERROR(__xludf.DUMMYFUNCTION("""COMPUTED_VALUE"""),359.0)</f>
        <v>359</v>
      </c>
      <c r="D188" s="17">
        <f>IFERROR(__xludf.DUMMYFUNCTION("""COMPUTED_VALUE"""),45.0)</f>
        <v>45</v>
      </c>
      <c r="E188" s="17">
        <f>IFERROR(__xludf.DUMMYFUNCTION("""COMPUTED_VALUE"""),12.0)</f>
        <v>12</v>
      </c>
      <c r="F188" s="17">
        <f>IFERROR(__xludf.DUMMYFUNCTION("""COMPUTED_VALUE"""),46.0)</f>
        <v>46</v>
      </c>
      <c r="G188" s="17">
        <f>IFERROR(__xludf.DUMMYFUNCTION("""COMPUTED_VALUE"""),3.0)</f>
        <v>3</v>
      </c>
      <c r="H188" s="17">
        <f>IFERROR(__xludf.DUMMYFUNCTION("""COMPUTED_VALUE"""),0.245)</f>
        <v>0.245</v>
      </c>
      <c r="I188" s="17">
        <f>IFERROR(__xludf.DUMMYFUNCTION("""COMPUTED_VALUE"""),0.314)</f>
        <v>0.314</v>
      </c>
      <c r="J188" s="17">
        <f>IFERROR(__xludf.DUMMYFUNCTION("""COMPUTED_VALUE"""),88.0)</f>
        <v>88</v>
      </c>
      <c r="K188" s="17">
        <f>IFERROR(__xludf.DUMMYFUNCTION("""COMPUTED_VALUE"""),15.0)</f>
        <v>15</v>
      </c>
      <c r="L188" s="17">
        <f>IFERROR(__xludf.DUMMYFUNCTION("""COMPUTED_VALUE"""),1.0)</f>
        <v>1</v>
      </c>
      <c r="M188" s="17">
        <f>IFERROR(__xludf.DUMMYFUNCTION("""COMPUTED_VALUE"""),35.0)</f>
        <v>35</v>
      </c>
      <c r="N188" s="17">
        <f>IFERROR(__xludf.DUMMYFUNCTION("""COMPUTED_VALUE"""),77.0)</f>
        <v>77</v>
      </c>
      <c r="O188" s="17">
        <f>IFERROR(__xludf.DUMMYFUNCTION("""COMPUTED_VALUE"""),0.399)</f>
        <v>0.399</v>
      </c>
      <c r="P188" s="17">
        <f>IFERROR(__xludf.DUMMYFUNCTION("""COMPUTED_VALUE"""),0.713)</f>
        <v>0.713</v>
      </c>
      <c r="Q188" s="34">
        <f>IFERROR(__xludf.DUMMYFUNCTION("""COMPUTED_VALUE"""),0.02)</f>
        <v>0.02</v>
      </c>
      <c r="R188" s="34">
        <f>IFERROR(__xludf.DUMMYFUNCTION("""COMPUTED_VALUE"""),0.01)</f>
        <v>0.01</v>
      </c>
      <c r="S188" s="34">
        <f>IFERROR(__xludf.DUMMYFUNCTION("""COMPUTED_VALUE"""),0.03)</f>
        <v>0.03</v>
      </c>
      <c r="T188" s="17" t="str">
        <f t="shared" si="1"/>
        <v>Andrew Benintendi</v>
      </c>
    </row>
    <row r="189">
      <c r="A189" s="17">
        <f>IFERROR(__xludf.DUMMYFUNCTION("""COMPUTED_VALUE"""),188.0)</f>
        <v>188</v>
      </c>
      <c r="B189" s="17" t="str">
        <f>IFERROR(__xludf.DUMMYFUNCTION("""COMPUTED_VALUE"""),"Spencer Horwitz (PIT - 1B)")</f>
        <v>Spencer Horwitz (PIT - 1B)</v>
      </c>
      <c r="C189" s="17">
        <f>IFERROR(__xludf.DUMMYFUNCTION("""COMPUTED_VALUE"""),339.0)</f>
        <v>339</v>
      </c>
      <c r="D189" s="17">
        <f>IFERROR(__xludf.DUMMYFUNCTION("""COMPUTED_VALUE"""),46.0)</f>
        <v>46</v>
      </c>
      <c r="E189" s="17">
        <f>IFERROR(__xludf.DUMMYFUNCTION("""COMPUTED_VALUE"""),9.0)</f>
        <v>9</v>
      </c>
      <c r="F189" s="17">
        <f>IFERROR(__xludf.DUMMYFUNCTION("""COMPUTED_VALUE"""),43.0)</f>
        <v>43</v>
      </c>
      <c r="G189" s="17">
        <f>IFERROR(__xludf.DUMMYFUNCTION("""COMPUTED_VALUE"""),1.0)</f>
        <v>1</v>
      </c>
      <c r="H189" s="17">
        <f>IFERROR(__xludf.DUMMYFUNCTION("""COMPUTED_VALUE"""),0.262)</f>
        <v>0.262</v>
      </c>
      <c r="I189" s="17">
        <f>IFERROR(__xludf.DUMMYFUNCTION("""COMPUTED_VALUE"""),0.354)</f>
        <v>0.354</v>
      </c>
      <c r="J189" s="17">
        <f>IFERROR(__xludf.DUMMYFUNCTION("""COMPUTED_VALUE"""),89.0)</f>
        <v>89</v>
      </c>
      <c r="K189" s="17">
        <f>IFERROR(__xludf.DUMMYFUNCTION("""COMPUTED_VALUE"""),20.0)</f>
        <v>20</v>
      </c>
      <c r="L189" s="17">
        <f>IFERROR(__xludf.DUMMYFUNCTION("""COMPUTED_VALUE"""),1.0)</f>
        <v>1</v>
      </c>
      <c r="M189" s="17">
        <f>IFERROR(__xludf.DUMMYFUNCTION("""COMPUTED_VALUE"""),45.0)</f>
        <v>45</v>
      </c>
      <c r="N189" s="17">
        <f>IFERROR(__xludf.DUMMYFUNCTION("""COMPUTED_VALUE"""),69.0)</f>
        <v>69</v>
      </c>
      <c r="O189" s="17">
        <f>IFERROR(__xludf.DUMMYFUNCTION("""COMPUTED_VALUE"""),0.405)</f>
        <v>0.405</v>
      </c>
      <c r="P189" s="17">
        <f>IFERROR(__xludf.DUMMYFUNCTION("""COMPUTED_VALUE"""),0.759)</f>
        <v>0.759</v>
      </c>
      <c r="Q189" s="34">
        <f>IFERROR(__xludf.DUMMYFUNCTION("""COMPUTED_VALUE"""),0.02)</f>
        <v>0.02</v>
      </c>
      <c r="R189" s="34">
        <f>IFERROR(__xludf.DUMMYFUNCTION("""COMPUTED_VALUE"""),0.02)</f>
        <v>0.02</v>
      </c>
      <c r="S189" s="34">
        <f>IFERROR(__xludf.DUMMYFUNCTION("""COMPUTED_VALUE"""),0.01)</f>
        <v>0.01</v>
      </c>
      <c r="T189" s="17" t="str">
        <f t="shared" si="1"/>
        <v>Spencer Horwitz</v>
      </c>
    </row>
    <row r="190">
      <c r="A190" s="17">
        <f>IFERROR(__xludf.DUMMYFUNCTION("""COMPUTED_VALUE"""),189.0)</f>
        <v>189</v>
      </c>
      <c r="B190" s="17" t="str">
        <f>IFERROR(__xludf.DUMMYFUNCTION("""COMPUTED_VALUE"""),"Jesus Sanchez (TOR - LF,CF,RF)")</f>
        <v>Jesus Sanchez (TOR - LF,CF,RF)</v>
      </c>
      <c r="C190" s="17">
        <f>IFERROR(__xludf.DUMMYFUNCTION("""COMPUTED_VALUE"""),309.0)</f>
        <v>309</v>
      </c>
      <c r="D190" s="17">
        <f>IFERROR(__xludf.DUMMYFUNCTION("""COMPUTED_VALUE"""),42.0)</f>
        <v>42</v>
      </c>
      <c r="E190" s="17">
        <f>IFERROR(__xludf.DUMMYFUNCTION("""COMPUTED_VALUE"""),12.0)</f>
        <v>12</v>
      </c>
      <c r="F190" s="17">
        <f>IFERROR(__xludf.DUMMYFUNCTION("""COMPUTED_VALUE"""),43.0)</f>
        <v>43</v>
      </c>
      <c r="G190" s="17">
        <f>IFERROR(__xludf.DUMMYFUNCTION("""COMPUTED_VALUE"""),6.0)</f>
        <v>6</v>
      </c>
      <c r="H190" s="17">
        <f>IFERROR(__xludf.DUMMYFUNCTION("""COMPUTED_VALUE"""),0.247)</f>
        <v>0.247</v>
      </c>
      <c r="I190" s="17">
        <f>IFERROR(__xludf.DUMMYFUNCTION("""COMPUTED_VALUE"""),0.318)</f>
        <v>0.318</v>
      </c>
      <c r="J190" s="17">
        <f>IFERROR(__xludf.DUMMYFUNCTION("""COMPUTED_VALUE"""),76.0)</f>
        <v>76</v>
      </c>
      <c r="K190" s="17">
        <f>IFERROR(__xludf.DUMMYFUNCTION("""COMPUTED_VALUE"""),15.0)</f>
        <v>15</v>
      </c>
      <c r="L190" s="17">
        <f>IFERROR(__xludf.DUMMYFUNCTION("""COMPUTED_VALUE"""),1.0)</f>
        <v>1</v>
      </c>
      <c r="M190" s="17">
        <f>IFERROR(__xludf.DUMMYFUNCTION("""COMPUTED_VALUE"""),29.0)</f>
        <v>29</v>
      </c>
      <c r="N190" s="17">
        <f>IFERROR(__xludf.DUMMYFUNCTION("""COMPUTED_VALUE"""),80.0)</f>
        <v>80</v>
      </c>
      <c r="O190" s="17">
        <f>IFERROR(__xludf.DUMMYFUNCTION("""COMPUTED_VALUE"""),0.424)</f>
        <v>0.424</v>
      </c>
      <c r="P190" s="17">
        <f>IFERROR(__xludf.DUMMYFUNCTION("""COMPUTED_VALUE"""),0.742)</f>
        <v>0.742</v>
      </c>
      <c r="Q190" s="34">
        <f>IFERROR(__xludf.DUMMYFUNCTION("""COMPUTED_VALUE"""),0.04)</f>
        <v>0.04</v>
      </c>
      <c r="R190" s="34">
        <f>IFERROR(__xludf.DUMMYFUNCTION("""COMPUTED_VALUE"""),0.05)</f>
        <v>0.05</v>
      </c>
      <c r="S190" s="34">
        <f>IFERROR(__xludf.DUMMYFUNCTION("""COMPUTED_VALUE"""),0.03)</f>
        <v>0.03</v>
      </c>
      <c r="T190" s="17" t="str">
        <f t="shared" si="1"/>
        <v>Jesus Sanchez</v>
      </c>
    </row>
    <row r="191">
      <c r="A191" s="17">
        <f>IFERROR(__xludf.DUMMYFUNCTION("""COMPUTED_VALUE"""),190.0)</f>
        <v>190</v>
      </c>
      <c r="B191" s="17" t="str">
        <f>IFERROR(__xludf.DUMMYFUNCTION("""COMPUTED_VALUE"""),"Matt Wallner (MIN - LF,RF)")</f>
        <v>Matt Wallner (MIN - LF,RF)</v>
      </c>
      <c r="C191" s="17">
        <f>IFERROR(__xludf.DUMMYFUNCTION("""COMPUTED_VALUE"""),310.0)</f>
        <v>310</v>
      </c>
      <c r="D191" s="17">
        <f>IFERROR(__xludf.DUMMYFUNCTION("""COMPUTED_VALUE"""),45.0)</f>
        <v>45</v>
      </c>
      <c r="E191" s="17">
        <f>IFERROR(__xludf.DUMMYFUNCTION("""COMPUTED_VALUE"""),16.0)</f>
        <v>16</v>
      </c>
      <c r="F191" s="17">
        <f>IFERROR(__xludf.DUMMYFUNCTION("""COMPUTED_VALUE"""),47.0)</f>
        <v>47</v>
      </c>
      <c r="G191" s="17">
        <f>IFERROR(__xludf.DUMMYFUNCTION("""COMPUTED_VALUE"""),3.0)</f>
        <v>3</v>
      </c>
      <c r="H191" s="17">
        <f>IFERROR(__xludf.DUMMYFUNCTION("""COMPUTED_VALUE"""),0.224)</f>
        <v>0.224</v>
      </c>
      <c r="I191" s="17">
        <f>IFERROR(__xludf.DUMMYFUNCTION("""COMPUTED_VALUE"""),0.327)</f>
        <v>0.327</v>
      </c>
      <c r="J191" s="17">
        <f>IFERROR(__xludf.DUMMYFUNCTION("""COMPUTED_VALUE"""),70.0)</f>
        <v>70</v>
      </c>
      <c r="K191" s="17">
        <f>IFERROR(__xludf.DUMMYFUNCTION("""COMPUTED_VALUE"""),15.0)</f>
        <v>15</v>
      </c>
      <c r="L191" s="17">
        <f>IFERROR(__xludf.DUMMYFUNCTION("""COMPUTED_VALUE"""),1.0)</f>
        <v>1</v>
      </c>
      <c r="M191" s="17">
        <f>IFERROR(__xludf.DUMMYFUNCTION("""COMPUTED_VALUE"""),39.0)</f>
        <v>39</v>
      </c>
      <c r="N191" s="17">
        <f>IFERROR(__xludf.DUMMYFUNCTION("""COMPUTED_VALUE"""),114.0)</f>
        <v>114</v>
      </c>
      <c r="O191" s="17">
        <f>IFERROR(__xludf.DUMMYFUNCTION("""COMPUTED_VALUE"""),0.44)</f>
        <v>0.44</v>
      </c>
      <c r="P191" s="17">
        <f>IFERROR(__xludf.DUMMYFUNCTION("""COMPUTED_VALUE"""),0.767)</f>
        <v>0.767</v>
      </c>
      <c r="Q191" s="34">
        <f>IFERROR(__xludf.DUMMYFUNCTION("""COMPUTED_VALUE"""),0.02)</f>
        <v>0.02</v>
      </c>
      <c r="R191" s="34">
        <f>IFERROR(__xludf.DUMMYFUNCTION("""COMPUTED_VALUE"""),0.03)</f>
        <v>0.03</v>
      </c>
      <c r="S191" s="34">
        <f>IFERROR(__xludf.DUMMYFUNCTION("""COMPUTED_VALUE"""),0.01)</f>
        <v>0.01</v>
      </c>
      <c r="T191" s="17" t="str">
        <f t="shared" si="1"/>
        <v>Matt Wallner</v>
      </c>
    </row>
    <row r="192">
      <c r="A192" s="17">
        <f>IFERROR(__xludf.DUMMYFUNCTION("""COMPUTED_VALUE"""),191.0)</f>
        <v>191</v>
      </c>
      <c r="B192" s="17" t="str">
        <f>IFERROR(__xludf.DUMMYFUNCTION("""COMPUTED_VALUE"""),"Victor Scott (STL - CF)")</f>
        <v>Victor Scott (STL - CF)</v>
      </c>
      <c r="C192" s="17">
        <f>IFERROR(__xludf.DUMMYFUNCTION("""COMPUTED_VALUE"""),371.0)</f>
        <v>371</v>
      </c>
      <c r="D192" s="17">
        <f>IFERROR(__xludf.DUMMYFUNCTION("""COMPUTED_VALUE"""),47.0)</f>
        <v>47</v>
      </c>
      <c r="E192" s="17">
        <f>IFERROR(__xludf.DUMMYFUNCTION("""COMPUTED_VALUE"""),6.0)</f>
        <v>6</v>
      </c>
      <c r="F192" s="17">
        <f>IFERROR(__xludf.DUMMYFUNCTION("""COMPUTED_VALUE"""),33.0)</f>
        <v>33</v>
      </c>
      <c r="G192" s="17">
        <f>IFERROR(__xludf.DUMMYFUNCTION("""COMPUTED_VALUE"""),27.0)</f>
        <v>27</v>
      </c>
      <c r="H192" s="17">
        <f>IFERROR(__xludf.DUMMYFUNCTION("""COMPUTED_VALUE"""),0.221)</f>
        <v>0.221</v>
      </c>
      <c r="I192" s="17">
        <f>IFERROR(__xludf.DUMMYFUNCTION("""COMPUTED_VALUE"""),0.29)</f>
        <v>0.29</v>
      </c>
      <c r="J192" s="17">
        <f>IFERROR(__xludf.DUMMYFUNCTION("""COMPUTED_VALUE"""),82.0)</f>
        <v>82</v>
      </c>
      <c r="K192" s="17">
        <f>IFERROR(__xludf.DUMMYFUNCTION("""COMPUTED_VALUE"""),14.0)</f>
        <v>14</v>
      </c>
      <c r="L192" s="17">
        <f>IFERROR(__xludf.DUMMYFUNCTION("""COMPUTED_VALUE"""),2.0)</f>
        <v>2</v>
      </c>
      <c r="M192" s="17">
        <f>IFERROR(__xludf.DUMMYFUNCTION("""COMPUTED_VALUE"""),33.0)</f>
        <v>33</v>
      </c>
      <c r="N192" s="17">
        <f>IFERROR(__xludf.DUMMYFUNCTION("""COMPUTED_VALUE"""),95.0)</f>
        <v>95</v>
      </c>
      <c r="O192" s="17">
        <f>IFERROR(__xludf.DUMMYFUNCTION("""COMPUTED_VALUE"""),0.315)</f>
        <v>0.315</v>
      </c>
      <c r="P192" s="17">
        <f>IFERROR(__xludf.DUMMYFUNCTION("""COMPUTED_VALUE"""),0.605)</f>
        <v>0.605</v>
      </c>
      <c r="Q192" s="34">
        <f>IFERROR(__xludf.DUMMYFUNCTION("""COMPUTED_VALUE"""),0.02)</f>
        <v>0.02</v>
      </c>
      <c r="R192" s="34">
        <f>IFERROR(__xludf.DUMMYFUNCTION("""COMPUTED_VALUE"""),0.03)</f>
        <v>0.03</v>
      </c>
      <c r="S192" s="34">
        <f>IFERROR(__xludf.DUMMYFUNCTION("""COMPUTED_VALUE"""),0.02)</f>
        <v>0.02</v>
      </c>
      <c r="T192" s="17" t="str">
        <f t="shared" si="1"/>
        <v>Victor Scott</v>
      </c>
    </row>
    <row r="193">
      <c r="A193" s="17">
        <f>IFERROR(__xludf.DUMMYFUNCTION("""COMPUTED_VALUE"""),192.0)</f>
        <v>192</v>
      </c>
      <c r="B193" s="17" t="str">
        <f>IFERROR(__xludf.DUMMYFUNCTION("""COMPUTED_VALUE"""),"Jordan Beck (COL - LF,RF)")</f>
        <v>Jordan Beck (COL - LF,RF)</v>
      </c>
      <c r="C193" s="17">
        <f>IFERROR(__xludf.DUMMYFUNCTION("""COMPUTED_VALUE"""),316.0)</f>
        <v>316</v>
      </c>
      <c r="D193" s="17">
        <f>IFERROR(__xludf.DUMMYFUNCTION("""COMPUTED_VALUE"""),41.0)</f>
        <v>41</v>
      </c>
      <c r="E193" s="17">
        <f>IFERROR(__xludf.DUMMYFUNCTION("""COMPUTED_VALUE"""),10.0)</f>
        <v>10</v>
      </c>
      <c r="F193" s="17">
        <f>IFERROR(__xludf.DUMMYFUNCTION("""COMPUTED_VALUE"""),39.0)</f>
        <v>39</v>
      </c>
      <c r="G193" s="17">
        <f>IFERROR(__xludf.DUMMYFUNCTION("""COMPUTED_VALUE"""),11.0)</f>
        <v>11</v>
      </c>
      <c r="H193" s="17">
        <f>IFERROR(__xludf.DUMMYFUNCTION("""COMPUTED_VALUE"""),0.247)</f>
        <v>0.247</v>
      </c>
      <c r="I193" s="17">
        <f>IFERROR(__xludf.DUMMYFUNCTION("""COMPUTED_VALUE"""),0.31)</f>
        <v>0.31</v>
      </c>
      <c r="J193" s="17">
        <f>IFERROR(__xludf.DUMMYFUNCTION("""COMPUTED_VALUE"""),78.0)</f>
        <v>78</v>
      </c>
      <c r="K193" s="17">
        <f>IFERROR(__xludf.DUMMYFUNCTION("""COMPUTED_VALUE"""),16.0)</f>
        <v>16</v>
      </c>
      <c r="L193" s="17">
        <f>IFERROR(__xludf.DUMMYFUNCTION("""COMPUTED_VALUE"""),2.0)</f>
        <v>2</v>
      </c>
      <c r="M193" s="17">
        <f>IFERROR(__xludf.DUMMYFUNCTION("""COMPUTED_VALUE"""),28.0)</f>
        <v>28</v>
      </c>
      <c r="N193" s="17">
        <f>IFERROR(__xludf.DUMMYFUNCTION("""COMPUTED_VALUE"""),96.0)</f>
        <v>96</v>
      </c>
      <c r="O193" s="17">
        <f>IFERROR(__xludf.DUMMYFUNCTION("""COMPUTED_VALUE"""),0.407)</f>
        <v>0.407</v>
      </c>
      <c r="P193" s="17">
        <f>IFERROR(__xludf.DUMMYFUNCTION("""COMPUTED_VALUE"""),0.717)</f>
        <v>0.717</v>
      </c>
      <c r="Q193" s="34">
        <f>IFERROR(__xludf.DUMMYFUNCTION("""COMPUTED_VALUE"""),0.03)</f>
        <v>0.03</v>
      </c>
      <c r="R193" s="34">
        <f>IFERROR(__xludf.DUMMYFUNCTION("""COMPUTED_VALUE"""),0.05)</f>
        <v>0.05</v>
      </c>
      <c r="S193" s="34">
        <f>IFERROR(__xludf.DUMMYFUNCTION("""COMPUTED_VALUE"""),0.01)</f>
        <v>0.01</v>
      </c>
      <c r="T193" s="17" t="str">
        <f t="shared" si="1"/>
        <v>Jordan Beck</v>
      </c>
    </row>
    <row r="194">
      <c r="A194" s="17">
        <f>IFERROR(__xludf.DUMMYFUNCTION("""COMPUTED_VALUE"""),193.0)</f>
        <v>193</v>
      </c>
      <c r="B194" s="17" t="str">
        <f>IFERROR(__xludf.DUMMYFUNCTION("""COMPUTED_VALUE"""),"Mike Yastrzemski (ATL - LF,CF,RF)")</f>
        <v>Mike Yastrzemski (ATL - LF,CF,RF)</v>
      </c>
      <c r="C194" s="17">
        <f>IFERROR(__xludf.DUMMYFUNCTION("""COMPUTED_VALUE"""),342.0)</f>
        <v>342</v>
      </c>
      <c r="D194" s="17">
        <f>IFERROR(__xludf.DUMMYFUNCTION("""COMPUTED_VALUE"""),49.0)</f>
        <v>49</v>
      </c>
      <c r="E194" s="17">
        <f>IFERROR(__xludf.DUMMYFUNCTION("""COMPUTED_VALUE"""),13.0)</f>
        <v>13</v>
      </c>
      <c r="F194" s="17">
        <f>IFERROR(__xludf.DUMMYFUNCTION("""COMPUTED_VALUE"""),44.0)</f>
        <v>44</v>
      </c>
      <c r="G194" s="17">
        <f>IFERROR(__xludf.DUMMYFUNCTION("""COMPUTED_VALUE"""),4.0)</f>
        <v>4</v>
      </c>
      <c r="H194" s="17">
        <f>IFERROR(__xludf.DUMMYFUNCTION("""COMPUTED_VALUE"""),0.229)</f>
        <v>0.229</v>
      </c>
      <c r="I194" s="17">
        <f>IFERROR(__xludf.DUMMYFUNCTION("""COMPUTED_VALUE"""),0.323)</f>
        <v>0.323</v>
      </c>
      <c r="J194" s="17">
        <f>IFERROR(__xludf.DUMMYFUNCTION("""COMPUTED_VALUE"""),78.0)</f>
        <v>78</v>
      </c>
      <c r="K194" s="17">
        <f>IFERROR(__xludf.DUMMYFUNCTION("""COMPUTED_VALUE"""),18.0)</f>
        <v>18</v>
      </c>
      <c r="L194" s="17">
        <f>IFERROR(__xludf.DUMMYFUNCTION("""COMPUTED_VALUE"""),2.0)</f>
        <v>2</v>
      </c>
      <c r="M194" s="17">
        <f>IFERROR(__xludf.DUMMYFUNCTION("""COMPUTED_VALUE"""),45.0)</f>
        <v>45</v>
      </c>
      <c r="N194" s="17">
        <f>IFERROR(__xludf.DUMMYFUNCTION("""COMPUTED_VALUE"""),93.0)</f>
        <v>93</v>
      </c>
      <c r="O194" s="17">
        <f>IFERROR(__xludf.DUMMYFUNCTION("""COMPUTED_VALUE"""),0.403)</f>
        <v>0.403</v>
      </c>
      <c r="P194" s="17">
        <f>IFERROR(__xludf.DUMMYFUNCTION("""COMPUTED_VALUE"""),0.727)</f>
        <v>0.727</v>
      </c>
      <c r="Q194" s="34">
        <f>IFERROR(__xludf.DUMMYFUNCTION("""COMPUTED_VALUE"""),0.02)</f>
        <v>0.02</v>
      </c>
      <c r="R194" s="34">
        <f>IFERROR(__xludf.DUMMYFUNCTION("""COMPUTED_VALUE"""),0.02)</f>
        <v>0.02</v>
      </c>
      <c r="S194" s="34">
        <f>IFERROR(__xludf.DUMMYFUNCTION("""COMPUTED_VALUE"""),0.02)</f>
        <v>0.02</v>
      </c>
      <c r="T194" s="17" t="str">
        <f t="shared" si="1"/>
        <v>Mike Yastrzemski</v>
      </c>
    </row>
    <row r="195">
      <c r="A195" s="17">
        <f>IFERROR(__xludf.DUMMYFUNCTION("""COMPUTED_VALUE"""),194.0)</f>
        <v>194</v>
      </c>
      <c r="B195" s="17" t="str">
        <f>IFERROR(__xludf.DUMMYFUNCTION("""COMPUTED_VALUE"""),"Gabriel Moreno (ARI - C)")</f>
        <v>Gabriel Moreno (ARI - C)</v>
      </c>
      <c r="C195" s="17">
        <f>IFERROR(__xludf.DUMMYFUNCTION("""COMPUTED_VALUE"""),295.0)</f>
        <v>295</v>
      </c>
      <c r="D195" s="17">
        <f>IFERROR(__xludf.DUMMYFUNCTION("""COMPUTED_VALUE"""),39.0)</f>
        <v>39</v>
      </c>
      <c r="E195" s="17">
        <f>IFERROR(__xludf.DUMMYFUNCTION("""COMPUTED_VALUE"""),8.0)</f>
        <v>8</v>
      </c>
      <c r="F195" s="17">
        <f>IFERROR(__xludf.DUMMYFUNCTION("""COMPUTED_VALUE"""),40.0)</f>
        <v>40</v>
      </c>
      <c r="G195" s="17">
        <f>IFERROR(__xludf.DUMMYFUNCTION("""COMPUTED_VALUE"""),3.0)</f>
        <v>3</v>
      </c>
      <c r="H195" s="17">
        <f>IFERROR(__xludf.DUMMYFUNCTION("""COMPUTED_VALUE"""),0.275)</f>
        <v>0.275</v>
      </c>
      <c r="I195" s="17">
        <f>IFERROR(__xludf.DUMMYFUNCTION("""COMPUTED_VALUE"""),0.352)</f>
        <v>0.352</v>
      </c>
      <c r="J195" s="17">
        <f>IFERROR(__xludf.DUMMYFUNCTION("""COMPUTED_VALUE"""),81.0)</f>
        <v>81</v>
      </c>
      <c r="K195" s="17">
        <f>IFERROR(__xludf.DUMMYFUNCTION("""COMPUTED_VALUE"""),16.0)</f>
        <v>16</v>
      </c>
      <c r="L195" s="17">
        <f>IFERROR(__xludf.DUMMYFUNCTION("""COMPUTED_VALUE"""),1.0)</f>
        <v>1</v>
      </c>
      <c r="M195" s="17">
        <f>IFERROR(__xludf.DUMMYFUNCTION("""COMPUTED_VALUE"""),32.0)</f>
        <v>32</v>
      </c>
      <c r="N195" s="17">
        <f>IFERROR(__xludf.DUMMYFUNCTION("""COMPUTED_VALUE"""),57.0)</f>
        <v>57</v>
      </c>
      <c r="O195" s="17">
        <f>IFERROR(__xludf.DUMMYFUNCTION("""COMPUTED_VALUE"""),0.414)</f>
        <v>0.414</v>
      </c>
      <c r="P195" s="17">
        <f>IFERROR(__xludf.DUMMYFUNCTION("""COMPUTED_VALUE"""),0.766)</f>
        <v>0.766</v>
      </c>
      <c r="Q195" s="34">
        <f>IFERROR(__xludf.DUMMYFUNCTION("""COMPUTED_VALUE"""),0.17)</f>
        <v>0.17</v>
      </c>
      <c r="R195" s="34">
        <f>IFERROR(__xludf.DUMMYFUNCTION("""COMPUTED_VALUE"""),0.1)</f>
        <v>0.1</v>
      </c>
      <c r="S195" s="34">
        <f>IFERROR(__xludf.DUMMYFUNCTION("""COMPUTED_VALUE"""),0.23)</f>
        <v>0.23</v>
      </c>
      <c r="T195" s="17" t="str">
        <f t="shared" si="1"/>
        <v>Gabriel Moreno</v>
      </c>
    </row>
    <row r="196">
      <c r="A196" s="17">
        <f>IFERROR(__xludf.DUMMYFUNCTION("""COMPUTED_VALUE"""),195.0)</f>
        <v>195</v>
      </c>
      <c r="B196" s="17" t="str">
        <f>IFERROR(__xludf.DUMMYFUNCTION("""COMPUTED_VALUE"""),"Dillon Dingler (DET - C)")</f>
        <v>Dillon Dingler (DET - C)</v>
      </c>
      <c r="C196" s="17">
        <f>IFERROR(__xludf.DUMMYFUNCTION("""COMPUTED_VALUE"""),338.0)</f>
        <v>338</v>
      </c>
      <c r="D196" s="17">
        <f>IFERROR(__xludf.DUMMYFUNCTION("""COMPUTED_VALUE"""),41.0)</f>
        <v>41</v>
      </c>
      <c r="E196" s="17">
        <f>IFERROR(__xludf.DUMMYFUNCTION("""COMPUTED_VALUE"""),12.0)</f>
        <v>12</v>
      </c>
      <c r="F196" s="17">
        <f>IFERROR(__xludf.DUMMYFUNCTION("""COMPUTED_VALUE"""),48.0)</f>
        <v>48</v>
      </c>
      <c r="G196" s="17">
        <f>IFERROR(__xludf.DUMMYFUNCTION("""COMPUTED_VALUE"""),1.0)</f>
        <v>1</v>
      </c>
      <c r="H196" s="17">
        <f>IFERROR(__xludf.DUMMYFUNCTION("""COMPUTED_VALUE"""),0.247)</f>
        <v>0.247</v>
      </c>
      <c r="I196" s="17">
        <f>IFERROR(__xludf.DUMMYFUNCTION("""COMPUTED_VALUE"""),0.31)</f>
        <v>0.31</v>
      </c>
      <c r="J196" s="17">
        <f>IFERROR(__xludf.DUMMYFUNCTION("""COMPUTED_VALUE"""),83.0)</f>
        <v>83</v>
      </c>
      <c r="K196" s="17">
        <f>IFERROR(__xludf.DUMMYFUNCTION("""COMPUTED_VALUE"""),18.0)</f>
        <v>18</v>
      </c>
      <c r="L196" s="17">
        <f>IFERROR(__xludf.DUMMYFUNCTION("""COMPUTED_VALUE"""),1.0)</f>
        <v>1</v>
      </c>
      <c r="M196" s="17">
        <f>IFERROR(__xludf.DUMMYFUNCTION("""COMPUTED_VALUE"""),25.0)</f>
        <v>25</v>
      </c>
      <c r="N196" s="17">
        <f>IFERROR(__xludf.DUMMYFUNCTION("""COMPUTED_VALUE"""),89.0)</f>
        <v>89</v>
      </c>
      <c r="O196" s="17">
        <f>IFERROR(__xludf.DUMMYFUNCTION("""COMPUTED_VALUE"""),0.41)</f>
        <v>0.41</v>
      </c>
      <c r="P196" s="17">
        <f>IFERROR(__xludf.DUMMYFUNCTION("""COMPUTED_VALUE"""),0.72)</f>
        <v>0.72</v>
      </c>
      <c r="Q196" s="34">
        <f>IFERROR(__xludf.DUMMYFUNCTION("""COMPUTED_VALUE"""),0.42)</f>
        <v>0.42</v>
      </c>
      <c r="R196" s="34">
        <f>IFERROR(__xludf.DUMMYFUNCTION("""COMPUTED_VALUE"""),0.42)</f>
        <v>0.42</v>
      </c>
      <c r="S196" s="34">
        <f>IFERROR(__xludf.DUMMYFUNCTION("""COMPUTED_VALUE"""),0.42)</f>
        <v>0.42</v>
      </c>
      <c r="T196" s="17" t="str">
        <f t="shared" si="1"/>
        <v>Dillon Dingler</v>
      </c>
    </row>
    <row r="197">
      <c r="A197" s="17">
        <f>IFERROR(__xludf.DUMMYFUNCTION("""COMPUTED_VALUE"""),196.0)</f>
        <v>196</v>
      </c>
      <c r="B197" s="17" t="str">
        <f>IFERROR(__xludf.DUMMYFUNCTION("""COMPUTED_VALUE"""),"Ke'Bryan Hayes (CIN - 3B)")</f>
        <v>Ke'Bryan Hayes (CIN - 3B)</v>
      </c>
      <c r="C197" s="17">
        <f>IFERROR(__xludf.DUMMYFUNCTION("""COMPUTED_VALUE"""),398.0)</f>
        <v>398</v>
      </c>
      <c r="D197" s="17">
        <f>IFERROR(__xludf.DUMMYFUNCTION("""COMPUTED_VALUE"""),46.0)</f>
        <v>46</v>
      </c>
      <c r="E197" s="17">
        <f>IFERROR(__xludf.DUMMYFUNCTION("""COMPUTED_VALUE"""),8.0)</f>
        <v>8</v>
      </c>
      <c r="F197" s="17">
        <f>IFERROR(__xludf.DUMMYFUNCTION("""COMPUTED_VALUE"""),42.0)</f>
        <v>42</v>
      </c>
      <c r="G197" s="17">
        <f>IFERROR(__xludf.DUMMYFUNCTION("""COMPUTED_VALUE"""),9.0)</f>
        <v>9</v>
      </c>
      <c r="H197" s="17">
        <f>IFERROR(__xludf.DUMMYFUNCTION("""COMPUTED_VALUE"""),0.24)</f>
        <v>0.24</v>
      </c>
      <c r="I197" s="17">
        <f>IFERROR(__xludf.DUMMYFUNCTION("""COMPUTED_VALUE"""),0.299)</f>
        <v>0.299</v>
      </c>
      <c r="J197" s="17">
        <f>IFERROR(__xludf.DUMMYFUNCTION("""COMPUTED_VALUE"""),96.0)</f>
        <v>96</v>
      </c>
      <c r="K197" s="17">
        <f>IFERROR(__xludf.DUMMYFUNCTION("""COMPUTED_VALUE"""),16.0)</f>
        <v>16</v>
      </c>
      <c r="L197" s="17">
        <f>IFERROR(__xludf.DUMMYFUNCTION("""COMPUTED_VALUE"""),2.0)</f>
        <v>2</v>
      </c>
      <c r="M197" s="17">
        <f>IFERROR(__xludf.DUMMYFUNCTION("""COMPUTED_VALUE"""),31.0)</f>
        <v>31</v>
      </c>
      <c r="N197" s="17">
        <f>IFERROR(__xludf.DUMMYFUNCTION("""COMPUTED_VALUE"""),84.0)</f>
        <v>84</v>
      </c>
      <c r="O197" s="17">
        <f>IFERROR(__xludf.DUMMYFUNCTION("""COMPUTED_VALUE"""),0.35)</f>
        <v>0.35</v>
      </c>
      <c r="P197" s="17">
        <f>IFERROR(__xludf.DUMMYFUNCTION("""COMPUTED_VALUE"""),0.648)</f>
        <v>0.648</v>
      </c>
      <c r="Q197" s="34">
        <f>IFERROR(__xludf.DUMMYFUNCTION("""COMPUTED_VALUE"""),0.01)</f>
        <v>0.01</v>
      </c>
      <c r="R197" s="34">
        <f>IFERROR(__xludf.DUMMYFUNCTION("""COMPUTED_VALUE"""),0.01)</f>
        <v>0.01</v>
      </c>
      <c r="S197" s="34">
        <f>IFERROR(__xludf.DUMMYFUNCTION("""COMPUTED_VALUE"""),0.01)</f>
        <v>0.01</v>
      </c>
      <c r="T197" s="17" t="str">
        <f t="shared" si="1"/>
        <v>Ke'Bryan Hayes</v>
      </c>
    </row>
    <row r="198">
      <c r="A198" s="17">
        <f>IFERROR(__xludf.DUMMYFUNCTION("""COMPUTED_VALUE"""),197.0)</f>
        <v>197</v>
      </c>
      <c r="B198" s="17" t="str">
        <f>IFERROR(__xludf.DUMMYFUNCTION("""COMPUTED_VALUE"""),"Josh Smith (TEX - 1B,2B,3B,SS,LF,RF)")</f>
        <v>Josh Smith (TEX - 1B,2B,3B,SS,LF,RF)</v>
      </c>
      <c r="C198" s="17">
        <f>IFERROR(__xludf.DUMMYFUNCTION("""COMPUTED_VALUE"""),365.0)</f>
        <v>365</v>
      </c>
      <c r="D198" s="17">
        <f>IFERROR(__xludf.DUMMYFUNCTION("""COMPUTED_VALUE"""),49.0)</f>
        <v>49</v>
      </c>
      <c r="E198" s="17">
        <f>IFERROR(__xludf.DUMMYFUNCTION("""COMPUTED_VALUE"""),8.0)</f>
        <v>8</v>
      </c>
      <c r="F198" s="17">
        <f>IFERROR(__xludf.DUMMYFUNCTION("""COMPUTED_VALUE"""),39.0)</f>
        <v>39</v>
      </c>
      <c r="G198" s="17">
        <f>IFERROR(__xludf.DUMMYFUNCTION("""COMPUTED_VALUE"""),8.0)</f>
        <v>8</v>
      </c>
      <c r="H198" s="17">
        <f>IFERROR(__xludf.DUMMYFUNCTION("""COMPUTED_VALUE"""),0.241)</f>
        <v>0.241</v>
      </c>
      <c r="I198" s="17">
        <f>IFERROR(__xludf.DUMMYFUNCTION("""COMPUTED_VALUE"""),0.332)</f>
        <v>0.332</v>
      </c>
      <c r="J198" s="17">
        <f>IFERROR(__xludf.DUMMYFUNCTION("""COMPUTED_VALUE"""),88.0)</f>
        <v>88</v>
      </c>
      <c r="K198" s="17">
        <f>IFERROR(__xludf.DUMMYFUNCTION("""COMPUTED_VALUE"""),18.0)</f>
        <v>18</v>
      </c>
      <c r="L198" s="17">
        <f>IFERROR(__xludf.DUMMYFUNCTION("""COMPUTED_VALUE"""),1.0)</f>
        <v>1</v>
      </c>
      <c r="M198" s="17">
        <f>IFERROR(__xludf.DUMMYFUNCTION("""COMPUTED_VALUE"""),43.0)</f>
        <v>43</v>
      </c>
      <c r="N198" s="17">
        <f>IFERROR(__xludf.DUMMYFUNCTION("""COMPUTED_VALUE"""),79.0)</f>
        <v>79</v>
      </c>
      <c r="O198" s="17">
        <f>IFERROR(__xludf.DUMMYFUNCTION("""COMPUTED_VALUE"""),0.364)</f>
        <v>0.364</v>
      </c>
      <c r="P198" s="17">
        <f>IFERROR(__xludf.DUMMYFUNCTION("""COMPUTED_VALUE"""),0.697)</f>
        <v>0.697</v>
      </c>
      <c r="Q198" s="34">
        <f>IFERROR(__xludf.DUMMYFUNCTION("""COMPUTED_VALUE"""),0.04)</f>
        <v>0.04</v>
      </c>
      <c r="R198" s="34">
        <f>IFERROR(__xludf.DUMMYFUNCTION("""COMPUTED_VALUE"""),0.05)</f>
        <v>0.05</v>
      </c>
      <c r="S198" s="34">
        <f>IFERROR(__xludf.DUMMYFUNCTION("""COMPUTED_VALUE"""),0.03)</f>
        <v>0.03</v>
      </c>
      <c r="T198" s="17" t="str">
        <f t="shared" si="1"/>
        <v>Josh Smith</v>
      </c>
    </row>
    <row r="199">
      <c r="A199" s="17">
        <f>IFERROR(__xludf.DUMMYFUNCTION("""COMPUTED_VALUE"""),198.0)</f>
        <v>198</v>
      </c>
      <c r="B199" s="17" t="str">
        <f>IFERROR(__xludf.DUMMYFUNCTION("""COMPUTED_VALUE"""),"Austin Wells (NYY - C)")</f>
        <v>Austin Wells (NYY - C)</v>
      </c>
      <c r="C199" s="17">
        <f>IFERROR(__xludf.DUMMYFUNCTION("""COMPUTED_VALUE"""),323.0)</f>
        <v>323</v>
      </c>
      <c r="D199" s="17">
        <f>IFERROR(__xludf.DUMMYFUNCTION("""COMPUTED_VALUE"""),42.0)</f>
        <v>42</v>
      </c>
      <c r="E199" s="17">
        <f>IFERROR(__xludf.DUMMYFUNCTION("""COMPUTED_VALUE"""),15.0)</f>
        <v>15</v>
      </c>
      <c r="F199" s="17">
        <f>IFERROR(__xludf.DUMMYFUNCTION("""COMPUTED_VALUE"""),48.0)</f>
        <v>48</v>
      </c>
      <c r="G199" s="17">
        <f>IFERROR(__xludf.DUMMYFUNCTION("""COMPUTED_VALUE"""),3.0)</f>
        <v>3</v>
      </c>
      <c r="H199" s="17">
        <f>IFERROR(__xludf.DUMMYFUNCTION("""COMPUTED_VALUE"""),0.226)</f>
        <v>0.226</v>
      </c>
      <c r="I199" s="17">
        <f>IFERROR(__xludf.DUMMYFUNCTION("""COMPUTED_VALUE"""),0.307)</f>
        <v>0.307</v>
      </c>
      <c r="J199" s="17">
        <f>IFERROR(__xludf.DUMMYFUNCTION("""COMPUTED_VALUE"""),73.0)</f>
        <v>73</v>
      </c>
      <c r="K199" s="17">
        <f>IFERROR(__xludf.DUMMYFUNCTION("""COMPUTED_VALUE"""),15.0)</f>
        <v>15</v>
      </c>
      <c r="L199" s="17">
        <f>IFERROR(__xludf.DUMMYFUNCTION("""COMPUTED_VALUE"""),1.0)</f>
        <v>1</v>
      </c>
      <c r="M199" s="17">
        <f>IFERROR(__xludf.DUMMYFUNCTION("""COMPUTED_VALUE"""),35.0)</f>
        <v>35</v>
      </c>
      <c r="N199" s="17">
        <f>IFERROR(__xludf.DUMMYFUNCTION("""COMPUTED_VALUE"""),87.0)</f>
        <v>87</v>
      </c>
      <c r="O199" s="17">
        <f>IFERROR(__xludf.DUMMYFUNCTION("""COMPUTED_VALUE"""),0.417)</f>
        <v>0.417</v>
      </c>
      <c r="P199" s="17">
        <f>IFERROR(__xludf.DUMMYFUNCTION("""COMPUTED_VALUE"""),0.724)</f>
        <v>0.724</v>
      </c>
      <c r="Q199" s="34">
        <f>IFERROR(__xludf.DUMMYFUNCTION("""COMPUTED_VALUE"""),0.1)</f>
        <v>0.1</v>
      </c>
      <c r="R199" s="34">
        <f>IFERROR(__xludf.DUMMYFUNCTION("""COMPUTED_VALUE"""),0.1)</f>
        <v>0.1</v>
      </c>
      <c r="S199" s="34">
        <f>IFERROR(__xludf.DUMMYFUNCTION("""COMPUTED_VALUE"""),0.1)</f>
        <v>0.1</v>
      </c>
      <c r="T199" s="17" t="str">
        <f t="shared" si="1"/>
        <v>Austin Wells</v>
      </c>
    </row>
    <row r="200">
      <c r="A200" s="17">
        <f>IFERROR(__xludf.DUMMYFUNCTION("""COMPUTED_VALUE"""),199.0)</f>
        <v>199</v>
      </c>
      <c r="B200" s="17" t="str">
        <f>IFERROR(__xludf.DUMMYFUNCTION("""COMPUTED_VALUE"""),"Lane Thomas (KC - LF,CF,RF)")</f>
        <v>Lane Thomas (KC - LF,CF,RF)</v>
      </c>
      <c r="C200" s="17">
        <f>IFERROR(__xludf.DUMMYFUNCTION("""COMPUTED_VALUE"""),296.0)</f>
        <v>296</v>
      </c>
      <c r="D200" s="17">
        <f>IFERROR(__xludf.DUMMYFUNCTION("""COMPUTED_VALUE"""),41.0)</f>
        <v>41</v>
      </c>
      <c r="E200" s="17">
        <f>IFERROR(__xludf.DUMMYFUNCTION("""COMPUTED_VALUE"""),10.0)</f>
        <v>10</v>
      </c>
      <c r="F200" s="17">
        <f>IFERROR(__xludf.DUMMYFUNCTION("""COMPUTED_VALUE"""),38.0)</f>
        <v>38</v>
      </c>
      <c r="G200" s="17">
        <f>IFERROR(__xludf.DUMMYFUNCTION("""COMPUTED_VALUE"""),12.0)</f>
        <v>12</v>
      </c>
      <c r="H200" s="17">
        <f>IFERROR(__xludf.DUMMYFUNCTION("""COMPUTED_VALUE"""),0.236)</f>
        <v>0.236</v>
      </c>
      <c r="I200" s="17">
        <f>IFERROR(__xludf.DUMMYFUNCTION("""COMPUTED_VALUE"""),0.312)</f>
        <v>0.312</v>
      </c>
      <c r="J200" s="17">
        <f>IFERROR(__xludf.DUMMYFUNCTION("""COMPUTED_VALUE"""),70.0)</f>
        <v>70</v>
      </c>
      <c r="K200" s="17">
        <f>IFERROR(__xludf.DUMMYFUNCTION("""COMPUTED_VALUE"""),14.0)</f>
        <v>14</v>
      </c>
      <c r="L200" s="17">
        <f>IFERROR(__xludf.DUMMYFUNCTION("""COMPUTED_VALUE"""),2.0)</f>
        <v>2</v>
      </c>
      <c r="M200" s="17">
        <f>IFERROR(__xludf.DUMMYFUNCTION("""COMPUTED_VALUE"""),30.0)</f>
        <v>30</v>
      </c>
      <c r="N200" s="17">
        <f>IFERROR(__xludf.DUMMYFUNCTION("""COMPUTED_VALUE"""),82.0)</f>
        <v>82</v>
      </c>
      <c r="O200" s="17">
        <f>IFERROR(__xludf.DUMMYFUNCTION("""COMPUTED_VALUE"""),0.397)</f>
        <v>0.397</v>
      </c>
      <c r="P200" s="17">
        <f>IFERROR(__xludf.DUMMYFUNCTION("""COMPUTED_VALUE"""),0.709)</f>
        <v>0.709</v>
      </c>
      <c r="Q200" s="34">
        <f>IFERROR(__xludf.DUMMYFUNCTION("""COMPUTED_VALUE"""),0.01)</f>
        <v>0.01</v>
      </c>
      <c r="R200" s="34">
        <f>IFERROR(__xludf.DUMMYFUNCTION("""COMPUTED_VALUE"""),0.01)</f>
        <v>0.01</v>
      </c>
      <c r="S200" s="34">
        <f>IFERROR(__xludf.DUMMYFUNCTION("""COMPUTED_VALUE"""),0.0)</f>
        <v>0</v>
      </c>
      <c r="T200" s="17" t="str">
        <f t="shared" si="1"/>
        <v>Lane Thomas</v>
      </c>
    </row>
    <row r="201">
      <c r="A201" s="17">
        <f>IFERROR(__xludf.DUMMYFUNCTION("""COMPUTED_VALUE"""),200.0)</f>
        <v>200</v>
      </c>
      <c r="B201" s="17" t="str">
        <f>IFERROR(__xludf.DUMMYFUNCTION("""COMPUTED_VALUE"""),"Dylan Crews (WSH - CF,RF) MiLB")</f>
        <v>Dylan Crews (WSH - CF,RF) MiLB</v>
      </c>
      <c r="C201" s="17">
        <f>IFERROR(__xludf.DUMMYFUNCTION("""COMPUTED_VALUE"""),306.0)</f>
        <v>306</v>
      </c>
      <c r="D201" s="17">
        <f>IFERROR(__xludf.DUMMYFUNCTION("""COMPUTED_VALUE"""),40.0)</f>
        <v>40</v>
      </c>
      <c r="E201" s="17">
        <f>IFERROR(__xludf.DUMMYFUNCTION("""COMPUTED_VALUE"""),10.0)</f>
        <v>10</v>
      </c>
      <c r="F201" s="17">
        <f>IFERROR(__xludf.DUMMYFUNCTION("""COMPUTED_VALUE"""),37.0)</f>
        <v>37</v>
      </c>
      <c r="G201" s="17">
        <f>IFERROR(__xludf.DUMMYFUNCTION("""COMPUTED_VALUE"""),14.0)</f>
        <v>14</v>
      </c>
      <c r="H201" s="17">
        <f>IFERROR(__xludf.DUMMYFUNCTION("""COMPUTED_VALUE"""),0.236)</f>
        <v>0.236</v>
      </c>
      <c r="I201" s="17">
        <f>IFERROR(__xludf.DUMMYFUNCTION("""COMPUTED_VALUE"""),0.304)</f>
        <v>0.304</v>
      </c>
      <c r="J201" s="17">
        <f>IFERROR(__xludf.DUMMYFUNCTION("""COMPUTED_VALUE"""),72.0)</f>
        <v>72</v>
      </c>
      <c r="K201" s="17">
        <f>IFERROR(__xludf.DUMMYFUNCTION("""COMPUTED_VALUE"""),13.0)</f>
        <v>13</v>
      </c>
      <c r="L201" s="17">
        <f>IFERROR(__xludf.DUMMYFUNCTION("""COMPUTED_VALUE"""),2.0)</f>
        <v>2</v>
      </c>
      <c r="M201" s="17">
        <f>IFERROR(__xludf.DUMMYFUNCTION("""COMPUTED_VALUE"""),25.0)</f>
        <v>25</v>
      </c>
      <c r="N201" s="17">
        <f>IFERROR(__xludf.DUMMYFUNCTION("""COMPUTED_VALUE"""),78.0)</f>
        <v>78</v>
      </c>
      <c r="O201" s="17">
        <f>IFERROR(__xludf.DUMMYFUNCTION("""COMPUTED_VALUE"""),0.387)</f>
        <v>0.387</v>
      </c>
      <c r="P201" s="17">
        <f>IFERROR(__xludf.DUMMYFUNCTION("""COMPUTED_VALUE"""),0.691)</f>
        <v>0.691</v>
      </c>
      <c r="Q201" s="34">
        <f>IFERROR(__xludf.DUMMYFUNCTION("""COMPUTED_VALUE"""),0.19)</f>
        <v>0.19</v>
      </c>
      <c r="R201" s="34">
        <f>IFERROR(__xludf.DUMMYFUNCTION("""COMPUTED_VALUE"""),0.33)</f>
        <v>0.33</v>
      </c>
      <c r="S201" s="34">
        <f>IFERROR(__xludf.DUMMYFUNCTION("""COMPUTED_VALUE"""),0.04)</f>
        <v>0.04</v>
      </c>
      <c r="T201" s="17" t="str">
        <f t="shared" si="1"/>
        <v>Dylan Crews</v>
      </c>
    </row>
    <row r="202">
      <c r="A202" s="17">
        <f>IFERROR(__xludf.DUMMYFUNCTION("""COMPUTED_VALUE"""),201.0)</f>
        <v>201</v>
      </c>
      <c r="B202" s="17" t="str">
        <f>IFERROR(__xludf.DUMMYFUNCTION("""COMPUTED_VALUE"""),"J.T. Realmuto (PHI - C) IL10")</f>
        <v>J.T. Realmuto (PHI - C) IL10</v>
      </c>
      <c r="C202" s="17">
        <f>IFERROR(__xludf.DUMMYFUNCTION("""COMPUTED_VALUE"""),327.0)</f>
        <v>327</v>
      </c>
      <c r="D202" s="17">
        <f>IFERROR(__xludf.DUMMYFUNCTION("""COMPUTED_VALUE"""),41.0)</f>
        <v>41</v>
      </c>
      <c r="E202" s="17">
        <f>IFERROR(__xludf.DUMMYFUNCTION("""COMPUTED_VALUE"""),10.0)</f>
        <v>10</v>
      </c>
      <c r="F202" s="17">
        <f>IFERROR(__xludf.DUMMYFUNCTION("""COMPUTED_VALUE"""),41.0)</f>
        <v>41</v>
      </c>
      <c r="G202" s="17">
        <f>IFERROR(__xludf.DUMMYFUNCTION("""COMPUTED_VALUE"""),5.0)</f>
        <v>5</v>
      </c>
      <c r="H202" s="17">
        <f>IFERROR(__xludf.DUMMYFUNCTION("""COMPUTED_VALUE"""),0.251)</f>
        <v>0.251</v>
      </c>
      <c r="I202" s="17">
        <f>IFERROR(__xludf.DUMMYFUNCTION("""COMPUTED_VALUE"""),0.315)</f>
        <v>0.315</v>
      </c>
      <c r="J202" s="17">
        <f>IFERROR(__xludf.DUMMYFUNCTION("""COMPUTED_VALUE"""),82.0)</f>
        <v>82</v>
      </c>
      <c r="K202" s="17">
        <f>IFERROR(__xludf.DUMMYFUNCTION("""COMPUTED_VALUE"""),16.0)</f>
        <v>16</v>
      </c>
      <c r="L202" s="17">
        <f>IFERROR(__xludf.DUMMYFUNCTION("""COMPUTED_VALUE"""),2.0)</f>
        <v>2</v>
      </c>
      <c r="M202" s="17">
        <f>IFERROR(__xludf.DUMMYFUNCTION("""COMPUTED_VALUE"""),26.0)</f>
        <v>26</v>
      </c>
      <c r="N202" s="17">
        <f>IFERROR(__xludf.DUMMYFUNCTION("""COMPUTED_VALUE"""),85.0)</f>
        <v>85</v>
      </c>
      <c r="O202" s="17">
        <f>IFERROR(__xludf.DUMMYFUNCTION("""COMPUTED_VALUE"""),0.403)</f>
        <v>0.403</v>
      </c>
      <c r="P202" s="17">
        <f>IFERROR(__xludf.DUMMYFUNCTION("""COMPUTED_VALUE"""),0.718)</f>
        <v>0.718</v>
      </c>
      <c r="Q202" s="34">
        <f>IFERROR(__xludf.DUMMYFUNCTION("""COMPUTED_VALUE"""),0.15)</f>
        <v>0.15</v>
      </c>
      <c r="R202" s="34">
        <f>IFERROR(__xludf.DUMMYFUNCTION("""COMPUTED_VALUE"""),0.15)</f>
        <v>0.15</v>
      </c>
      <c r="S202" s="34">
        <f>IFERROR(__xludf.DUMMYFUNCTION("""COMPUTED_VALUE"""),0.15)</f>
        <v>0.15</v>
      </c>
      <c r="T202" s="17" t="str">
        <f t="shared" si="1"/>
        <v>J.T. Realmuto</v>
      </c>
    </row>
    <row r="203">
      <c r="A203" s="17">
        <f>IFERROR(__xludf.DUMMYFUNCTION("""COMPUTED_VALUE"""),202.0)</f>
        <v>202</v>
      </c>
      <c r="B203" s="17" t="str">
        <f>IFERROR(__xludf.DUMMYFUNCTION("""COMPUTED_VALUE"""),"Gavin Sheets (SD - 1B,LF,RF,DH)")</f>
        <v>Gavin Sheets (SD - 1B,LF,RF,DH)</v>
      </c>
      <c r="C203" s="17">
        <f>IFERROR(__xludf.DUMMYFUNCTION("""COMPUTED_VALUE"""),352.0)</f>
        <v>352</v>
      </c>
      <c r="D203" s="17">
        <f>IFERROR(__xludf.DUMMYFUNCTION("""COMPUTED_VALUE"""),41.0)</f>
        <v>41</v>
      </c>
      <c r="E203" s="17">
        <f>IFERROR(__xludf.DUMMYFUNCTION("""COMPUTED_VALUE"""),13.0)</f>
        <v>13</v>
      </c>
      <c r="F203" s="17">
        <f>IFERROR(__xludf.DUMMYFUNCTION("""COMPUTED_VALUE"""),47.0)</f>
        <v>47</v>
      </c>
      <c r="G203" s="17">
        <f>IFERROR(__xludf.DUMMYFUNCTION("""COMPUTED_VALUE"""),2.0)</f>
        <v>2</v>
      </c>
      <c r="H203" s="17">
        <f>IFERROR(__xludf.DUMMYFUNCTION("""COMPUTED_VALUE"""),0.24)</f>
        <v>0.24</v>
      </c>
      <c r="I203" s="17">
        <f>IFERROR(__xludf.DUMMYFUNCTION("""COMPUTED_VALUE"""),0.308)</f>
        <v>0.308</v>
      </c>
      <c r="J203" s="17">
        <f>IFERROR(__xludf.DUMMYFUNCTION("""COMPUTED_VALUE"""),84.0)</f>
        <v>84</v>
      </c>
      <c r="K203" s="17">
        <f>IFERROR(__xludf.DUMMYFUNCTION("""COMPUTED_VALUE"""),19.0)</f>
        <v>19</v>
      </c>
      <c r="L203" s="17">
        <f>IFERROR(__xludf.DUMMYFUNCTION("""COMPUTED_VALUE"""),1.0)</f>
        <v>1</v>
      </c>
      <c r="M203" s="17">
        <f>IFERROR(__xludf.DUMMYFUNCTION("""COMPUTED_VALUE"""),32.0)</f>
        <v>32</v>
      </c>
      <c r="N203" s="17">
        <f>IFERROR(__xludf.DUMMYFUNCTION("""COMPUTED_VALUE"""),80.0)</f>
        <v>80</v>
      </c>
      <c r="O203" s="17">
        <f>IFERROR(__xludf.DUMMYFUNCTION("""COMPUTED_VALUE"""),0.405)</f>
        <v>0.405</v>
      </c>
      <c r="P203" s="17">
        <f>IFERROR(__xludf.DUMMYFUNCTION("""COMPUTED_VALUE"""),0.713)</f>
        <v>0.713</v>
      </c>
      <c r="Q203" s="34">
        <f>IFERROR(__xludf.DUMMYFUNCTION("""COMPUTED_VALUE"""),0.04)</f>
        <v>0.04</v>
      </c>
      <c r="R203" s="34">
        <f>IFERROR(__xludf.DUMMYFUNCTION("""COMPUTED_VALUE"""),0.03)</f>
        <v>0.03</v>
      </c>
      <c r="S203" s="34">
        <f>IFERROR(__xludf.DUMMYFUNCTION("""COMPUTED_VALUE"""),0.05)</f>
        <v>0.05</v>
      </c>
      <c r="T203" s="17" t="str">
        <f t="shared" si="1"/>
        <v>Gavin Sheets</v>
      </c>
    </row>
    <row r="204">
      <c r="A204" s="17">
        <f>IFERROR(__xludf.DUMMYFUNCTION("""COMPUTED_VALUE"""),203.0)</f>
        <v>203</v>
      </c>
      <c r="B204" s="17" t="str">
        <f>IFERROR(__xludf.DUMMYFUNCTION("""COMPUTED_VALUE"""),"Cedric Mullins II (TB - CF)")</f>
        <v>Cedric Mullins II (TB - CF)</v>
      </c>
      <c r="C204" s="17">
        <f>IFERROR(__xludf.DUMMYFUNCTION("""COMPUTED_VALUE"""),306.0)</f>
        <v>306</v>
      </c>
      <c r="D204" s="17">
        <f>IFERROR(__xludf.DUMMYFUNCTION("""COMPUTED_VALUE"""),40.0)</f>
        <v>40</v>
      </c>
      <c r="E204" s="17">
        <f>IFERROR(__xludf.DUMMYFUNCTION("""COMPUTED_VALUE"""),11.0)</f>
        <v>11</v>
      </c>
      <c r="F204" s="17">
        <f>IFERROR(__xludf.DUMMYFUNCTION("""COMPUTED_VALUE"""),38.0)</f>
        <v>38</v>
      </c>
      <c r="G204" s="17">
        <f>IFERROR(__xludf.DUMMYFUNCTION("""COMPUTED_VALUE"""),15.0)</f>
        <v>15</v>
      </c>
      <c r="H204" s="17">
        <f>IFERROR(__xludf.DUMMYFUNCTION("""COMPUTED_VALUE"""),0.221)</f>
        <v>0.221</v>
      </c>
      <c r="I204" s="17">
        <f>IFERROR(__xludf.DUMMYFUNCTION("""COMPUTED_VALUE"""),0.296)</f>
        <v>0.296</v>
      </c>
      <c r="J204" s="17">
        <f>IFERROR(__xludf.DUMMYFUNCTION("""COMPUTED_VALUE"""),68.0)</f>
        <v>68</v>
      </c>
      <c r="K204" s="17">
        <f>IFERROR(__xludf.DUMMYFUNCTION("""COMPUTED_VALUE"""),14.0)</f>
        <v>14</v>
      </c>
      <c r="L204" s="17">
        <f>IFERROR(__xludf.DUMMYFUNCTION("""COMPUTED_VALUE"""),2.0)</f>
        <v>2</v>
      </c>
      <c r="M204" s="17">
        <f>IFERROR(__xludf.DUMMYFUNCTION("""COMPUTED_VALUE"""),31.0)</f>
        <v>31</v>
      </c>
      <c r="N204" s="17">
        <f>IFERROR(__xludf.DUMMYFUNCTION("""COMPUTED_VALUE"""),78.0)</f>
        <v>78</v>
      </c>
      <c r="O204" s="17">
        <f>IFERROR(__xludf.DUMMYFUNCTION("""COMPUTED_VALUE"""),0.381)</f>
        <v>0.381</v>
      </c>
      <c r="P204" s="17">
        <f>IFERROR(__xludf.DUMMYFUNCTION("""COMPUTED_VALUE"""),0.677)</f>
        <v>0.677</v>
      </c>
      <c r="Q204" s="34">
        <f>IFERROR(__xludf.DUMMYFUNCTION("""COMPUTED_VALUE"""),0.04)</f>
        <v>0.04</v>
      </c>
      <c r="R204" s="34">
        <f>IFERROR(__xludf.DUMMYFUNCTION("""COMPUTED_VALUE"""),0.05)</f>
        <v>0.05</v>
      </c>
      <c r="S204" s="34">
        <f>IFERROR(__xludf.DUMMYFUNCTION("""COMPUTED_VALUE"""),0.02)</f>
        <v>0.02</v>
      </c>
      <c r="T204" s="17" t="str">
        <f t="shared" si="1"/>
        <v>Cedric Mullins II</v>
      </c>
    </row>
    <row r="205">
      <c r="A205" s="17">
        <f>IFERROR(__xludf.DUMMYFUNCTION("""COMPUTED_VALUE"""),204.0)</f>
        <v>204</v>
      </c>
      <c r="B205" s="17" t="str">
        <f>IFERROR(__xludf.DUMMYFUNCTION("""COMPUTED_VALUE"""),"Colton Cowser (BAL - LF,CF,RF)")</f>
        <v>Colton Cowser (BAL - LF,CF,RF)</v>
      </c>
      <c r="C205" s="17">
        <f>IFERROR(__xludf.DUMMYFUNCTION("""COMPUTED_VALUE"""),300.0)</f>
        <v>300</v>
      </c>
      <c r="D205" s="17">
        <f>IFERROR(__xludf.DUMMYFUNCTION("""COMPUTED_VALUE"""),42.0)</f>
        <v>42</v>
      </c>
      <c r="E205" s="17">
        <f>IFERROR(__xludf.DUMMYFUNCTION("""COMPUTED_VALUE"""),12.0)</f>
        <v>12</v>
      </c>
      <c r="F205" s="17">
        <f>IFERROR(__xludf.DUMMYFUNCTION("""COMPUTED_VALUE"""),40.0)</f>
        <v>40</v>
      </c>
      <c r="G205" s="17">
        <f>IFERROR(__xludf.DUMMYFUNCTION("""COMPUTED_VALUE"""),8.0)</f>
        <v>8</v>
      </c>
      <c r="H205" s="17">
        <f>IFERROR(__xludf.DUMMYFUNCTION("""COMPUTED_VALUE"""),0.23)</f>
        <v>0.23</v>
      </c>
      <c r="I205" s="17">
        <f>IFERROR(__xludf.DUMMYFUNCTION("""COMPUTED_VALUE"""),0.315)</f>
        <v>0.315</v>
      </c>
      <c r="J205" s="17">
        <f>IFERROR(__xludf.DUMMYFUNCTION("""COMPUTED_VALUE"""),69.0)</f>
        <v>69</v>
      </c>
      <c r="K205" s="17">
        <f>IFERROR(__xludf.DUMMYFUNCTION("""COMPUTED_VALUE"""),14.0)</f>
        <v>14</v>
      </c>
      <c r="L205" s="17">
        <f>IFERROR(__xludf.DUMMYFUNCTION("""COMPUTED_VALUE"""),1.0)</f>
        <v>1</v>
      </c>
      <c r="M205" s="17">
        <f>IFERROR(__xludf.DUMMYFUNCTION("""COMPUTED_VALUE"""),33.0)</f>
        <v>33</v>
      </c>
      <c r="N205" s="17">
        <f>IFERROR(__xludf.DUMMYFUNCTION("""COMPUTED_VALUE"""),106.0)</f>
        <v>106</v>
      </c>
      <c r="O205" s="17">
        <f>IFERROR(__xludf.DUMMYFUNCTION("""COMPUTED_VALUE"""),0.405)</f>
        <v>0.405</v>
      </c>
      <c r="P205" s="17">
        <f>IFERROR(__xludf.DUMMYFUNCTION("""COMPUTED_VALUE"""),0.72)</f>
        <v>0.72</v>
      </c>
      <c r="Q205" s="34">
        <f>IFERROR(__xludf.DUMMYFUNCTION("""COMPUTED_VALUE"""),0.03)</f>
        <v>0.03</v>
      </c>
      <c r="R205" s="34">
        <f>IFERROR(__xludf.DUMMYFUNCTION("""COMPUTED_VALUE"""),0.04)</f>
        <v>0.04</v>
      </c>
      <c r="S205" s="34">
        <f>IFERROR(__xludf.DUMMYFUNCTION("""COMPUTED_VALUE"""),0.02)</f>
        <v>0.02</v>
      </c>
      <c r="T205" s="17" t="str">
        <f t="shared" si="1"/>
        <v>Colton Cowser</v>
      </c>
    </row>
    <row r="206">
      <c r="A206" s="17">
        <f>IFERROR(__xludf.DUMMYFUNCTION("""COMPUTED_VALUE"""),205.0)</f>
        <v>205</v>
      </c>
      <c r="B206" s="17" t="str">
        <f>IFERROR(__xludf.DUMMYFUNCTION("""COMPUTED_VALUE"""),"Moises Ballesteros (CHC - C,DH)")</f>
        <v>Moises Ballesteros (CHC - C,DH)</v>
      </c>
      <c r="C206" s="17">
        <f>IFERROR(__xludf.DUMMYFUNCTION("""COMPUTED_VALUE"""),289.0)</f>
        <v>289</v>
      </c>
      <c r="D206" s="17">
        <f>IFERROR(__xludf.DUMMYFUNCTION("""COMPUTED_VALUE"""),37.0)</f>
        <v>37</v>
      </c>
      <c r="E206" s="17">
        <f>IFERROR(__xludf.DUMMYFUNCTION("""COMPUTED_VALUE"""),9.0)</f>
        <v>9</v>
      </c>
      <c r="F206" s="17">
        <f>IFERROR(__xludf.DUMMYFUNCTION("""COMPUTED_VALUE"""),41.0)</f>
        <v>41</v>
      </c>
      <c r="G206" s="17">
        <f>IFERROR(__xludf.DUMMYFUNCTION("""COMPUTED_VALUE"""),1.0)</f>
        <v>1</v>
      </c>
      <c r="H206" s="17">
        <f>IFERROR(__xludf.DUMMYFUNCTION("""COMPUTED_VALUE"""),0.27)</f>
        <v>0.27</v>
      </c>
      <c r="I206" s="17">
        <f>IFERROR(__xludf.DUMMYFUNCTION("""COMPUTED_VALUE"""),0.336)</f>
        <v>0.336</v>
      </c>
      <c r="J206" s="17">
        <f>IFERROR(__xludf.DUMMYFUNCTION("""COMPUTED_VALUE"""),78.0)</f>
        <v>78</v>
      </c>
      <c r="K206" s="17">
        <f>IFERROR(__xludf.DUMMYFUNCTION("""COMPUTED_VALUE"""),14.0)</f>
        <v>14</v>
      </c>
      <c r="L206" s="17">
        <f>IFERROR(__xludf.DUMMYFUNCTION("""COMPUTED_VALUE"""),1.0)</f>
        <v>1</v>
      </c>
      <c r="M206" s="17">
        <f>IFERROR(__xludf.DUMMYFUNCTION("""COMPUTED_VALUE"""),27.0)</f>
        <v>27</v>
      </c>
      <c r="N206" s="17">
        <f>IFERROR(__xludf.DUMMYFUNCTION("""COMPUTED_VALUE"""),56.0)</f>
        <v>56</v>
      </c>
      <c r="O206" s="17">
        <f>IFERROR(__xludf.DUMMYFUNCTION("""COMPUTED_VALUE"""),0.424)</f>
        <v>0.424</v>
      </c>
      <c r="P206" s="17">
        <f>IFERROR(__xludf.DUMMYFUNCTION("""COMPUTED_VALUE"""),0.761)</f>
        <v>0.761</v>
      </c>
      <c r="Q206" s="34">
        <f>IFERROR(__xludf.DUMMYFUNCTION("""COMPUTED_VALUE"""),0.22)</f>
        <v>0.22</v>
      </c>
      <c r="R206" s="34">
        <f>IFERROR(__xludf.DUMMYFUNCTION("""COMPUTED_VALUE"""),0.31)</f>
        <v>0.31</v>
      </c>
      <c r="S206" s="34">
        <f>IFERROR(__xludf.DUMMYFUNCTION("""COMPUTED_VALUE"""),0.12)</f>
        <v>0.12</v>
      </c>
      <c r="T206" s="17" t="str">
        <f t="shared" si="1"/>
        <v>Moises Ballesteros</v>
      </c>
    </row>
    <row r="207">
      <c r="A207" s="17">
        <f>IFERROR(__xludf.DUMMYFUNCTION("""COMPUTED_VALUE"""),206.0)</f>
        <v>206</v>
      </c>
      <c r="B207" s="17" t="str">
        <f>IFERROR(__xludf.DUMMYFUNCTION("""COMPUTED_VALUE"""),"Tommy Edman (LAD - 2B,3B,CF) IL10")</f>
        <v>Tommy Edman (LAD - 2B,3B,CF) IL10</v>
      </c>
      <c r="C207" s="17">
        <f>IFERROR(__xludf.DUMMYFUNCTION("""COMPUTED_VALUE"""),304.0)</f>
        <v>304</v>
      </c>
      <c r="D207" s="17">
        <f>IFERROR(__xludf.DUMMYFUNCTION("""COMPUTED_VALUE"""),42.0)</f>
        <v>42</v>
      </c>
      <c r="E207" s="17">
        <f>IFERROR(__xludf.DUMMYFUNCTION("""COMPUTED_VALUE"""),9.0)</f>
        <v>9</v>
      </c>
      <c r="F207" s="17">
        <f>IFERROR(__xludf.DUMMYFUNCTION("""COMPUTED_VALUE"""),38.0)</f>
        <v>38</v>
      </c>
      <c r="G207" s="17">
        <f>IFERROR(__xludf.DUMMYFUNCTION("""COMPUTED_VALUE"""),7.0)</f>
        <v>7</v>
      </c>
      <c r="H207" s="17">
        <f>IFERROR(__xludf.DUMMYFUNCTION("""COMPUTED_VALUE"""),0.247)</f>
        <v>0.247</v>
      </c>
      <c r="I207" s="17">
        <f>IFERROR(__xludf.DUMMYFUNCTION("""COMPUTED_VALUE"""),0.304)</f>
        <v>0.304</v>
      </c>
      <c r="J207" s="17">
        <f>IFERROR(__xludf.DUMMYFUNCTION("""COMPUTED_VALUE"""),75.0)</f>
        <v>75</v>
      </c>
      <c r="K207" s="17">
        <f>IFERROR(__xludf.DUMMYFUNCTION("""COMPUTED_VALUE"""),15.0)</f>
        <v>15</v>
      </c>
      <c r="L207" s="17">
        <f>IFERROR(__xludf.DUMMYFUNCTION("""COMPUTED_VALUE"""),1.0)</f>
        <v>1</v>
      </c>
      <c r="M207" s="17">
        <f>IFERROR(__xludf.DUMMYFUNCTION("""COMPUTED_VALUE"""),23.0)</f>
        <v>23</v>
      </c>
      <c r="N207" s="17">
        <f>IFERROR(__xludf.DUMMYFUNCTION("""COMPUTED_VALUE"""),58.0)</f>
        <v>58</v>
      </c>
      <c r="O207" s="17">
        <f>IFERROR(__xludf.DUMMYFUNCTION("""COMPUTED_VALUE"""),0.397)</f>
        <v>0.397</v>
      </c>
      <c r="P207" s="17">
        <f>IFERROR(__xludf.DUMMYFUNCTION("""COMPUTED_VALUE"""),0.701)</f>
        <v>0.701</v>
      </c>
      <c r="Q207" s="34">
        <f>IFERROR(__xludf.DUMMYFUNCTION("""COMPUTED_VALUE"""),0.06)</f>
        <v>0.06</v>
      </c>
      <c r="R207" s="34">
        <f>IFERROR(__xludf.DUMMYFUNCTION("""COMPUTED_VALUE"""),0.08)</f>
        <v>0.08</v>
      </c>
      <c r="S207" s="34">
        <f>IFERROR(__xludf.DUMMYFUNCTION("""COMPUTED_VALUE"""),0.04)</f>
        <v>0.04</v>
      </c>
      <c r="T207" s="17" t="str">
        <f t="shared" si="1"/>
        <v>Tommy Edman</v>
      </c>
    </row>
    <row r="208">
      <c r="A208" s="17">
        <f>IFERROR(__xludf.DUMMYFUNCTION("""COMPUTED_VALUE"""),207.0)</f>
        <v>207</v>
      </c>
      <c r="B208" s="17" t="str">
        <f>IFERROR(__xludf.DUMMYFUNCTION("""COMPUTED_VALUE"""),"Brett Baty (NYM - 1B,2B,3B,RF)")</f>
        <v>Brett Baty (NYM - 1B,2B,3B,RF)</v>
      </c>
      <c r="C208" s="17">
        <f>IFERROR(__xludf.DUMMYFUNCTION("""COMPUTED_VALUE"""),311.0)</f>
        <v>311</v>
      </c>
      <c r="D208" s="17">
        <f>IFERROR(__xludf.DUMMYFUNCTION("""COMPUTED_VALUE"""),40.0)</f>
        <v>40</v>
      </c>
      <c r="E208" s="17">
        <f>IFERROR(__xludf.DUMMYFUNCTION("""COMPUTED_VALUE"""),12.0)</f>
        <v>12</v>
      </c>
      <c r="F208" s="17">
        <f>IFERROR(__xludf.DUMMYFUNCTION("""COMPUTED_VALUE"""),42.0)</f>
        <v>42</v>
      </c>
      <c r="G208" s="17">
        <f>IFERROR(__xludf.DUMMYFUNCTION("""COMPUTED_VALUE"""),4.0)</f>
        <v>4</v>
      </c>
      <c r="H208" s="17">
        <f>IFERROR(__xludf.DUMMYFUNCTION("""COMPUTED_VALUE"""),0.243)</f>
        <v>0.243</v>
      </c>
      <c r="I208" s="17">
        <f>IFERROR(__xludf.DUMMYFUNCTION("""COMPUTED_VALUE"""),0.309)</f>
        <v>0.309</v>
      </c>
      <c r="J208" s="17">
        <f>IFERROR(__xludf.DUMMYFUNCTION("""COMPUTED_VALUE"""),75.0)</f>
        <v>75</v>
      </c>
      <c r="K208" s="17">
        <f>IFERROR(__xludf.DUMMYFUNCTION("""COMPUTED_VALUE"""),13.0)</f>
        <v>13</v>
      </c>
      <c r="L208" s="17">
        <f>IFERROR(__xludf.DUMMYFUNCTION("""COMPUTED_VALUE"""),1.0)</f>
        <v>1</v>
      </c>
      <c r="M208" s="17">
        <f>IFERROR(__xludf.DUMMYFUNCTION("""COMPUTED_VALUE"""),28.0)</f>
        <v>28</v>
      </c>
      <c r="N208" s="17">
        <f>IFERROR(__xludf.DUMMYFUNCTION("""COMPUTED_VALUE"""),86.0)</f>
        <v>86</v>
      </c>
      <c r="O208" s="17">
        <f>IFERROR(__xludf.DUMMYFUNCTION("""COMPUTED_VALUE"""),0.406)</f>
        <v>0.406</v>
      </c>
      <c r="P208" s="17">
        <f>IFERROR(__xludf.DUMMYFUNCTION("""COMPUTED_VALUE"""),0.715)</f>
        <v>0.715</v>
      </c>
      <c r="Q208" s="34">
        <f>IFERROR(__xludf.DUMMYFUNCTION("""COMPUTED_VALUE"""),0.05)</f>
        <v>0.05</v>
      </c>
      <c r="R208" s="34">
        <f>IFERROR(__xludf.DUMMYFUNCTION("""COMPUTED_VALUE"""),0.06)</f>
        <v>0.06</v>
      </c>
      <c r="S208" s="34">
        <f>IFERROR(__xludf.DUMMYFUNCTION("""COMPUTED_VALUE"""),0.04)</f>
        <v>0.04</v>
      </c>
      <c r="T208" s="17" t="str">
        <f t="shared" si="1"/>
        <v>Brett Baty</v>
      </c>
    </row>
    <row r="209">
      <c r="A209" s="17">
        <f>IFERROR(__xludf.DUMMYFUNCTION("""COMPUTED_VALUE"""),208.0)</f>
        <v>208</v>
      </c>
      <c r="B209" s="17" t="str">
        <f>IFERROR(__xludf.DUMMYFUNCTION("""COMPUTED_VALUE"""),"Marcelo Mayer (BOS - 2B,3B)")</f>
        <v>Marcelo Mayer (BOS - 2B,3B)</v>
      </c>
      <c r="C209" s="17">
        <f>IFERROR(__xludf.DUMMYFUNCTION("""COMPUTED_VALUE"""),335.0)</f>
        <v>335</v>
      </c>
      <c r="D209" s="17">
        <f>IFERROR(__xludf.DUMMYFUNCTION("""COMPUTED_VALUE"""),42.0)</f>
        <v>42</v>
      </c>
      <c r="E209" s="17">
        <f>IFERROR(__xludf.DUMMYFUNCTION("""COMPUTED_VALUE"""),9.0)</f>
        <v>9</v>
      </c>
      <c r="F209" s="17">
        <f>IFERROR(__xludf.DUMMYFUNCTION("""COMPUTED_VALUE"""),42.0)</f>
        <v>42</v>
      </c>
      <c r="G209" s="17">
        <f>IFERROR(__xludf.DUMMYFUNCTION("""COMPUTED_VALUE"""),5.0)</f>
        <v>5</v>
      </c>
      <c r="H209" s="17">
        <f>IFERROR(__xludf.DUMMYFUNCTION("""COMPUTED_VALUE"""),0.246)</f>
        <v>0.246</v>
      </c>
      <c r="I209" s="17">
        <f>IFERROR(__xludf.DUMMYFUNCTION("""COMPUTED_VALUE"""),0.308)</f>
        <v>0.308</v>
      </c>
      <c r="J209" s="17">
        <f>IFERROR(__xludf.DUMMYFUNCTION("""COMPUTED_VALUE"""),82.0)</f>
        <v>82</v>
      </c>
      <c r="K209" s="17">
        <f>IFERROR(__xludf.DUMMYFUNCTION("""COMPUTED_VALUE"""),20.0)</f>
        <v>20</v>
      </c>
      <c r="L209" s="17">
        <f>IFERROR(__xludf.DUMMYFUNCTION("""COMPUTED_VALUE"""),1.0)</f>
        <v>1</v>
      </c>
      <c r="M209" s="17">
        <f>IFERROR(__xludf.DUMMYFUNCTION("""COMPUTED_VALUE"""),28.0)</f>
        <v>28</v>
      </c>
      <c r="N209" s="17">
        <f>IFERROR(__xludf.DUMMYFUNCTION("""COMPUTED_VALUE"""),83.0)</f>
        <v>83</v>
      </c>
      <c r="O209" s="17">
        <f>IFERROR(__xludf.DUMMYFUNCTION("""COMPUTED_VALUE"""),0.395)</f>
        <v>0.395</v>
      </c>
      <c r="P209" s="17">
        <f>IFERROR(__xludf.DUMMYFUNCTION("""COMPUTED_VALUE"""),0.703)</f>
        <v>0.703</v>
      </c>
      <c r="Q209" s="34">
        <f>IFERROR(__xludf.DUMMYFUNCTION("""COMPUTED_VALUE"""),0.05)</f>
        <v>0.05</v>
      </c>
      <c r="R209" s="34">
        <f>IFERROR(__xludf.DUMMYFUNCTION("""COMPUTED_VALUE"""),0.06)</f>
        <v>0.06</v>
      </c>
      <c r="S209" s="34">
        <f>IFERROR(__xludf.DUMMYFUNCTION("""COMPUTED_VALUE"""),0.03)</f>
        <v>0.03</v>
      </c>
      <c r="T209" s="17" t="str">
        <f t="shared" si="1"/>
        <v>Marcelo Mayer</v>
      </c>
    </row>
    <row r="210">
      <c r="A210" s="17">
        <f>IFERROR(__xludf.DUMMYFUNCTION("""COMPUTED_VALUE"""),209.0)</f>
        <v>209</v>
      </c>
      <c r="B210" s="17" t="str">
        <f>IFERROR(__xludf.DUMMYFUNCTION("""COMPUTED_VALUE"""),"TJ Rumfield (COL - 1B,DH)")</f>
        <v>TJ Rumfield (COL - 1B,DH)</v>
      </c>
      <c r="C210" s="17">
        <f>IFERROR(__xludf.DUMMYFUNCTION("""COMPUTED_VALUE"""),330.0)</f>
        <v>330</v>
      </c>
      <c r="D210" s="17">
        <f>IFERROR(__xludf.DUMMYFUNCTION("""COMPUTED_VALUE"""),41.0)</f>
        <v>41</v>
      </c>
      <c r="E210" s="17">
        <f>IFERROR(__xludf.DUMMYFUNCTION("""COMPUTED_VALUE"""),9.0)</f>
        <v>9</v>
      </c>
      <c r="F210" s="17">
        <f>IFERROR(__xludf.DUMMYFUNCTION("""COMPUTED_VALUE"""),42.0)</f>
        <v>42</v>
      </c>
      <c r="G210" s="17">
        <f>IFERROR(__xludf.DUMMYFUNCTION("""COMPUTED_VALUE"""),2.0)</f>
        <v>2</v>
      </c>
      <c r="H210" s="17">
        <f>IFERROR(__xludf.DUMMYFUNCTION("""COMPUTED_VALUE"""),0.255)</f>
        <v>0.255</v>
      </c>
      <c r="I210" s="17">
        <f>IFERROR(__xludf.DUMMYFUNCTION("""COMPUTED_VALUE"""),0.325)</f>
        <v>0.325</v>
      </c>
      <c r="J210" s="17">
        <f>IFERROR(__xludf.DUMMYFUNCTION("""COMPUTED_VALUE"""),84.0)</f>
        <v>84</v>
      </c>
      <c r="K210" s="17">
        <f>IFERROR(__xludf.DUMMYFUNCTION("""COMPUTED_VALUE"""),17.0)</f>
        <v>17</v>
      </c>
      <c r="L210" s="17">
        <f>IFERROR(__xludf.DUMMYFUNCTION("""COMPUTED_VALUE"""),1.0)</f>
        <v>1</v>
      </c>
      <c r="M210" s="17">
        <f>IFERROR(__xludf.DUMMYFUNCTION("""COMPUTED_VALUE"""),31.0)</f>
        <v>31</v>
      </c>
      <c r="N210" s="17">
        <f>IFERROR(__xludf.DUMMYFUNCTION("""COMPUTED_VALUE"""),71.0)</f>
        <v>71</v>
      </c>
      <c r="O210" s="17">
        <f>IFERROR(__xludf.DUMMYFUNCTION("""COMPUTED_VALUE"""),0.395)</f>
        <v>0.395</v>
      </c>
      <c r="P210" s="17">
        <f>IFERROR(__xludf.DUMMYFUNCTION("""COMPUTED_VALUE"""),0.72)</f>
        <v>0.72</v>
      </c>
      <c r="Q210" s="34">
        <f>IFERROR(__xludf.DUMMYFUNCTION("""COMPUTED_VALUE"""),0.09)</f>
        <v>0.09</v>
      </c>
      <c r="R210" s="34">
        <f>IFERROR(__xludf.DUMMYFUNCTION("""COMPUTED_VALUE"""),0.07)</f>
        <v>0.07</v>
      </c>
      <c r="S210" s="34">
        <f>IFERROR(__xludf.DUMMYFUNCTION("""COMPUTED_VALUE"""),0.1)</f>
        <v>0.1</v>
      </c>
      <c r="T210" s="17" t="str">
        <f t="shared" si="1"/>
        <v>TJ Rumfield</v>
      </c>
    </row>
    <row r="211">
      <c r="A211" s="17">
        <f>IFERROR(__xludf.DUMMYFUNCTION("""COMPUTED_VALUE"""),210.0)</f>
        <v>210</v>
      </c>
      <c r="B211" s="17" t="str">
        <f>IFERROR(__xludf.DUMMYFUNCTION("""COMPUTED_VALUE"""),"Jake Bauers (MIL - 1B,LF,RF)")</f>
        <v>Jake Bauers (MIL - 1B,LF,RF)</v>
      </c>
      <c r="C211" s="17">
        <f>IFERROR(__xludf.DUMMYFUNCTION("""COMPUTED_VALUE"""),278.0)</f>
        <v>278</v>
      </c>
      <c r="D211" s="17">
        <f>IFERROR(__xludf.DUMMYFUNCTION("""COMPUTED_VALUE"""),39.0)</f>
        <v>39</v>
      </c>
      <c r="E211" s="17">
        <f>IFERROR(__xludf.DUMMYFUNCTION("""COMPUTED_VALUE"""),13.0)</f>
        <v>13</v>
      </c>
      <c r="F211" s="17">
        <f>IFERROR(__xludf.DUMMYFUNCTION("""COMPUTED_VALUE"""),42.0)</f>
        <v>42</v>
      </c>
      <c r="G211" s="17">
        <f>IFERROR(__xludf.DUMMYFUNCTION("""COMPUTED_VALUE"""),8.0)</f>
        <v>8</v>
      </c>
      <c r="H211" s="17">
        <f>IFERROR(__xludf.DUMMYFUNCTION("""COMPUTED_VALUE"""),0.223)</f>
        <v>0.223</v>
      </c>
      <c r="I211" s="17">
        <f>IFERROR(__xludf.DUMMYFUNCTION("""COMPUTED_VALUE"""),0.324)</f>
        <v>0.324</v>
      </c>
      <c r="J211" s="17">
        <f>IFERROR(__xludf.DUMMYFUNCTION("""COMPUTED_VALUE"""),62.0)</f>
        <v>62</v>
      </c>
      <c r="K211" s="17">
        <f>IFERROR(__xludf.DUMMYFUNCTION("""COMPUTED_VALUE"""),12.0)</f>
        <v>12</v>
      </c>
      <c r="L211" s="17">
        <f>IFERROR(__xludf.DUMMYFUNCTION("""COMPUTED_VALUE"""),1.0)</f>
        <v>1</v>
      </c>
      <c r="M211" s="17">
        <f>IFERROR(__xludf.DUMMYFUNCTION("""COMPUTED_VALUE"""),38.0)</f>
        <v>38</v>
      </c>
      <c r="N211" s="17">
        <f>IFERROR(__xludf.DUMMYFUNCTION("""COMPUTED_VALUE"""),91.0)</f>
        <v>91</v>
      </c>
      <c r="O211" s="17">
        <f>IFERROR(__xludf.DUMMYFUNCTION("""COMPUTED_VALUE"""),0.417)</f>
        <v>0.417</v>
      </c>
      <c r="P211" s="17">
        <f>IFERROR(__xludf.DUMMYFUNCTION("""COMPUTED_VALUE"""),0.74)</f>
        <v>0.74</v>
      </c>
      <c r="Q211" s="34">
        <f>IFERROR(__xludf.DUMMYFUNCTION("""COMPUTED_VALUE"""),0.2)</f>
        <v>0.2</v>
      </c>
      <c r="R211" s="34">
        <f>IFERROR(__xludf.DUMMYFUNCTION("""COMPUTED_VALUE"""),0.21)</f>
        <v>0.21</v>
      </c>
      <c r="S211" s="34">
        <f>IFERROR(__xludf.DUMMYFUNCTION("""COMPUTED_VALUE"""),0.19)</f>
        <v>0.19</v>
      </c>
      <c r="T211" s="17" t="str">
        <f t="shared" si="1"/>
        <v>Jake Bauers</v>
      </c>
    </row>
    <row r="212">
      <c r="A212" s="17">
        <f>IFERROR(__xludf.DUMMYFUNCTION("""COMPUTED_VALUE"""),211.0)</f>
        <v>211</v>
      </c>
      <c r="B212" s="17" t="str">
        <f>IFERROR(__xludf.DUMMYFUNCTION("""COMPUTED_VALUE"""),"Spencer Steer (CIN - 1B,LF,RF)")</f>
        <v>Spencer Steer (CIN - 1B,LF,RF)</v>
      </c>
      <c r="C212" s="17">
        <f>IFERROR(__xludf.DUMMYFUNCTION("""COMPUTED_VALUE"""),298.0)</f>
        <v>298</v>
      </c>
      <c r="D212" s="17">
        <f>IFERROR(__xludf.DUMMYFUNCTION("""COMPUTED_VALUE"""),40.0)</f>
        <v>40</v>
      </c>
      <c r="E212" s="17">
        <f>IFERROR(__xludf.DUMMYFUNCTION("""COMPUTED_VALUE"""),12.0)</f>
        <v>12</v>
      </c>
      <c r="F212" s="17">
        <f>IFERROR(__xludf.DUMMYFUNCTION("""COMPUTED_VALUE"""),41.0)</f>
        <v>41</v>
      </c>
      <c r="G212" s="17">
        <f>IFERROR(__xludf.DUMMYFUNCTION("""COMPUTED_VALUE"""),6.0)</f>
        <v>6</v>
      </c>
      <c r="H212" s="17">
        <f>IFERROR(__xludf.DUMMYFUNCTION("""COMPUTED_VALUE"""),0.235)</f>
        <v>0.235</v>
      </c>
      <c r="I212" s="17">
        <f>IFERROR(__xludf.DUMMYFUNCTION("""COMPUTED_VALUE"""),0.32)</f>
        <v>0.32</v>
      </c>
      <c r="J212" s="17">
        <f>IFERROR(__xludf.DUMMYFUNCTION("""COMPUTED_VALUE"""),70.0)</f>
        <v>70</v>
      </c>
      <c r="K212" s="17">
        <f>IFERROR(__xludf.DUMMYFUNCTION("""COMPUTED_VALUE"""),15.0)</f>
        <v>15</v>
      </c>
      <c r="L212" s="17">
        <f>IFERROR(__xludf.DUMMYFUNCTION("""COMPUTED_VALUE"""),1.0)</f>
        <v>1</v>
      </c>
      <c r="M212" s="17">
        <f>IFERROR(__xludf.DUMMYFUNCTION("""COMPUTED_VALUE"""),34.0)</f>
        <v>34</v>
      </c>
      <c r="N212" s="17">
        <f>IFERROR(__xludf.DUMMYFUNCTION("""COMPUTED_VALUE"""),74.0)</f>
        <v>74</v>
      </c>
      <c r="O212" s="17">
        <f>IFERROR(__xludf.DUMMYFUNCTION("""COMPUTED_VALUE"""),0.409)</f>
        <v>0.409</v>
      </c>
      <c r="P212" s="17">
        <f>IFERROR(__xludf.DUMMYFUNCTION("""COMPUTED_VALUE"""),0.729)</f>
        <v>0.729</v>
      </c>
      <c r="Q212" s="34">
        <f>IFERROR(__xludf.DUMMYFUNCTION("""COMPUTED_VALUE"""),0.09)</f>
        <v>0.09</v>
      </c>
      <c r="R212" s="34">
        <f>IFERROR(__xludf.DUMMYFUNCTION("""COMPUTED_VALUE"""),0.12)</f>
        <v>0.12</v>
      </c>
      <c r="S212" s="34">
        <f>IFERROR(__xludf.DUMMYFUNCTION("""COMPUTED_VALUE"""),0.07)</f>
        <v>0.07</v>
      </c>
      <c r="T212" s="17" t="str">
        <f t="shared" si="1"/>
        <v>Spencer Steer</v>
      </c>
    </row>
    <row r="213">
      <c r="A213" s="17">
        <f>IFERROR(__xludf.DUMMYFUNCTION("""COMPUTED_VALUE"""),212.0)</f>
        <v>212</v>
      </c>
      <c r="B213" s="17" t="str">
        <f>IFERROR(__xludf.DUMMYFUNCTION("""COMPUTED_VALUE"""),"Dominic Canzone (SEA - LF,RF,DH)")</f>
        <v>Dominic Canzone (SEA - LF,RF,DH)</v>
      </c>
      <c r="C213" s="17">
        <f>IFERROR(__xludf.DUMMYFUNCTION("""COMPUTED_VALUE"""),290.0)</f>
        <v>290</v>
      </c>
      <c r="D213" s="17">
        <f>IFERROR(__xludf.DUMMYFUNCTION("""COMPUTED_VALUE"""),38.0)</f>
        <v>38</v>
      </c>
      <c r="E213" s="17">
        <f>IFERROR(__xludf.DUMMYFUNCTION("""COMPUTED_VALUE"""),12.0)</f>
        <v>12</v>
      </c>
      <c r="F213" s="17">
        <f>IFERROR(__xludf.DUMMYFUNCTION("""COMPUTED_VALUE"""),42.0)</f>
        <v>42</v>
      </c>
      <c r="G213" s="17">
        <f>IFERROR(__xludf.DUMMYFUNCTION("""COMPUTED_VALUE"""),3.0)</f>
        <v>3</v>
      </c>
      <c r="H213" s="17">
        <f>IFERROR(__xludf.DUMMYFUNCTION("""COMPUTED_VALUE"""),0.245)</f>
        <v>0.245</v>
      </c>
      <c r="I213" s="17">
        <f>IFERROR(__xludf.DUMMYFUNCTION("""COMPUTED_VALUE"""),0.308)</f>
        <v>0.308</v>
      </c>
      <c r="J213" s="17">
        <f>IFERROR(__xludf.DUMMYFUNCTION("""COMPUTED_VALUE"""),71.0)</f>
        <v>71</v>
      </c>
      <c r="K213" s="17">
        <f>IFERROR(__xludf.DUMMYFUNCTION("""COMPUTED_VALUE"""),14.0)</f>
        <v>14</v>
      </c>
      <c r="L213" s="17">
        <f>IFERROR(__xludf.DUMMYFUNCTION("""COMPUTED_VALUE"""),0.0)</f>
        <v>0</v>
      </c>
      <c r="M213" s="17">
        <f>IFERROR(__xludf.DUMMYFUNCTION("""COMPUTED_VALUE"""),24.0)</f>
        <v>24</v>
      </c>
      <c r="N213" s="17">
        <f>IFERROR(__xludf.DUMMYFUNCTION("""COMPUTED_VALUE"""),72.0)</f>
        <v>72</v>
      </c>
      <c r="O213" s="17">
        <f>IFERROR(__xludf.DUMMYFUNCTION("""COMPUTED_VALUE"""),0.426)</f>
        <v>0.426</v>
      </c>
      <c r="P213" s="17">
        <f>IFERROR(__xludf.DUMMYFUNCTION("""COMPUTED_VALUE"""),0.733)</f>
        <v>0.733</v>
      </c>
      <c r="Q213" s="34">
        <f>IFERROR(__xludf.DUMMYFUNCTION("""COMPUTED_VALUE"""),0.04)</f>
        <v>0.04</v>
      </c>
      <c r="R213" s="34">
        <f>IFERROR(__xludf.DUMMYFUNCTION("""COMPUTED_VALUE"""),0.05)</f>
        <v>0.05</v>
      </c>
      <c r="S213" s="34">
        <f>IFERROR(__xludf.DUMMYFUNCTION("""COMPUTED_VALUE"""),0.04)</f>
        <v>0.04</v>
      </c>
      <c r="T213" s="17" t="str">
        <f t="shared" si="1"/>
        <v>Dominic Canzone</v>
      </c>
    </row>
    <row r="214">
      <c r="A214" s="17">
        <f>IFERROR(__xludf.DUMMYFUNCTION("""COMPUTED_VALUE"""),213.0)</f>
        <v>213</v>
      </c>
      <c r="B214" s="17" t="str">
        <f>IFERROR(__xludf.DUMMYFUNCTION("""COMPUTED_VALUE"""),"Sam Antonacci (CWS - 2B,3B,LF)")</f>
        <v>Sam Antonacci (CWS - 2B,3B,LF)</v>
      </c>
      <c r="C214" s="17">
        <f>IFERROR(__xludf.DUMMYFUNCTION("""COMPUTED_VALUE"""),297.0)</f>
        <v>297</v>
      </c>
      <c r="D214" s="17">
        <f>IFERROR(__xludf.DUMMYFUNCTION("""COMPUTED_VALUE"""),43.0)</f>
        <v>43</v>
      </c>
      <c r="E214" s="17">
        <f>IFERROR(__xludf.DUMMYFUNCTION("""COMPUTED_VALUE"""),4.0)</f>
        <v>4</v>
      </c>
      <c r="F214" s="17">
        <f>IFERROR(__xludf.DUMMYFUNCTION("""COMPUTED_VALUE"""),34.0)</f>
        <v>34</v>
      </c>
      <c r="G214" s="17">
        <f>IFERROR(__xludf.DUMMYFUNCTION("""COMPUTED_VALUE"""),13.0)</f>
        <v>13</v>
      </c>
      <c r="H214" s="17">
        <f>IFERROR(__xludf.DUMMYFUNCTION("""COMPUTED_VALUE"""),0.248)</f>
        <v>0.248</v>
      </c>
      <c r="I214" s="17">
        <f>IFERROR(__xludf.DUMMYFUNCTION("""COMPUTED_VALUE"""),0.347)</f>
        <v>0.347</v>
      </c>
      <c r="J214" s="17">
        <f>IFERROR(__xludf.DUMMYFUNCTION("""COMPUTED_VALUE"""),74.0)</f>
        <v>74</v>
      </c>
      <c r="K214" s="17">
        <f>IFERROR(__xludf.DUMMYFUNCTION("""COMPUTED_VALUE"""),13.0)</f>
        <v>13</v>
      </c>
      <c r="L214" s="17">
        <f>IFERROR(__xludf.DUMMYFUNCTION("""COMPUTED_VALUE"""),3.0)</f>
        <v>3</v>
      </c>
      <c r="M214" s="17">
        <f>IFERROR(__xludf.DUMMYFUNCTION("""COMPUTED_VALUE"""),33.0)</f>
        <v>33</v>
      </c>
      <c r="N214" s="17">
        <f>IFERROR(__xludf.DUMMYFUNCTION("""COMPUTED_VALUE"""),58.0)</f>
        <v>58</v>
      </c>
      <c r="O214" s="17">
        <f>IFERROR(__xludf.DUMMYFUNCTION("""COMPUTED_VALUE"""),0.352)</f>
        <v>0.352</v>
      </c>
      <c r="P214" s="17">
        <f>IFERROR(__xludf.DUMMYFUNCTION("""COMPUTED_VALUE"""),0.699)</f>
        <v>0.699</v>
      </c>
      <c r="Q214" s="34">
        <f>IFERROR(__xludf.DUMMYFUNCTION("""COMPUTED_VALUE"""),0.04)</f>
        <v>0.04</v>
      </c>
      <c r="R214" s="34">
        <f>IFERROR(__xludf.DUMMYFUNCTION("""COMPUTED_VALUE"""),0.05)</f>
        <v>0.05</v>
      </c>
      <c r="S214" s="34">
        <f>IFERROR(__xludf.DUMMYFUNCTION("""COMPUTED_VALUE"""),0.02)</f>
        <v>0.02</v>
      </c>
      <c r="T214" s="17" t="str">
        <f t="shared" si="1"/>
        <v>Sam Antonacci</v>
      </c>
    </row>
    <row r="215">
      <c r="A215" s="17">
        <f>IFERROR(__xludf.DUMMYFUNCTION("""COMPUTED_VALUE"""),214.0)</f>
        <v>214</v>
      </c>
      <c r="B215" s="17" t="str">
        <f>IFERROR(__xludf.DUMMYFUNCTION("""COMPUTED_VALUE"""),"Alek Thomas (ARI - CF)")</f>
        <v>Alek Thomas (ARI - CF)</v>
      </c>
      <c r="C215" s="17">
        <f>IFERROR(__xludf.DUMMYFUNCTION("""COMPUTED_VALUE"""),333.0)</f>
        <v>333</v>
      </c>
      <c r="D215" s="17">
        <f>IFERROR(__xludf.DUMMYFUNCTION("""COMPUTED_VALUE"""),42.0)</f>
        <v>42</v>
      </c>
      <c r="E215" s="17">
        <f>IFERROR(__xludf.DUMMYFUNCTION("""COMPUTED_VALUE"""),8.0)</f>
        <v>8</v>
      </c>
      <c r="F215" s="17">
        <f>IFERROR(__xludf.DUMMYFUNCTION("""COMPUTED_VALUE"""),39.0)</f>
        <v>39</v>
      </c>
      <c r="G215" s="17">
        <f>IFERROR(__xludf.DUMMYFUNCTION("""COMPUTED_VALUE"""),8.0)</f>
        <v>8</v>
      </c>
      <c r="H215" s="17">
        <f>IFERROR(__xludf.DUMMYFUNCTION("""COMPUTED_VALUE"""),0.243)</f>
        <v>0.243</v>
      </c>
      <c r="I215" s="17">
        <f>IFERROR(__xludf.DUMMYFUNCTION("""COMPUTED_VALUE"""),0.289)</f>
        <v>0.289</v>
      </c>
      <c r="J215" s="17">
        <f>IFERROR(__xludf.DUMMYFUNCTION("""COMPUTED_VALUE"""),81.0)</f>
        <v>81</v>
      </c>
      <c r="K215" s="17">
        <f>IFERROR(__xludf.DUMMYFUNCTION("""COMPUTED_VALUE"""),17.0)</f>
        <v>17</v>
      </c>
      <c r="L215" s="17">
        <f>IFERROR(__xludf.DUMMYFUNCTION("""COMPUTED_VALUE"""),2.0)</f>
        <v>2</v>
      </c>
      <c r="M215" s="17">
        <f>IFERROR(__xludf.DUMMYFUNCTION("""COMPUTED_VALUE"""),21.0)</f>
        <v>21</v>
      </c>
      <c r="N215" s="17">
        <f>IFERROR(__xludf.DUMMYFUNCTION("""COMPUTED_VALUE"""),82.0)</f>
        <v>82</v>
      </c>
      <c r="O215" s="17">
        <f>IFERROR(__xludf.DUMMYFUNCTION("""COMPUTED_VALUE"""),0.383)</f>
        <v>0.383</v>
      </c>
      <c r="P215" s="17">
        <f>IFERROR(__xludf.DUMMYFUNCTION("""COMPUTED_VALUE"""),0.672)</f>
        <v>0.672</v>
      </c>
      <c r="Q215" s="34">
        <f>IFERROR(__xludf.DUMMYFUNCTION("""COMPUTED_VALUE"""),0.01)</f>
        <v>0.01</v>
      </c>
      <c r="R215" s="34">
        <f>IFERROR(__xludf.DUMMYFUNCTION("""COMPUTED_VALUE"""),0.01)</f>
        <v>0.01</v>
      </c>
      <c r="S215" s="34">
        <f>IFERROR(__xludf.DUMMYFUNCTION("""COMPUTED_VALUE"""),0.01)</f>
        <v>0.01</v>
      </c>
      <c r="T215" s="17" t="str">
        <f t="shared" si="1"/>
        <v>Alek Thomas</v>
      </c>
    </row>
    <row r="216">
      <c r="A216" s="17">
        <f>IFERROR(__xludf.DUMMYFUNCTION("""COMPUTED_VALUE"""),215.0)</f>
        <v>215</v>
      </c>
      <c r="B216" s="17" t="str">
        <f>IFERROR(__xludf.DUMMYFUNCTION("""COMPUTED_VALUE"""),"Joc Pederson (TEX - DH)")</f>
        <v>Joc Pederson (TEX - DH)</v>
      </c>
      <c r="C216" s="17">
        <f>IFERROR(__xludf.DUMMYFUNCTION("""COMPUTED_VALUE"""),287.0)</f>
        <v>287</v>
      </c>
      <c r="D216" s="17">
        <f>IFERROR(__xludf.DUMMYFUNCTION("""COMPUTED_VALUE"""),42.0)</f>
        <v>42</v>
      </c>
      <c r="E216" s="17">
        <f>IFERROR(__xludf.DUMMYFUNCTION("""COMPUTED_VALUE"""),14.0)</f>
        <v>14</v>
      </c>
      <c r="F216" s="17">
        <f>IFERROR(__xludf.DUMMYFUNCTION("""COMPUTED_VALUE"""),42.0)</f>
        <v>42</v>
      </c>
      <c r="G216" s="17">
        <f>IFERROR(__xludf.DUMMYFUNCTION("""COMPUTED_VALUE"""),2.0)</f>
        <v>2</v>
      </c>
      <c r="H216" s="17">
        <f>IFERROR(__xludf.DUMMYFUNCTION("""COMPUTED_VALUE"""),0.231)</f>
        <v>0.231</v>
      </c>
      <c r="I216" s="17">
        <f>IFERROR(__xludf.DUMMYFUNCTION("""COMPUTED_VALUE"""),0.338)</f>
        <v>0.338</v>
      </c>
      <c r="J216" s="17">
        <f>IFERROR(__xludf.DUMMYFUNCTION("""COMPUTED_VALUE"""),66.0)</f>
        <v>66</v>
      </c>
      <c r="K216" s="17">
        <f>IFERROR(__xludf.DUMMYFUNCTION("""COMPUTED_VALUE"""),11.0)</f>
        <v>11</v>
      </c>
      <c r="L216" s="17">
        <f>IFERROR(__xludf.DUMMYFUNCTION("""COMPUTED_VALUE"""),1.0)</f>
        <v>1</v>
      </c>
      <c r="M216" s="17">
        <f>IFERROR(__xludf.DUMMYFUNCTION("""COMPUTED_VALUE"""),40.0)</f>
        <v>40</v>
      </c>
      <c r="N216" s="17">
        <f>IFERROR(__xludf.DUMMYFUNCTION("""COMPUTED_VALUE"""),78.0)</f>
        <v>78</v>
      </c>
      <c r="O216" s="17">
        <f>IFERROR(__xludf.DUMMYFUNCTION("""COMPUTED_VALUE"""),0.421)</f>
        <v>0.421</v>
      </c>
      <c r="P216" s="17">
        <f>IFERROR(__xludf.DUMMYFUNCTION("""COMPUTED_VALUE"""),0.759)</f>
        <v>0.759</v>
      </c>
      <c r="Q216" s="34">
        <f>IFERROR(__xludf.DUMMYFUNCTION("""COMPUTED_VALUE"""),0.0)</f>
        <v>0</v>
      </c>
      <c r="R216" s="34">
        <f>IFERROR(__xludf.DUMMYFUNCTION("""COMPUTED_VALUE"""),0.0)</f>
        <v>0</v>
      </c>
      <c r="S216" s="34">
        <f>IFERROR(__xludf.DUMMYFUNCTION("""COMPUTED_VALUE"""),0.0)</f>
        <v>0</v>
      </c>
      <c r="T216" s="17" t="str">
        <f t="shared" si="1"/>
        <v>Joc Pederson</v>
      </c>
    </row>
    <row r="217">
      <c r="A217" s="17">
        <f>IFERROR(__xludf.DUMMYFUNCTION("""COMPUTED_VALUE"""),216.0)</f>
        <v>216</v>
      </c>
      <c r="B217" s="17" t="str">
        <f>IFERROR(__xludf.DUMMYFUNCTION("""COMPUTED_VALUE"""),"Austin Hays (CWS - LF,DH)")</f>
        <v>Austin Hays (CWS - LF,DH)</v>
      </c>
      <c r="C217" s="17">
        <f>IFERROR(__xludf.DUMMYFUNCTION("""COMPUTED_VALUE"""),312.0)</f>
        <v>312</v>
      </c>
      <c r="D217" s="17">
        <f>IFERROR(__xludf.DUMMYFUNCTION("""COMPUTED_VALUE"""),39.0)</f>
        <v>39</v>
      </c>
      <c r="E217" s="17">
        <f>IFERROR(__xludf.DUMMYFUNCTION("""COMPUTED_VALUE"""),11.0)</f>
        <v>11</v>
      </c>
      <c r="F217" s="17">
        <f>IFERROR(__xludf.DUMMYFUNCTION("""COMPUTED_VALUE"""),41.0)</f>
        <v>41</v>
      </c>
      <c r="G217" s="17">
        <f>IFERROR(__xludf.DUMMYFUNCTION("""COMPUTED_VALUE"""),4.0)</f>
        <v>4</v>
      </c>
      <c r="H217" s="17">
        <f>IFERROR(__xludf.DUMMYFUNCTION("""COMPUTED_VALUE"""),0.243)</f>
        <v>0.243</v>
      </c>
      <c r="I217" s="17">
        <f>IFERROR(__xludf.DUMMYFUNCTION("""COMPUTED_VALUE"""),0.303)</f>
        <v>0.303</v>
      </c>
      <c r="J217" s="17">
        <f>IFERROR(__xludf.DUMMYFUNCTION("""COMPUTED_VALUE"""),76.0)</f>
        <v>76</v>
      </c>
      <c r="K217" s="17">
        <f>IFERROR(__xludf.DUMMYFUNCTION("""COMPUTED_VALUE"""),16.0)</f>
        <v>16</v>
      </c>
      <c r="L217" s="17">
        <f>IFERROR(__xludf.DUMMYFUNCTION("""COMPUTED_VALUE"""),2.0)</f>
        <v>2</v>
      </c>
      <c r="M217" s="17">
        <f>IFERROR(__xludf.DUMMYFUNCTION("""COMPUTED_VALUE"""),23.0)</f>
        <v>23</v>
      </c>
      <c r="N217" s="17">
        <f>IFERROR(__xludf.DUMMYFUNCTION("""COMPUTED_VALUE"""),85.0)</f>
        <v>85</v>
      </c>
      <c r="O217" s="17">
        <f>IFERROR(__xludf.DUMMYFUNCTION("""COMPUTED_VALUE"""),0.407)</f>
        <v>0.407</v>
      </c>
      <c r="P217" s="17">
        <f>IFERROR(__xludf.DUMMYFUNCTION("""COMPUTED_VALUE"""),0.71)</f>
        <v>0.71</v>
      </c>
      <c r="Q217" s="34">
        <f>IFERROR(__xludf.DUMMYFUNCTION("""COMPUTED_VALUE"""),0.01)</f>
        <v>0.01</v>
      </c>
      <c r="R217" s="34">
        <f>IFERROR(__xludf.DUMMYFUNCTION("""COMPUTED_VALUE"""),0.01)</f>
        <v>0.01</v>
      </c>
      <c r="S217" s="34">
        <f>IFERROR(__xludf.DUMMYFUNCTION("""COMPUTED_VALUE"""),0.01)</f>
        <v>0.01</v>
      </c>
      <c r="T217" s="17" t="str">
        <f t="shared" si="1"/>
        <v>Austin Hays</v>
      </c>
    </row>
    <row r="218">
      <c r="A218" s="17">
        <f>IFERROR(__xludf.DUMMYFUNCTION("""COMPUTED_VALUE"""),217.0)</f>
        <v>217</v>
      </c>
      <c r="B218" s="17" t="str">
        <f>IFERROR(__xludf.DUMMYFUNCTION("""COMPUTED_VALUE"""),"Kyle Isbel (KC - CF)")</f>
        <v>Kyle Isbel (KC - CF)</v>
      </c>
      <c r="C218" s="17">
        <f>IFERROR(__xludf.DUMMYFUNCTION("""COMPUTED_VALUE"""),348.0)</f>
        <v>348</v>
      </c>
      <c r="D218" s="17">
        <f>IFERROR(__xludf.DUMMYFUNCTION("""COMPUTED_VALUE"""),45.0)</f>
        <v>45</v>
      </c>
      <c r="E218" s="17">
        <f>IFERROR(__xludf.DUMMYFUNCTION("""COMPUTED_VALUE"""),7.0)</f>
        <v>7</v>
      </c>
      <c r="F218" s="17">
        <f>IFERROR(__xludf.DUMMYFUNCTION("""COMPUTED_VALUE"""),36.0)</f>
        <v>36</v>
      </c>
      <c r="G218" s="17">
        <f>IFERROR(__xludf.DUMMYFUNCTION("""COMPUTED_VALUE"""),9.0)</f>
        <v>9</v>
      </c>
      <c r="H218" s="17">
        <f>IFERROR(__xludf.DUMMYFUNCTION("""COMPUTED_VALUE"""),0.241)</f>
        <v>0.241</v>
      </c>
      <c r="I218" s="17">
        <f>IFERROR(__xludf.DUMMYFUNCTION("""COMPUTED_VALUE"""),0.293)</f>
        <v>0.293</v>
      </c>
      <c r="J218" s="17">
        <f>IFERROR(__xludf.DUMMYFUNCTION("""COMPUTED_VALUE"""),84.0)</f>
        <v>84</v>
      </c>
      <c r="K218" s="17">
        <f>IFERROR(__xludf.DUMMYFUNCTION("""COMPUTED_VALUE"""),16.0)</f>
        <v>16</v>
      </c>
      <c r="L218" s="17">
        <f>IFERROR(__xludf.DUMMYFUNCTION("""COMPUTED_VALUE"""),3.0)</f>
        <v>3</v>
      </c>
      <c r="M218" s="17">
        <f>IFERROR(__xludf.DUMMYFUNCTION("""COMPUTED_VALUE"""),25.0)</f>
        <v>25</v>
      </c>
      <c r="N218" s="17">
        <f>IFERROR(__xludf.DUMMYFUNCTION("""COMPUTED_VALUE"""),77.0)</f>
        <v>77</v>
      </c>
      <c r="O218" s="17">
        <f>IFERROR(__xludf.DUMMYFUNCTION("""COMPUTED_VALUE"""),0.368)</f>
        <v>0.368</v>
      </c>
      <c r="P218" s="17">
        <f>IFERROR(__xludf.DUMMYFUNCTION("""COMPUTED_VALUE"""),0.661)</f>
        <v>0.661</v>
      </c>
      <c r="Q218" s="34">
        <f>IFERROR(__xludf.DUMMYFUNCTION("""COMPUTED_VALUE"""),0.05)</f>
        <v>0.05</v>
      </c>
      <c r="R218" s="34">
        <f>IFERROR(__xludf.DUMMYFUNCTION("""COMPUTED_VALUE"""),0.05)</f>
        <v>0.05</v>
      </c>
      <c r="S218" s="34">
        <f>IFERROR(__xludf.DUMMYFUNCTION("""COMPUTED_VALUE"""),0.05)</f>
        <v>0.05</v>
      </c>
      <c r="T218" s="17" t="str">
        <f t="shared" si="1"/>
        <v>Kyle Isbel</v>
      </c>
    </row>
    <row r="219">
      <c r="A219" s="17">
        <f>IFERROR(__xludf.DUMMYFUNCTION("""COMPUTED_VALUE"""),218.0)</f>
        <v>218</v>
      </c>
      <c r="B219" s="17" t="str">
        <f>IFERROR(__xludf.DUMMYFUNCTION("""COMPUTED_VALUE"""),"Isaac Collins (KC - LF,RF)")</f>
        <v>Isaac Collins (KC - LF,RF)</v>
      </c>
      <c r="C219" s="17">
        <f>IFERROR(__xludf.DUMMYFUNCTION("""COMPUTED_VALUE"""),310.0)</f>
        <v>310</v>
      </c>
      <c r="D219" s="17">
        <f>IFERROR(__xludf.DUMMYFUNCTION("""COMPUTED_VALUE"""),44.0)</f>
        <v>44</v>
      </c>
      <c r="E219" s="17">
        <f>IFERROR(__xludf.DUMMYFUNCTION("""COMPUTED_VALUE"""),7.0)</f>
        <v>7</v>
      </c>
      <c r="F219" s="17">
        <f>IFERROR(__xludf.DUMMYFUNCTION("""COMPUTED_VALUE"""),36.0)</f>
        <v>36</v>
      </c>
      <c r="G219" s="17">
        <f>IFERROR(__xludf.DUMMYFUNCTION("""COMPUTED_VALUE"""),11.0)</f>
        <v>11</v>
      </c>
      <c r="H219" s="17">
        <f>IFERROR(__xludf.DUMMYFUNCTION("""COMPUTED_VALUE"""),0.237)</f>
        <v>0.237</v>
      </c>
      <c r="I219" s="17">
        <f>IFERROR(__xludf.DUMMYFUNCTION("""COMPUTED_VALUE"""),0.338)</f>
        <v>0.338</v>
      </c>
      <c r="J219" s="17">
        <f>IFERROR(__xludf.DUMMYFUNCTION("""COMPUTED_VALUE"""),73.0)</f>
        <v>73</v>
      </c>
      <c r="K219" s="17">
        <f>IFERROR(__xludf.DUMMYFUNCTION("""COMPUTED_VALUE"""),16.0)</f>
        <v>16</v>
      </c>
      <c r="L219" s="17">
        <f>IFERROR(__xludf.DUMMYFUNCTION("""COMPUTED_VALUE"""),2.0)</f>
        <v>2</v>
      </c>
      <c r="M219" s="17">
        <f>IFERROR(__xludf.DUMMYFUNCTION("""COMPUTED_VALUE"""),44.0)</f>
        <v>44</v>
      </c>
      <c r="N219" s="17">
        <f>IFERROR(__xludf.DUMMYFUNCTION("""COMPUTED_VALUE"""),81.0)</f>
        <v>81</v>
      </c>
      <c r="O219" s="17">
        <f>IFERROR(__xludf.DUMMYFUNCTION("""COMPUTED_VALUE"""),0.373)</f>
        <v>0.373</v>
      </c>
      <c r="P219" s="17">
        <f>IFERROR(__xludf.DUMMYFUNCTION("""COMPUTED_VALUE"""),0.71)</f>
        <v>0.71</v>
      </c>
      <c r="Q219" s="34">
        <f>IFERROR(__xludf.DUMMYFUNCTION("""COMPUTED_VALUE"""),0.01)</f>
        <v>0.01</v>
      </c>
      <c r="R219" s="34">
        <f>IFERROR(__xludf.DUMMYFUNCTION("""COMPUTED_VALUE"""),0.01)</f>
        <v>0.01</v>
      </c>
      <c r="S219" s="34">
        <f>IFERROR(__xludf.DUMMYFUNCTION("""COMPUTED_VALUE"""),0.01)</f>
        <v>0.01</v>
      </c>
      <c r="T219" s="17" t="str">
        <f t="shared" si="1"/>
        <v>Isaac Collins</v>
      </c>
    </row>
    <row r="220">
      <c r="A220" s="17">
        <f>IFERROR(__xludf.DUMMYFUNCTION("""COMPUTED_VALUE"""),219.0)</f>
        <v>219</v>
      </c>
      <c r="B220" s="17" t="str">
        <f>IFERROR(__xludf.DUMMYFUNCTION("""COMPUTED_VALUE"""),"Tyler Stephenson (CIN - C)")</f>
        <v>Tyler Stephenson (CIN - C)</v>
      </c>
      <c r="C220" s="17">
        <f>IFERROR(__xludf.DUMMYFUNCTION("""COMPUTED_VALUE"""),324.0)</f>
        <v>324</v>
      </c>
      <c r="D220" s="17">
        <f>IFERROR(__xludf.DUMMYFUNCTION("""COMPUTED_VALUE"""),42.0)</f>
        <v>42</v>
      </c>
      <c r="E220" s="17">
        <f>IFERROR(__xludf.DUMMYFUNCTION("""COMPUTED_VALUE"""),12.0)</f>
        <v>12</v>
      </c>
      <c r="F220" s="17">
        <f>IFERROR(__xludf.DUMMYFUNCTION("""COMPUTED_VALUE"""),44.0)</f>
        <v>44</v>
      </c>
      <c r="G220" s="17">
        <f>IFERROR(__xludf.DUMMYFUNCTION("""COMPUTED_VALUE"""),1.0)</f>
        <v>1</v>
      </c>
      <c r="H220" s="17">
        <f>IFERROR(__xludf.DUMMYFUNCTION("""COMPUTED_VALUE"""),0.233)</f>
        <v>0.233</v>
      </c>
      <c r="I220" s="17">
        <f>IFERROR(__xludf.DUMMYFUNCTION("""COMPUTED_VALUE"""),0.321)</f>
        <v>0.321</v>
      </c>
      <c r="J220" s="17">
        <f>IFERROR(__xludf.DUMMYFUNCTION("""COMPUTED_VALUE"""),76.0)</f>
        <v>76</v>
      </c>
      <c r="K220" s="17">
        <f>IFERROR(__xludf.DUMMYFUNCTION("""COMPUTED_VALUE"""),15.0)</f>
        <v>15</v>
      </c>
      <c r="L220" s="17">
        <f>IFERROR(__xludf.DUMMYFUNCTION("""COMPUTED_VALUE"""),1.0)</f>
        <v>1</v>
      </c>
      <c r="M220" s="17">
        <f>IFERROR(__xludf.DUMMYFUNCTION("""COMPUTED_VALUE"""),39.0)</f>
        <v>39</v>
      </c>
      <c r="N220" s="17">
        <f>IFERROR(__xludf.DUMMYFUNCTION("""COMPUTED_VALUE"""),105.0)</f>
        <v>105</v>
      </c>
      <c r="O220" s="17">
        <f>IFERROR(__xludf.DUMMYFUNCTION("""COMPUTED_VALUE"""),0.4)</f>
        <v>0.4</v>
      </c>
      <c r="P220" s="17">
        <f>IFERROR(__xludf.DUMMYFUNCTION("""COMPUTED_VALUE"""),0.721)</f>
        <v>0.721</v>
      </c>
      <c r="Q220" s="34">
        <f>IFERROR(__xludf.DUMMYFUNCTION("""COMPUTED_VALUE"""),0.03)</f>
        <v>0.03</v>
      </c>
      <c r="R220" s="34">
        <f>IFERROR(__xludf.DUMMYFUNCTION("""COMPUTED_VALUE"""),0.04)</f>
        <v>0.04</v>
      </c>
      <c r="S220" s="34">
        <f>IFERROR(__xludf.DUMMYFUNCTION("""COMPUTED_VALUE"""),0.02)</f>
        <v>0.02</v>
      </c>
      <c r="T220" s="17" t="str">
        <f t="shared" si="1"/>
        <v>Tyler Stephenson</v>
      </c>
    </row>
    <row r="221">
      <c r="A221" s="17">
        <f>IFERROR(__xludf.DUMMYFUNCTION("""COMPUTED_VALUE"""),220.0)</f>
        <v>220</v>
      </c>
      <c r="B221" s="17" t="str">
        <f>IFERROR(__xludf.DUMMYFUNCTION("""COMPUTED_VALUE"""),"Trevor Larnach (MIN - LF,RF,DH)")</f>
        <v>Trevor Larnach (MIN - LF,RF,DH)</v>
      </c>
      <c r="C221" s="17">
        <f>IFERROR(__xludf.DUMMYFUNCTION("""COMPUTED_VALUE"""),297.0)</f>
        <v>297</v>
      </c>
      <c r="D221" s="17">
        <f>IFERROR(__xludf.DUMMYFUNCTION("""COMPUTED_VALUE"""),41.0)</f>
        <v>41</v>
      </c>
      <c r="E221" s="17">
        <f>IFERROR(__xludf.DUMMYFUNCTION("""COMPUTED_VALUE"""),10.0)</f>
        <v>10</v>
      </c>
      <c r="F221" s="17">
        <f>IFERROR(__xludf.DUMMYFUNCTION("""COMPUTED_VALUE"""),38.0)</f>
        <v>38</v>
      </c>
      <c r="G221" s="17">
        <f>IFERROR(__xludf.DUMMYFUNCTION("""COMPUTED_VALUE"""),3.0)</f>
        <v>3</v>
      </c>
      <c r="H221" s="17">
        <f>IFERROR(__xludf.DUMMYFUNCTION("""COMPUTED_VALUE"""),0.247)</f>
        <v>0.247</v>
      </c>
      <c r="I221" s="17">
        <f>IFERROR(__xludf.DUMMYFUNCTION("""COMPUTED_VALUE"""),0.336)</f>
        <v>0.336</v>
      </c>
      <c r="J221" s="17">
        <f>IFERROR(__xludf.DUMMYFUNCTION("""COMPUTED_VALUE"""),73.0)</f>
        <v>73</v>
      </c>
      <c r="K221" s="17">
        <f>IFERROR(__xludf.DUMMYFUNCTION("""COMPUTED_VALUE"""),14.0)</f>
        <v>14</v>
      </c>
      <c r="L221" s="17">
        <f>IFERROR(__xludf.DUMMYFUNCTION("""COMPUTED_VALUE"""),1.0)</f>
        <v>1</v>
      </c>
      <c r="M221" s="17">
        <f>IFERROR(__xludf.DUMMYFUNCTION("""COMPUTED_VALUE"""),37.0)</f>
        <v>37</v>
      </c>
      <c r="N221" s="17">
        <f>IFERROR(__xludf.DUMMYFUNCTION("""COMPUTED_VALUE"""),78.0)</f>
        <v>78</v>
      </c>
      <c r="O221" s="17">
        <f>IFERROR(__xludf.DUMMYFUNCTION("""COMPUTED_VALUE"""),0.403)</f>
        <v>0.403</v>
      </c>
      <c r="P221" s="17">
        <f>IFERROR(__xludf.DUMMYFUNCTION("""COMPUTED_VALUE"""),0.739)</f>
        <v>0.739</v>
      </c>
      <c r="Q221" s="34">
        <f>IFERROR(__xludf.DUMMYFUNCTION("""COMPUTED_VALUE"""),0.02)</f>
        <v>0.02</v>
      </c>
      <c r="R221" s="34">
        <f>IFERROR(__xludf.DUMMYFUNCTION("""COMPUTED_VALUE"""),0.02)</f>
        <v>0.02</v>
      </c>
      <c r="S221" s="34">
        <f>IFERROR(__xludf.DUMMYFUNCTION("""COMPUTED_VALUE"""),0.02)</f>
        <v>0.02</v>
      </c>
      <c r="T221" s="17" t="str">
        <f t="shared" si="1"/>
        <v>Trevor Larnach</v>
      </c>
    </row>
    <row r="222">
      <c r="A222" s="17">
        <f>IFERROR(__xludf.DUMMYFUNCTION("""COMPUTED_VALUE"""),221.0)</f>
        <v>221</v>
      </c>
      <c r="B222" s="17" t="str">
        <f>IFERROR(__xludf.DUMMYFUNCTION("""COMPUTED_VALUE"""),"Addison Barger (TOR - 3B,LF,RF) IL10")</f>
        <v>Addison Barger (TOR - 3B,LF,RF) IL10</v>
      </c>
      <c r="C222" s="17">
        <f>IFERROR(__xludf.DUMMYFUNCTION("""COMPUTED_VALUE"""),285.0)</f>
        <v>285</v>
      </c>
      <c r="D222" s="17">
        <f>IFERROR(__xludf.DUMMYFUNCTION("""COMPUTED_VALUE"""),38.0)</f>
        <v>38</v>
      </c>
      <c r="E222" s="17">
        <f>IFERROR(__xludf.DUMMYFUNCTION("""COMPUTED_VALUE"""),11.0)</f>
        <v>11</v>
      </c>
      <c r="F222" s="17">
        <f>IFERROR(__xludf.DUMMYFUNCTION("""COMPUTED_VALUE"""),42.0)</f>
        <v>42</v>
      </c>
      <c r="G222" s="17">
        <f>IFERROR(__xludf.DUMMYFUNCTION("""COMPUTED_VALUE"""),2.0)</f>
        <v>2</v>
      </c>
      <c r="H222" s="17">
        <f>IFERROR(__xludf.DUMMYFUNCTION("""COMPUTED_VALUE"""),0.241)</f>
        <v>0.241</v>
      </c>
      <c r="I222" s="17">
        <f>IFERROR(__xludf.DUMMYFUNCTION("""COMPUTED_VALUE"""),0.313)</f>
        <v>0.313</v>
      </c>
      <c r="J222" s="17">
        <f>IFERROR(__xludf.DUMMYFUNCTION("""COMPUTED_VALUE"""),69.0)</f>
        <v>69</v>
      </c>
      <c r="K222" s="17">
        <f>IFERROR(__xludf.DUMMYFUNCTION("""COMPUTED_VALUE"""),17.0)</f>
        <v>17</v>
      </c>
      <c r="L222" s="17">
        <f>IFERROR(__xludf.DUMMYFUNCTION("""COMPUTED_VALUE"""),1.0)</f>
        <v>1</v>
      </c>
      <c r="M222" s="17">
        <f>IFERROR(__xludf.DUMMYFUNCTION("""COMPUTED_VALUE"""),27.0)</f>
        <v>27</v>
      </c>
      <c r="N222" s="17">
        <f>IFERROR(__xludf.DUMMYFUNCTION("""COMPUTED_VALUE"""),76.0)</f>
        <v>76</v>
      </c>
      <c r="O222" s="17">
        <f>IFERROR(__xludf.DUMMYFUNCTION("""COMPUTED_VALUE"""),0.424)</f>
        <v>0.424</v>
      </c>
      <c r="P222" s="17">
        <f>IFERROR(__xludf.DUMMYFUNCTION("""COMPUTED_VALUE"""),0.737)</f>
        <v>0.737</v>
      </c>
      <c r="Q222" s="34">
        <f>IFERROR(__xludf.DUMMYFUNCTION("""COMPUTED_VALUE"""),0.18)</f>
        <v>0.18</v>
      </c>
      <c r="R222" s="34">
        <f>IFERROR(__xludf.DUMMYFUNCTION("""COMPUTED_VALUE"""),0.27)</f>
        <v>0.27</v>
      </c>
      <c r="S222" s="34">
        <f>IFERROR(__xludf.DUMMYFUNCTION("""COMPUTED_VALUE"""),0.09)</f>
        <v>0.09</v>
      </c>
      <c r="T222" s="17" t="str">
        <f t="shared" si="1"/>
        <v>Addison Barger</v>
      </c>
    </row>
    <row r="223">
      <c r="A223" s="17">
        <f>IFERROR(__xludf.DUMMYFUNCTION("""COMPUTED_VALUE"""),222.0)</f>
        <v>222</v>
      </c>
      <c r="B223" s="17" t="str">
        <f>IFERROR(__xludf.DUMMYFUNCTION("""COMPUTED_VALUE"""),"Owen Caissie (MIA - CF,RF)")</f>
        <v>Owen Caissie (MIA - CF,RF)</v>
      </c>
      <c r="C223" s="17">
        <f>IFERROR(__xludf.DUMMYFUNCTION("""COMPUTED_VALUE"""),321.0)</f>
        <v>321</v>
      </c>
      <c r="D223" s="17">
        <f>IFERROR(__xludf.DUMMYFUNCTION("""COMPUTED_VALUE"""),40.0)</f>
        <v>40</v>
      </c>
      <c r="E223" s="17">
        <f>IFERROR(__xludf.DUMMYFUNCTION("""COMPUTED_VALUE"""),11.0)</f>
        <v>11</v>
      </c>
      <c r="F223" s="17">
        <f>IFERROR(__xludf.DUMMYFUNCTION("""COMPUTED_VALUE"""),42.0)</f>
        <v>42</v>
      </c>
      <c r="G223" s="17">
        <f>IFERROR(__xludf.DUMMYFUNCTION("""COMPUTED_VALUE"""),4.0)</f>
        <v>4</v>
      </c>
      <c r="H223" s="17">
        <f>IFERROR(__xludf.DUMMYFUNCTION("""COMPUTED_VALUE"""),0.234)</f>
        <v>0.234</v>
      </c>
      <c r="I223" s="17">
        <f>IFERROR(__xludf.DUMMYFUNCTION("""COMPUTED_VALUE"""),0.311)</f>
        <v>0.311</v>
      </c>
      <c r="J223" s="17">
        <f>IFERROR(__xludf.DUMMYFUNCTION("""COMPUTED_VALUE"""),75.0)</f>
        <v>75</v>
      </c>
      <c r="K223" s="17">
        <f>IFERROR(__xludf.DUMMYFUNCTION("""COMPUTED_VALUE"""),17.0)</f>
        <v>17</v>
      </c>
      <c r="L223" s="17">
        <f>IFERROR(__xludf.DUMMYFUNCTION("""COMPUTED_VALUE"""),1.0)</f>
        <v>1</v>
      </c>
      <c r="M223" s="17">
        <f>IFERROR(__xludf.DUMMYFUNCTION("""COMPUTED_VALUE"""),33.0)</f>
        <v>33</v>
      </c>
      <c r="N223" s="17">
        <f>IFERROR(__xludf.DUMMYFUNCTION("""COMPUTED_VALUE"""),117.0)</f>
        <v>117</v>
      </c>
      <c r="O223" s="17">
        <f>IFERROR(__xludf.DUMMYFUNCTION("""COMPUTED_VALUE"""),0.393)</f>
        <v>0.393</v>
      </c>
      <c r="P223" s="17">
        <f>IFERROR(__xludf.DUMMYFUNCTION("""COMPUTED_VALUE"""),0.704)</f>
        <v>0.704</v>
      </c>
      <c r="Q223" s="34">
        <f>IFERROR(__xludf.DUMMYFUNCTION("""COMPUTED_VALUE"""),0.07)</f>
        <v>0.07</v>
      </c>
      <c r="R223" s="34">
        <f>IFERROR(__xludf.DUMMYFUNCTION("""COMPUTED_VALUE"""),0.08)</f>
        <v>0.08</v>
      </c>
      <c r="S223" s="34">
        <f>IFERROR(__xludf.DUMMYFUNCTION("""COMPUTED_VALUE"""),0.05)</f>
        <v>0.05</v>
      </c>
      <c r="T223" s="17" t="str">
        <f t="shared" si="1"/>
        <v>Owen Caissie</v>
      </c>
    </row>
    <row r="224">
      <c r="A224" s="17">
        <f>IFERROR(__xludf.DUMMYFUNCTION("""COMPUTED_VALUE"""),223.0)</f>
        <v>223</v>
      </c>
      <c r="B224" s="17" t="str">
        <f>IFERROR(__xludf.DUMMYFUNCTION("""COMPUTED_VALUE"""),"Yoan Moncada (LAA - 3B)")</f>
        <v>Yoan Moncada (LAA - 3B)</v>
      </c>
      <c r="C224" s="17">
        <f>IFERROR(__xludf.DUMMYFUNCTION("""COMPUTED_VALUE"""),330.0)</f>
        <v>330</v>
      </c>
      <c r="D224" s="17">
        <f>IFERROR(__xludf.DUMMYFUNCTION("""COMPUTED_VALUE"""),42.0)</f>
        <v>42</v>
      </c>
      <c r="E224" s="17">
        <f>IFERROR(__xludf.DUMMYFUNCTION("""COMPUTED_VALUE"""),12.0)</f>
        <v>12</v>
      </c>
      <c r="F224" s="17">
        <f>IFERROR(__xludf.DUMMYFUNCTION("""COMPUTED_VALUE"""),43.0)</f>
        <v>43</v>
      </c>
      <c r="G224" s="17">
        <f>IFERROR(__xludf.DUMMYFUNCTION("""COMPUTED_VALUE"""),1.0)</f>
        <v>1</v>
      </c>
      <c r="H224" s="17">
        <f>IFERROR(__xludf.DUMMYFUNCTION("""COMPUTED_VALUE"""),0.232)</f>
        <v>0.232</v>
      </c>
      <c r="I224" s="17">
        <f>IFERROR(__xludf.DUMMYFUNCTION("""COMPUTED_VALUE"""),0.32)</f>
        <v>0.32</v>
      </c>
      <c r="J224" s="17">
        <f>IFERROR(__xludf.DUMMYFUNCTION("""COMPUTED_VALUE"""),77.0)</f>
        <v>77</v>
      </c>
      <c r="K224" s="17">
        <f>IFERROR(__xludf.DUMMYFUNCTION("""COMPUTED_VALUE"""),15.0)</f>
        <v>15</v>
      </c>
      <c r="L224" s="17">
        <f>IFERROR(__xludf.DUMMYFUNCTION("""COMPUTED_VALUE"""),2.0)</f>
        <v>2</v>
      </c>
      <c r="M224" s="17">
        <f>IFERROR(__xludf.DUMMYFUNCTION("""COMPUTED_VALUE"""),38.0)</f>
        <v>38</v>
      </c>
      <c r="N224" s="17">
        <f>IFERROR(__xludf.DUMMYFUNCTION("""COMPUTED_VALUE"""),106.0)</f>
        <v>106</v>
      </c>
      <c r="O224" s="17">
        <f>IFERROR(__xludf.DUMMYFUNCTION("""COMPUTED_VALUE"""),0.398)</f>
        <v>0.398</v>
      </c>
      <c r="P224" s="17">
        <f>IFERROR(__xludf.DUMMYFUNCTION("""COMPUTED_VALUE"""),0.718)</f>
        <v>0.718</v>
      </c>
      <c r="Q224" s="34">
        <f>IFERROR(__xludf.DUMMYFUNCTION("""COMPUTED_VALUE"""),0.01)</f>
        <v>0.01</v>
      </c>
      <c r="R224" s="34">
        <f>IFERROR(__xludf.DUMMYFUNCTION("""COMPUTED_VALUE"""),0.01)</f>
        <v>0.01</v>
      </c>
      <c r="S224" s="34">
        <f>IFERROR(__xludf.DUMMYFUNCTION("""COMPUTED_VALUE"""),0.0)</f>
        <v>0</v>
      </c>
      <c r="T224" s="17" t="str">
        <f t="shared" si="1"/>
        <v>Yoan Moncada</v>
      </c>
    </row>
    <row r="225">
      <c r="A225" s="17">
        <f>IFERROR(__xludf.DUMMYFUNCTION("""COMPUTED_VALUE"""),224.0)</f>
        <v>224</v>
      </c>
      <c r="B225" s="17" t="str">
        <f>IFERROR(__xludf.DUMMYFUNCTION("""COMPUTED_VALUE"""),"Jose Caballero (NYY - 2B,3B,SS,LF,RF)")</f>
        <v>Jose Caballero (NYY - 2B,3B,SS,LF,RF)</v>
      </c>
      <c r="C225" s="17">
        <f>IFERROR(__xludf.DUMMYFUNCTION("""COMPUTED_VALUE"""),237.0)</f>
        <v>237</v>
      </c>
      <c r="D225" s="17">
        <f>IFERROR(__xludf.DUMMYFUNCTION("""COMPUTED_VALUE"""),34.0)</f>
        <v>34</v>
      </c>
      <c r="E225" s="17">
        <f>IFERROR(__xludf.DUMMYFUNCTION("""COMPUTED_VALUE"""),5.0)</f>
        <v>5</v>
      </c>
      <c r="F225" s="17">
        <f>IFERROR(__xludf.DUMMYFUNCTION("""COMPUTED_VALUE"""),25.0)</f>
        <v>25</v>
      </c>
      <c r="G225" s="17">
        <f>IFERROR(__xludf.DUMMYFUNCTION("""COMPUTED_VALUE"""),27.0)</f>
        <v>27</v>
      </c>
      <c r="H225" s="17">
        <f>IFERROR(__xludf.DUMMYFUNCTION("""COMPUTED_VALUE"""),0.224)</f>
        <v>0.224</v>
      </c>
      <c r="I225" s="17">
        <f>IFERROR(__xludf.DUMMYFUNCTION("""COMPUTED_VALUE"""),0.31)</f>
        <v>0.31</v>
      </c>
      <c r="J225" s="17">
        <f>IFERROR(__xludf.DUMMYFUNCTION("""COMPUTED_VALUE"""),53.0)</f>
        <v>53</v>
      </c>
      <c r="K225" s="17">
        <f>IFERROR(__xludf.DUMMYFUNCTION("""COMPUTED_VALUE"""),11.0)</f>
        <v>11</v>
      </c>
      <c r="L225" s="17">
        <f>IFERROR(__xludf.DUMMYFUNCTION("""COMPUTED_VALUE"""),1.0)</f>
        <v>1</v>
      </c>
      <c r="M225" s="17">
        <f>IFERROR(__xludf.DUMMYFUNCTION("""COMPUTED_VALUE"""),26.0)</f>
        <v>26</v>
      </c>
      <c r="N225" s="17">
        <f>IFERROR(__xludf.DUMMYFUNCTION("""COMPUTED_VALUE"""),68.0)</f>
        <v>68</v>
      </c>
      <c r="O225" s="17">
        <f>IFERROR(__xludf.DUMMYFUNCTION("""COMPUTED_VALUE"""),0.345)</f>
        <v>0.345</v>
      </c>
      <c r="P225" s="17">
        <f>IFERROR(__xludf.DUMMYFUNCTION("""COMPUTED_VALUE"""),0.655)</f>
        <v>0.655</v>
      </c>
      <c r="Q225" s="34">
        <f>IFERROR(__xludf.DUMMYFUNCTION("""COMPUTED_VALUE"""),0.58)</f>
        <v>0.58</v>
      </c>
      <c r="R225" s="34">
        <f>IFERROR(__xludf.DUMMYFUNCTION("""COMPUTED_VALUE"""),0.78)</f>
        <v>0.78</v>
      </c>
      <c r="S225" s="34">
        <f>IFERROR(__xludf.DUMMYFUNCTION("""COMPUTED_VALUE"""),0.38)</f>
        <v>0.38</v>
      </c>
      <c r="T225" s="17" t="str">
        <f t="shared" si="1"/>
        <v>Jose Caballero</v>
      </c>
    </row>
    <row r="226">
      <c r="A226" s="17">
        <f>IFERROR(__xludf.DUMMYFUNCTION("""COMPUTED_VALUE"""),225.0)</f>
        <v>225</v>
      </c>
      <c r="B226" s="17" t="str">
        <f>IFERROR(__xludf.DUMMYFUNCTION("""COMPUTED_VALUE"""),"Garrett Mitchell (MIL - CF,RF)")</f>
        <v>Garrett Mitchell (MIL - CF,RF)</v>
      </c>
      <c r="C226" s="17">
        <f>IFERROR(__xludf.DUMMYFUNCTION("""COMPUTED_VALUE"""),290.0)</f>
        <v>290</v>
      </c>
      <c r="D226" s="17">
        <f>IFERROR(__xludf.DUMMYFUNCTION("""COMPUTED_VALUE"""),40.0)</f>
        <v>40</v>
      </c>
      <c r="E226" s="17">
        <f>IFERROR(__xludf.DUMMYFUNCTION("""COMPUTED_VALUE"""),8.0)</f>
        <v>8</v>
      </c>
      <c r="F226" s="17">
        <f>IFERROR(__xludf.DUMMYFUNCTION("""COMPUTED_VALUE"""),35.0)</f>
        <v>35</v>
      </c>
      <c r="G226" s="17">
        <f>IFERROR(__xludf.DUMMYFUNCTION("""COMPUTED_VALUE"""),13.0)</f>
        <v>13</v>
      </c>
      <c r="H226" s="17">
        <f>IFERROR(__xludf.DUMMYFUNCTION("""COMPUTED_VALUE"""),0.227)</f>
        <v>0.227</v>
      </c>
      <c r="I226" s="17">
        <f>IFERROR(__xludf.DUMMYFUNCTION("""COMPUTED_VALUE"""),0.32)</f>
        <v>0.32</v>
      </c>
      <c r="J226" s="17">
        <f>IFERROR(__xludf.DUMMYFUNCTION("""COMPUTED_VALUE"""),66.0)</f>
        <v>66</v>
      </c>
      <c r="K226" s="17">
        <f>IFERROR(__xludf.DUMMYFUNCTION("""COMPUTED_VALUE"""),13.0)</f>
        <v>13</v>
      </c>
      <c r="L226" s="17">
        <f>IFERROR(__xludf.DUMMYFUNCTION("""COMPUTED_VALUE"""),2.0)</f>
        <v>2</v>
      </c>
      <c r="M226" s="17">
        <f>IFERROR(__xludf.DUMMYFUNCTION("""COMPUTED_VALUE"""),37.0)</f>
        <v>37</v>
      </c>
      <c r="N226" s="17">
        <f>IFERROR(__xludf.DUMMYFUNCTION("""COMPUTED_VALUE"""),106.0)</f>
        <v>106</v>
      </c>
      <c r="O226" s="17">
        <f>IFERROR(__xludf.DUMMYFUNCTION("""COMPUTED_VALUE"""),0.372)</f>
        <v>0.372</v>
      </c>
      <c r="P226" s="17">
        <f>IFERROR(__xludf.DUMMYFUNCTION("""COMPUTED_VALUE"""),0.691)</f>
        <v>0.691</v>
      </c>
      <c r="Q226" s="34">
        <f>IFERROR(__xludf.DUMMYFUNCTION("""COMPUTED_VALUE"""),0.09)</f>
        <v>0.09</v>
      </c>
      <c r="R226" s="34">
        <f>IFERROR(__xludf.DUMMYFUNCTION("""COMPUTED_VALUE"""),0.12)</f>
        <v>0.12</v>
      </c>
      <c r="S226" s="34">
        <f>IFERROR(__xludf.DUMMYFUNCTION("""COMPUTED_VALUE"""),0.07)</f>
        <v>0.07</v>
      </c>
      <c r="T226" s="17" t="str">
        <f t="shared" si="1"/>
        <v>Garrett Mitchell</v>
      </c>
    </row>
    <row r="227">
      <c r="A227" s="17">
        <f>IFERROR(__xludf.DUMMYFUNCTION("""COMPUTED_VALUE"""),226.0)</f>
        <v>226</v>
      </c>
      <c r="B227" s="17" t="str">
        <f>IFERROR(__xludf.DUMMYFUNCTION("""COMPUTED_VALUE"""),"Michael Massey (KC - 2B,LF)")</f>
        <v>Michael Massey (KC - 2B,LF)</v>
      </c>
      <c r="C227" s="17">
        <f>IFERROR(__xludf.DUMMYFUNCTION("""COMPUTED_VALUE"""),329.0)</f>
        <v>329</v>
      </c>
      <c r="D227" s="17">
        <f>IFERROR(__xludf.DUMMYFUNCTION("""COMPUTED_VALUE"""),37.0)</f>
        <v>37</v>
      </c>
      <c r="E227" s="17">
        <f>IFERROR(__xludf.DUMMYFUNCTION("""COMPUTED_VALUE"""),10.0)</f>
        <v>10</v>
      </c>
      <c r="F227" s="17">
        <f>IFERROR(__xludf.DUMMYFUNCTION("""COMPUTED_VALUE"""),41.0)</f>
        <v>41</v>
      </c>
      <c r="G227" s="17">
        <f>IFERROR(__xludf.DUMMYFUNCTION("""COMPUTED_VALUE"""),3.0)</f>
        <v>3</v>
      </c>
      <c r="H227" s="17">
        <f>IFERROR(__xludf.DUMMYFUNCTION("""COMPUTED_VALUE"""),0.246)</f>
        <v>0.246</v>
      </c>
      <c r="I227" s="17">
        <f>IFERROR(__xludf.DUMMYFUNCTION("""COMPUTED_VALUE"""),0.289)</f>
        <v>0.289</v>
      </c>
      <c r="J227" s="17">
        <f>IFERROR(__xludf.DUMMYFUNCTION("""COMPUTED_VALUE"""),81.0)</f>
        <v>81</v>
      </c>
      <c r="K227" s="17">
        <f>IFERROR(__xludf.DUMMYFUNCTION("""COMPUTED_VALUE"""),17.0)</f>
        <v>17</v>
      </c>
      <c r="L227" s="17">
        <f>IFERROR(__xludf.DUMMYFUNCTION("""COMPUTED_VALUE"""),1.0)</f>
        <v>1</v>
      </c>
      <c r="M227" s="17">
        <f>IFERROR(__xludf.DUMMYFUNCTION("""COMPUTED_VALUE"""),18.0)</f>
        <v>18</v>
      </c>
      <c r="N227" s="17">
        <f>IFERROR(__xludf.DUMMYFUNCTION("""COMPUTED_VALUE"""),66.0)</f>
        <v>66</v>
      </c>
      <c r="O227" s="17">
        <f>IFERROR(__xludf.DUMMYFUNCTION("""COMPUTED_VALUE"""),0.393)</f>
        <v>0.393</v>
      </c>
      <c r="P227" s="17">
        <f>IFERROR(__xludf.DUMMYFUNCTION("""COMPUTED_VALUE"""),0.682)</f>
        <v>0.682</v>
      </c>
      <c r="Q227" s="34">
        <f>IFERROR(__xludf.DUMMYFUNCTION("""COMPUTED_VALUE"""),0.0)</f>
        <v>0</v>
      </c>
      <c r="R227" s="34">
        <f>IFERROR(__xludf.DUMMYFUNCTION("""COMPUTED_VALUE"""),0.0)</f>
        <v>0</v>
      </c>
      <c r="S227" s="34">
        <f>IFERROR(__xludf.DUMMYFUNCTION("""COMPUTED_VALUE"""),0.0)</f>
        <v>0</v>
      </c>
      <c r="T227" s="17" t="str">
        <f t="shared" si="1"/>
        <v>Michael Massey</v>
      </c>
    </row>
    <row r="228">
      <c r="A228" s="17">
        <f>IFERROR(__xludf.DUMMYFUNCTION("""COMPUTED_VALUE"""),227.0)</f>
        <v>227</v>
      </c>
      <c r="B228" s="17" t="str">
        <f>IFERROR(__xludf.DUMMYFUNCTION("""COMPUTED_VALUE"""),"Luisangel Acuna (CWS - 2B,SS,CF)")</f>
        <v>Luisangel Acuna (CWS - 2B,SS,CF)</v>
      </c>
      <c r="C228" s="17">
        <f>IFERROR(__xludf.DUMMYFUNCTION("""COMPUTED_VALUE"""),301.0)</f>
        <v>301</v>
      </c>
      <c r="D228" s="17">
        <f>IFERROR(__xludf.DUMMYFUNCTION("""COMPUTED_VALUE"""),37.0)</f>
        <v>37</v>
      </c>
      <c r="E228" s="17">
        <f>IFERROR(__xludf.DUMMYFUNCTION("""COMPUTED_VALUE"""),4.0)</f>
        <v>4</v>
      </c>
      <c r="F228" s="17">
        <f>IFERROR(__xludf.DUMMYFUNCTION("""COMPUTED_VALUE"""),27.0)</f>
        <v>27</v>
      </c>
      <c r="G228" s="17">
        <f>IFERROR(__xludf.DUMMYFUNCTION("""COMPUTED_VALUE"""),18.0)</f>
        <v>18</v>
      </c>
      <c r="H228" s="17">
        <f>IFERROR(__xludf.DUMMYFUNCTION("""COMPUTED_VALUE"""),0.249)</f>
        <v>0.249</v>
      </c>
      <c r="I228" s="17">
        <f>IFERROR(__xludf.DUMMYFUNCTION("""COMPUTED_VALUE"""),0.296)</f>
        <v>0.296</v>
      </c>
      <c r="J228" s="17">
        <f>IFERROR(__xludf.DUMMYFUNCTION("""COMPUTED_VALUE"""),75.0)</f>
        <v>75</v>
      </c>
      <c r="K228" s="17">
        <f>IFERROR(__xludf.DUMMYFUNCTION("""COMPUTED_VALUE"""),13.0)</f>
        <v>13</v>
      </c>
      <c r="L228" s="17">
        <f>IFERROR(__xludf.DUMMYFUNCTION("""COMPUTED_VALUE"""),1.0)</f>
        <v>1</v>
      </c>
      <c r="M228" s="17">
        <f>IFERROR(__xludf.DUMMYFUNCTION("""COMPUTED_VALUE"""),20.0)</f>
        <v>20</v>
      </c>
      <c r="N228" s="17">
        <f>IFERROR(__xludf.DUMMYFUNCTION("""COMPUTED_VALUE"""),59.0)</f>
        <v>59</v>
      </c>
      <c r="O228" s="17">
        <f>IFERROR(__xludf.DUMMYFUNCTION("""COMPUTED_VALUE"""),0.334)</f>
        <v>0.334</v>
      </c>
      <c r="P228" s="17">
        <f>IFERROR(__xludf.DUMMYFUNCTION("""COMPUTED_VALUE"""),0.631)</f>
        <v>0.631</v>
      </c>
      <c r="Q228" s="34">
        <f>IFERROR(__xludf.DUMMYFUNCTION("""COMPUTED_VALUE"""),0.02)</f>
        <v>0.02</v>
      </c>
      <c r="R228" s="34">
        <f>IFERROR(__xludf.DUMMYFUNCTION("""COMPUTED_VALUE"""),0.02)</f>
        <v>0.02</v>
      </c>
      <c r="S228" s="34">
        <f>IFERROR(__xludf.DUMMYFUNCTION("""COMPUTED_VALUE"""),0.01)</f>
        <v>0.01</v>
      </c>
      <c r="T228" s="17" t="str">
        <f t="shared" si="1"/>
        <v>Luisangel Acuna</v>
      </c>
    </row>
    <row r="229">
      <c r="A229" s="17">
        <f>IFERROR(__xludf.DUMMYFUNCTION("""COMPUTED_VALUE"""),228.0)</f>
        <v>228</v>
      </c>
      <c r="B229" s="17" t="str">
        <f>IFERROR(__xludf.DUMMYFUNCTION("""COMPUTED_VALUE"""),"Giancarlo Stanton (NYY - LF,RF,DH) IL10")</f>
        <v>Giancarlo Stanton (NYY - LF,RF,DH) IL10</v>
      </c>
      <c r="C229" s="17">
        <f>IFERROR(__xludf.DUMMYFUNCTION("""COMPUTED_VALUE"""),249.0)</f>
        <v>249</v>
      </c>
      <c r="D229" s="17">
        <f>IFERROR(__xludf.DUMMYFUNCTION("""COMPUTED_VALUE"""),34.0)</f>
        <v>34</v>
      </c>
      <c r="E229" s="17">
        <f>IFERROR(__xludf.DUMMYFUNCTION("""COMPUTED_VALUE"""),16.0)</f>
        <v>16</v>
      </c>
      <c r="F229" s="17">
        <f>IFERROR(__xludf.DUMMYFUNCTION("""COMPUTED_VALUE"""),44.0)</f>
        <v>44</v>
      </c>
      <c r="G229" s="17">
        <f>IFERROR(__xludf.DUMMYFUNCTION("""COMPUTED_VALUE"""),0.0)</f>
        <v>0</v>
      </c>
      <c r="H229" s="17">
        <f>IFERROR(__xludf.DUMMYFUNCTION("""COMPUTED_VALUE"""),0.225)</f>
        <v>0.225</v>
      </c>
      <c r="I229" s="17">
        <f>IFERROR(__xludf.DUMMYFUNCTION("""COMPUTED_VALUE"""),0.304)</f>
        <v>0.304</v>
      </c>
      <c r="J229" s="17">
        <f>IFERROR(__xludf.DUMMYFUNCTION("""COMPUTED_VALUE"""),56.0)</f>
        <v>56</v>
      </c>
      <c r="K229" s="17">
        <f>IFERROR(__xludf.DUMMYFUNCTION("""COMPUTED_VALUE"""),9.0)</f>
        <v>9</v>
      </c>
      <c r="L229" s="17">
        <f>IFERROR(__xludf.DUMMYFUNCTION("""COMPUTED_VALUE"""),0.0)</f>
        <v>0</v>
      </c>
      <c r="M229" s="17">
        <f>IFERROR(__xludf.DUMMYFUNCTION("""COMPUTED_VALUE"""),26.0)</f>
        <v>26</v>
      </c>
      <c r="N229" s="17">
        <f>IFERROR(__xludf.DUMMYFUNCTION("""COMPUTED_VALUE"""),86.0)</f>
        <v>86</v>
      </c>
      <c r="O229" s="17">
        <f>IFERROR(__xludf.DUMMYFUNCTION("""COMPUTED_VALUE"""),0.457)</f>
        <v>0.457</v>
      </c>
      <c r="P229" s="17">
        <f>IFERROR(__xludf.DUMMYFUNCTION("""COMPUTED_VALUE"""),0.761)</f>
        <v>0.761</v>
      </c>
      <c r="Q229" s="34">
        <f>IFERROR(__xludf.DUMMYFUNCTION("""COMPUTED_VALUE"""),0.34)</f>
        <v>0.34</v>
      </c>
      <c r="R229" s="34">
        <f>IFERROR(__xludf.DUMMYFUNCTION("""COMPUTED_VALUE"""),0.38)</f>
        <v>0.38</v>
      </c>
      <c r="S229" s="34">
        <f>IFERROR(__xludf.DUMMYFUNCTION("""COMPUTED_VALUE"""),0.3)</f>
        <v>0.3</v>
      </c>
      <c r="T229" s="17" t="str">
        <f t="shared" si="1"/>
        <v>Giancarlo Stanton</v>
      </c>
    </row>
    <row r="230">
      <c r="A230" s="17">
        <f>IFERROR(__xludf.DUMMYFUNCTION("""COMPUTED_VALUE"""),229.0)</f>
        <v>229</v>
      </c>
      <c r="B230" s="17" t="str">
        <f>IFERROR(__xludf.DUMMYFUNCTION("""COMPUTED_VALUE"""),"Edouard Julien (COL - 1B,2B,DH)")</f>
        <v>Edouard Julien (COL - 1B,2B,DH)</v>
      </c>
      <c r="C230" s="17">
        <f>IFERROR(__xludf.DUMMYFUNCTION("""COMPUTED_VALUE"""),299.0)</f>
        <v>299</v>
      </c>
      <c r="D230" s="17">
        <f>IFERROR(__xludf.DUMMYFUNCTION("""COMPUTED_VALUE"""),42.0)</f>
        <v>42</v>
      </c>
      <c r="E230" s="17">
        <f>IFERROR(__xludf.DUMMYFUNCTION("""COMPUTED_VALUE"""),8.0)</f>
        <v>8</v>
      </c>
      <c r="F230" s="17">
        <f>IFERROR(__xludf.DUMMYFUNCTION("""COMPUTED_VALUE"""),34.0)</f>
        <v>34</v>
      </c>
      <c r="G230" s="17">
        <f>IFERROR(__xludf.DUMMYFUNCTION("""COMPUTED_VALUE"""),5.0)</f>
        <v>5</v>
      </c>
      <c r="H230" s="17">
        <f>IFERROR(__xludf.DUMMYFUNCTION("""COMPUTED_VALUE"""),0.248)</f>
        <v>0.248</v>
      </c>
      <c r="I230" s="17">
        <f>IFERROR(__xludf.DUMMYFUNCTION("""COMPUTED_VALUE"""),0.351)</f>
        <v>0.351</v>
      </c>
      <c r="J230" s="17">
        <f>IFERROR(__xludf.DUMMYFUNCTION("""COMPUTED_VALUE"""),74.0)</f>
        <v>74</v>
      </c>
      <c r="K230" s="17">
        <f>IFERROR(__xludf.DUMMYFUNCTION("""COMPUTED_VALUE"""),14.0)</f>
        <v>14</v>
      </c>
      <c r="L230" s="17">
        <f>IFERROR(__xludf.DUMMYFUNCTION("""COMPUTED_VALUE"""),2.0)</f>
        <v>2</v>
      </c>
      <c r="M230" s="17">
        <f>IFERROR(__xludf.DUMMYFUNCTION("""COMPUTED_VALUE"""),45.0)</f>
        <v>45</v>
      </c>
      <c r="N230" s="17">
        <f>IFERROR(__xludf.DUMMYFUNCTION("""COMPUTED_VALUE"""),98.0)</f>
        <v>98</v>
      </c>
      <c r="O230" s="17">
        <f>IFERROR(__xludf.DUMMYFUNCTION("""COMPUTED_VALUE"""),0.389)</f>
        <v>0.389</v>
      </c>
      <c r="P230" s="17">
        <f>IFERROR(__xludf.DUMMYFUNCTION("""COMPUTED_VALUE"""),0.74)</f>
        <v>0.74</v>
      </c>
      <c r="Q230" s="34">
        <f>IFERROR(__xludf.DUMMYFUNCTION("""COMPUTED_VALUE"""),0.02)</f>
        <v>0.02</v>
      </c>
      <c r="R230" s="34">
        <f>IFERROR(__xludf.DUMMYFUNCTION("""COMPUTED_VALUE"""),0.03)</f>
        <v>0.03</v>
      </c>
      <c r="S230" s="34">
        <f>IFERROR(__xludf.DUMMYFUNCTION("""COMPUTED_VALUE"""),0.02)</f>
        <v>0.02</v>
      </c>
      <c r="T230" s="17" t="str">
        <f t="shared" si="1"/>
        <v>Edouard Julien</v>
      </c>
    </row>
    <row r="231">
      <c r="A231" s="17">
        <f>IFERROR(__xludf.DUMMYFUNCTION("""COMPUTED_VALUE"""),230.0)</f>
        <v>230</v>
      </c>
      <c r="B231" s="17" t="str">
        <f>IFERROR(__xludf.DUMMYFUNCTION("""COMPUTED_VALUE"""),"Carson Benge (NYM - LF,CF,RF)")</f>
        <v>Carson Benge (NYM - LF,CF,RF)</v>
      </c>
      <c r="C231" s="17">
        <f>IFERROR(__xludf.DUMMYFUNCTION("""COMPUTED_VALUE"""),285.0)</f>
        <v>285</v>
      </c>
      <c r="D231" s="17">
        <f>IFERROR(__xludf.DUMMYFUNCTION("""COMPUTED_VALUE"""),39.0)</f>
        <v>39</v>
      </c>
      <c r="E231" s="17">
        <f>IFERROR(__xludf.DUMMYFUNCTION("""COMPUTED_VALUE"""),8.0)</f>
        <v>8</v>
      </c>
      <c r="F231" s="17">
        <f>IFERROR(__xludf.DUMMYFUNCTION("""COMPUTED_VALUE"""),35.0)</f>
        <v>35</v>
      </c>
      <c r="G231" s="17">
        <f>IFERROR(__xludf.DUMMYFUNCTION("""COMPUTED_VALUE"""),8.0)</f>
        <v>8</v>
      </c>
      <c r="H231" s="17">
        <f>IFERROR(__xludf.DUMMYFUNCTION("""COMPUTED_VALUE"""),0.242)</f>
        <v>0.242</v>
      </c>
      <c r="I231" s="17">
        <f>IFERROR(__xludf.DUMMYFUNCTION("""COMPUTED_VALUE"""),0.318)</f>
        <v>0.318</v>
      </c>
      <c r="J231" s="17">
        <f>IFERROR(__xludf.DUMMYFUNCTION("""COMPUTED_VALUE"""),69.0)</f>
        <v>69</v>
      </c>
      <c r="K231" s="17">
        <f>IFERROR(__xludf.DUMMYFUNCTION("""COMPUTED_VALUE"""),13.0)</f>
        <v>13</v>
      </c>
      <c r="L231" s="17">
        <f>IFERROR(__xludf.DUMMYFUNCTION("""COMPUTED_VALUE"""),2.0)</f>
        <v>2</v>
      </c>
      <c r="M231" s="17">
        <f>IFERROR(__xludf.DUMMYFUNCTION("""COMPUTED_VALUE"""),29.0)</f>
        <v>29</v>
      </c>
      <c r="N231" s="17">
        <f>IFERROR(__xludf.DUMMYFUNCTION("""COMPUTED_VALUE"""),69.0)</f>
        <v>69</v>
      </c>
      <c r="O231" s="17">
        <f>IFERROR(__xludf.DUMMYFUNCTION("""COMPUTED_VALUE"""),0.385)</f>
        <v>0.385</v>
      </c>
      <c r="P231" s="17">
        <f>IFERROR(__xludf.DUMMYFUNCTION("""COMPUTED_VALUE"""),0.703)</f>
        <v>0.703</v>
      </c>
      <c r="Q231" s="34">
        <f>IFERROR(__xludf.DUMMYFUNCTION("""COMPUTED_VALUE"""),0.08)</f>
        <v>0.08</v>
      </c>
      <c r="R231" s="34">
        <f>IFERROR(__xludf.DUMMYFUNCTION("""COMPUTED_VALUE"""),0.1)</f>
        <v>0.1</v>
      </c>
      <c r="S231" s="34">
        <f>IFERROR(__xludf.DUMMYFUNCTION("""COMPUTED_VALUE"""),0.06)</f>
        <v>0.06</v>
      </c>
      <c r="T231" s="17" t="str">
        <f t="shared" si="1"/>
        <v>Carson Benge</v>
      </c>
    </row>
    <row r="232">
      <c r="A232" s="17">
        <f>IFERROR(__xludf.DUMMYFUNCTION("""COMPUTED_VALUE"""),231.0)</f>
        <v>231</v>
      </c>
      <c r="B232" s="17" t="str">
        <f>IFERROR(__xludf.DUMMYFUNCTION("""COMPUTED_VALUE"""),"Luke Raley (SEA - 1B,LF,CF,RF)")</f>
        <v>Luke Raley (SEA - 1B,LF,CF,RF)</v>
      </c>
      <c r="C232" s="17">
        <f>IFERROR(__xludf.DUMMYFUNCTION("""COMPUTED_VALUE"""),286.0)</f>
        <v>286</v>
      </c>
      <c r="D232" s="17">
        <f>IFERROR(__xludf.DUMMYFUNCTION("""COMPUTED_VALUE"""),39.0)</f>
        <v>39</v>
      </c>
      <c r="E232" s="17">
        <f>IFERROR(__xludf.DUMMYFUNCTION("""COMPUTED_VALUE"""),12.0)</f>
        <v>12</v>
      </c>
      <c r="F232" s="17">
        <f>IFERROR(__xludf.DUMMYFUNCTION("""COMPUTED_VALUE"""),39.0)</f>
        <v>39</v>
      </c>
      <c r="G232" s="17">
        <f>IFERROR(__xludf.DUMMYFUNCTION("""COMPUTED_VALUE"""),5.0)</f>
        <v>5</v>
      </c>
      <c r="H232" s="17">
        <f>IFERROR(__xludf.DUMMYFUNCTION("""COMPUTED_VALUE"""),0.227)</f>
        <v>0.227</v>
      </c>
      <c r="I232" s="17">
        <f>IFERROR(__xludf.DUMMYFUNCTION("""COMPUTED_VALUE"""),0.31)</f>
        <v>0.31</v>
      </c>
      <c r="J232" s="17">
        <f>IFERROR(__xludf.DUMMYFUNCTION("""COMPUTED_VALUE"""),65.0)</f>
        <v>65</v>
      </c>
      <c r="K232" s="17">
        <f>IFERROR(__xludf.DUMMYFUNCTION("""COMPUTED_VALUE"""),13.0)</f>
        <v>13</v>
      </c>
      <c r="L232" s="17">
        <f>IFERROR(__xludf.DUMMYFUNCTION("""COMPUTED_VALUE"""),1.0)</f>
        <v>1</v>
      </c>
      <c r="M232" s="17">
        <f>IFERROR(__xludf.DUMMYFUNCTION("""COMPUTED_VALUE"""),25.0)</f>
        <v>25</v>
      </c>
      <c r="N232" s="17">
        <f>IFERROR(__xludf.DUMMYFUNCTION("""COMPUTED_VALUE"""),100.0)</f>
        <v>100</v>
      </c>
      <c r="O232" s="17">
        <f>IFERROR(__xludf.DUMMYFUNCTION("""COMPUTED_VALUE"""),0.404)</f>
        <v>0.404</v>
      </c>
      <c r="P232" s="17">
        <f>IFERROR(__xludf.DUMMYFUNCTION("""COMPUTED_VALUE"""),0.713)</f>
        <v>0.713</v>
      </c>
      <c r="Q232" s="34">
        <f>IFERROR(__xludf.DUMMYFUNCTION("""COMPUTED_VALUE"""),0.12)</f>
        <v>0.12</v>
      </c>
      <c r="R232" s="34">
        <f>IFERROR(__xludf.DUMMYFUNCTION("""COMPUTED_VALUE"""),0.15)</f>
        <v>0.15</v>
      </c>
      <c r="S232" s="34">
        <f>IFERROR(__xludf.DUMMYFUNCTION("""COMPUTED_VALUE"""),0.08)</f>
        <v>0.08</v>
      </c>
      <c r="T232" s="17" t="str">
        <f t="shared" si="1"/>
        <v>Luke Raley</v>
      </c>
    </row>
    <row r="233">
      <c r="A233" s="17">
        <f>IFERROR(__xludf.DUMMYFUNCTION("""COMPUTED_VALUE"""),232.0)</f>
        <v>232</v>
      </c>
      <c r="B233" s="17" t="str">
        <f>IFERROR(__xludf.DUMMYFUNCTION("""COMPUTED_VALUE"""),"Alejandro Kirk (TOR - C) IL10")</f>
        <v>Alejandro Kirk (TOR - C) IL10</v>
      </c>
      <c r="C233" s="17">
        <f>IFERROR(__xludf.DUMMYFUNCTION("""COMPUTED_VALUE"""),260.0)</f>
        <v>260</v>
      </c>
      <c r="D233" s="17">
        <f>IFERROR(__xludf.DUMMYFUNCTION("""COMPUTED_VALUE"""),33.0)</f>
        <v>33</v>
      </c>
      <c r="E233" s="17">
        <f>IFERROR(__xludf.DUMMYFUNCTION("""COMPUTED_VALUE"""),9.0)</f>
        <v>9</v>
      </c>
      <c r="F233" s="17">
        <f>IFERROR(__xludf.DUMMYFUNCTION("""COMPUTED_VALUE"""),37.0)</f>
        <v>37</v>
      </c>
      <c r="G233" s="17">
        <f>IFERROR(__xludf.DUMMYFUNCTION("""COMPUTED_VALUE"""),1.0)</f>
        <v>1</v>
      </c>
      <c r="H233" s="17">
        <f>IFERROR(__xludf.DUMMYFUNCTION("""COMPUTED_VALUE"""),0.268)</f>
        <v>0.268</v>
      </c>
      <c r="I233" s="17">
        <f>IFERROR(__xludf.DUMMYFUNCTION("""COMPUTED_VALUE"""),0.35)</f>
        <v>0.35</v>
      </c>
      <c r="J233" s="17">
        <f>IFERROR(__xludf.DUMMYFUNCTION("""COMPUTED_VALUE"""),70.0)</f>
        <v>70</v>
      </c>
      <c r="K233" s="17">
        <f>IFERROR(__xludf.DUMMYFUNCTION("""COMPUTED_VALUE"""),12.0)</f>
        <v>12</v>
      </c>
      <c r="L233" s="17">
        <f>IFERROR(__xludf.DUMMYFUNCTION("""COMPUTED_VALUE"""),0.0)</f>
        <v>0</v>
      </c>
      <c r="M233" s="17">
        <f>IFERROR(__xludf.DUMMYFUNCTION("""COMPUTED_VALUE"""),30.0)</f>
        <v>30</v>
      </c>
      <c r="N233" s="17">
        <f>IFERROR(__xludf.DUMMYFUNCTION("""COMPUTED_VALUE"""),36.0)</f>
        <v>36</v>
      </c>
      <c r="O233" s="17">
        <f>IFERROR(__xludf.DUMMYFUNCTION("""COMPUTED_VALUE"""),0.421)</f>
        <v>0.421</v>
      </c>
      <c r="P233" s="17">
        <f>IFERROR(__xludf.DUMMYFUNCTION("""COMPUTED_VALUE"""),0.77)</f>
        <v>0.77</v>
      </c>
      <c r="Q233" s="34">
        <f>IFERROR(__xludf.DUMMYFUNCTION("""COMPUTED_VALUE"""),0.36)</f>
        <v>0.36</v>
      </c>
      <c r="R233" s="34">
        <f>IFERROR(__xludf.DUMMYFUNCTION("""COMPUTED_VALUE"""),0.29)</f>
        <v>0.29</v>
      </c>
      <c r="S233" s="34">
        <f>IFERROR(__xludf.DUMMYFUNCTION("""COMPUTED_VALUE"""),0.42)</f>
        <v>0.42</v>
      </c>
      <c r="T233" s="17" t="str">
        <f t="shared" si="1"/>
        <v>Alejandro Kirk</v>
      </c>
    </row>
    <row r="234">
      <c r="A234" s="17">
        <f>IFERROR(__xludf.DUMMYFUNCTION("""COMPUTED_VALUE"""),233.0)</f>
        <v>233</v>
      </c>
      <c r="B234" s="17" t="str">
        <f>IFERROR(__xludf.DUMMYFUNCTION("""COMPUTED_VALUE"""),"Oswald Peraza (LAA - 1B,2B,3B,SS)")</f>
        <v>Oswald Peraza (LAA - 1B,2B,3B,SS)</v>
      </c>
      <c r="C234" s="17">
        <f>IFERROR(__xludf.DUMMYFUNCTION("""COMPUTED_VALUE"""),310.0)</f>
        <v>310</v>
      </c>
      <c r="D234" s="17">
        <f>IFERROR(__xludf.DUMMYFUNCTION("""COMPUTED_VALUE"""),38.0)</f>
        <v>38</v>
      </c>
      <c r="E234" s="17">
        <f>IFERROR(__xludf.DUMMYFUNCTION("""COMPUTED_VALUE"""),10.0)</f>
        <v>10</v>
      </c>
      <c r="F234" s="17">
        <f>IFERROR(__xludf.DUMMYFUNCTION("""COMPUTED_VALUE"""),35.0)</f>
        <v>35</v>
      </c>
      <c r="G234" s="17">
        <f>IFERROR(__xludf.DUMMYFUNCTION("""COMPUTED_VALUE"""),13.0)</f>
        <v>13</v>
      </c>
      <c r="H234" s="17">
        <f>IFERROR(__xludf.DUMMYFUNCTION("""COMPUTED_VALUE"""),0.222)</f>
        <v>0.222</v>
      </c>
      <c r="I234" s="17">
        <f>IFERROR(__xludf.DUMMYFUNCTION("""COMPUTED_VALUE"""),0.289)</f>
        <v>0.289</v>
      </c>
      <c r="J234" s="17">
        <f>IFERROR(__xludf.DUMMYFUNCTION("""COMPUTED_VALUE"""),69.0)</f>
        <v>69</v>
      </c>
      <c r="K234" s="17">
        <f>IFERROR(__xludf.DUMMYFUNCTION("""COMPUTED_VALUE"""),12.0)</f>
        <v>12</v>
      </c>
      <c r="L234" s="17">
        <f>IFERROR(__xludf.DUMMYFUNCTION("""COMPUTED_VALUE"""),0.0)</f>
        <v>0</v>
      </c>
      <c r="M234" s="17">
        <f>IFERROR(__xludf.DUMMYFUNCTION("""COMPUTED_VALUE"""),25.0)</f>
        <v>25</v>
      </c>
      <c r="N234" s="17">
        <f>IFERROR(__xludf.DUMMYFUNCTION("""COMPUTED_VALUE"""),89.0)</f>
        <v>89</v>
      </c>
      <c r="O234" s="17">
        <f>IFERROR(__xludf.DUMMYFUNCTION("""COMPUTED_VALUE"""),0.357)</f>
        <v>0.357</v>
      </c>
      <c r="P234" s="17">
        <f>IFERROR(__xludf.DUMMYFUNCTION("""COMPUTED_VALUE"""),0.646)</f>
        <v>0.646</v>
      </c>
      <c r="Q234" s="34">
        <f>IFERROR(__xludf.DUMMYFUNCTION("""COMPUTED_VALUE"""),0.08)</f>
        <v>0.08</v>
      </c>
      <c r="R234" s="34">
        <f>IFERROR(__xludf.DUMMYFUNCTION("""COMPUTED_VALUE"""),0.13)</f>
        <v>0.13</v>
      </c>
      <c r="S234" s="34">
        <f>IFERROR(__xludf.DUMMYFUNCTION("""COMPUTED_VALUE"""),0.04)</f>
        <v>0.04</v>
      </c>
      <c r="T234" s="17" t="str">
        <f t="shared" si="1"/>
        <v>Oswald Peraza</v>
      </c>
    </row>
    <row r="235">
      <c r="A235" s="17">
        <f>IFERROR(__xludf.DUMMYFUNCTION("""COMPUTED_VALUE"""),234.0)</f>
        <v>234</v>
      </c>
      <c r="B235" s="17" t="str">
        <f>IFERROR(__xludf.DUMMYFUNCTION("""COMPUTED_VALUE"""),"Kyle Karros (COL - 3B)")</f>
        <v>Kyle Karros (COL - 3B)</v>
      </c>
      <c r="C235" s="17">
        <f>IFERROR(__xludf.DUMMYFUNCTION("""COMPUTED_VALUE"""),301.0)</f>
        <v>301</v>
      </c>
      <c r="D235" s="17">
        <f>IFERROR(__xludf.DUMMYFUNCTION("""COMPUTED_VALUE"""),39.0)</f>
        <v>39</v>
      </c>
      <c r="E235" s="17">
        <f>IFERROR(__xludf.DUMMYFUNCTION("""COMPUTED_VALUE"""),6.0)</f>
        <v>6</v>
      </c>
      <c r="F235" s="17">
        <f>IFERROR(__xludf.DUMMYFUNCTION("""COMPUTED_VALUE"""),35.0)</f>
        <v>35</v>
      </c>
      <c r="G235" s="17">
        <f>IFERROR(__xludf.DUMMYFUNCTION("""COMPUTED_VALUE"""),4.0)</f>
        <v>4</v>
      </c>
      <c r="H235" s="17">
        <f>IFERROR(__xludf.DUMMYFUNCTION("""COMPUTED_VALUE"""),0.261)</f>
        <v>0.261</v>
      </c>
      <c r="I235" s="17">
        <f>IFERROR(__xludf.DUMMYFUNCTION("""COMPUTED_VALUE"""),0.341)</f>
        <v>0.341</v>
      </c>
      <c r="J235" s="17">
        <f>IFERROR(__xludf.DUMMYFUNCTION("""COMPUTED_VALUE"""),78.0)</f>
        <v>78</v>
      </c>
      <c r="K235" s="17">
        <f>IFERROR(__xludf.DUMMYFUNCTION("""COMPUTED_VALUE"""),17.0)</f>
        <v>17</v>
      </c>
      <c r="L235" s="17">
        <f>IFERROR(__xludf.DUMMYFUNCTION("""COMPUTED_VALUE"""),1.0)</f>
        <v>1</v>
      </c>
      <c r="M235" s="17">
        <f>IFERROR(__xludf.DUMMYFUNCTION("""COMPUTED_VALUE"""),33.0)</f>
        <v>33</v>
      </c>
      <c r="N235" s="17">
        <f>IFERROR(__xludf.DUMMYFUNCTION("""COMPUTED_VALUE"""),76.0)</f>
        <v>76</v>
      </c>
      <c r="O235" s="17">
        <f>IFERROR(__xludf.DUMMYFUNCTION("""COMPUTED_VALUE"""),0.385)</f>
        <v>0.385</v>
      </c>
      <c r="P235" s="17">
        <f>IFERROR(__xludf.DUMMYFUNCTION("""COMPUTED_VALUE"""),0.726)</f>
        <v>0.726</v>
      </c>
      <c r="Q235" s="34">
        <f>IFERROR(__xludf.DUMMYFUNCTION("""COMPUTED_VALUE"""),0.01)</f>
        <v>0.01</v>
      </c>
      <c r="R235" s="34">
        <f>IFERROR(__xludf.DUMMYFUNCTION("""COMPUTED_VALUE"""),0.01)</f>
        <v>0.01</v>
      </c>
      <c r="S235" s="34">
        <f>IFERROR(__xludf.DUMMYFUNCTION("""COMPUTED_VALUE"""),0.0)</f>
        <v>0</v>
      </c>
      <c r="T235" s="17" t="str">
        <f t="shared" si="1"/>
        <v>Kyle Karros</v>
      </c>
    </row>
    <row r="236">
      <c r="A236" s="17">
        <f>IFERROR(__xludf.DUMMYFUNCTION("""COMPUTED_VALUE"""),235.0)</f>
        <v>235</v>
      </c>
      <c r="B236" s="17" t="str">
        <f>IFERROR(__xludf.DUMMYFUNCTION("""COMPUTED_VALUE"""),"Jacob Young (WSH - CF)")</f>
        <v>Jacob Young (WSH - CF)</v>
      </c>
      <c r="C236" s="17">
        <f>IFERROR(__xludf.DUMMYFUNCTION("""COMPUTED_VALUE"""),316.0)</f>
        <v>316</v>
      </c>
      <c r="D236" s="17">
        <f>IFERROR(__xludf.DUMMYFUNCTION("""COMPUTED_VALUE"""),38.0)</f>
        <v>38</v>
      </c>
      <c r="E236" s="17">
        <f>IFERROR(__xludf.DUMMYFUNCTION("""COMPUTED_VALUE"""),3.0)</f>
        <v>3</v>
      </c>
      <c r="F236" s="17">
        <f>IFERROR(__xludf.DUMMYFUNCTION("""COMPUTED_VALUE"""),28.0)</f>
        <v>28</v>
      </c>
      <c r="G236" s="17">
        <f>IFERROR(__xludf.DUMMYFUNCTION("""COMPUTED_VALUE"""),16.0)</f>
        <v>16</v>
      </c>
      <c r="H236" s="17">
        <f>IFERROR(__xludf.DUMMYFUNCTION("""COMPUTED_VALUE"""),0.249)</f>
        <v>0.249</v>
      </c>
      <c r="I236" s="17">
        <f>IFERROR(__xludf.DUMMYFUNCTION("""COMPUTED_VALUE"""),0.305)</f>
        <v>0.305</v>
      </c>
      <c r="J236" s="17">
        <f>IFERROR(__xludf.DUMMYFUNCTION("""COMPUTED_VALUE"""),79.0)</f>
        <v>79</v>
      </c>
      <c r="K236" s="17">
        <f>IFERROR(__xludf.DUMMYFUNCTION("""COMPUTED_VALUE"""),14.0)</f>
        <v>14</v>
      </c>
      <c r="L236" s="17">
        <f>IFERROR(__xludf.DUMMYFUNCTION("""COMPUTED_VALUE"""),2.0)</f>
        <v>2</v>
      </c>
      <c r="M236" s="17">
        <f>IFERROR(__xludf.DUMMYFUNCTION("""COMPUTED_VALUE"""),24.0)</f>
        <v>24</v>
      </c>
      <c r="N236" s="17">
        <f>IFERROR(__xludf.DUMMYFUNCTION("""COMPUTED_VALUE"""),64.0)</f>
        <v>64</v>
      </c>
      <c r="O236" s="17">
        <f>IFERROR(__xludf.DUMMYFUNCTION("""COMPUTED_VALUE"""),0.329)</f>
        <v>0.329</v>
      </c>
      <c r="P236" s="17">
        <f>IFERROR(__xludf.DUMMYFUNCTION("""COMPUTED_VALUE"""),0.634)</f>
        <v>0.634</v>
      </c>
      <c r="Q236" s="34">
        <f>IFERROR(__xludf.DUMMYFUNCTION("""COMPUTED_VALUE"""),0.01)</f>
        <v>0.01</v>
      </c>
      <c r="R236" s="34">
        <f>IFERROR(__xludf.DUMMYFUNCTION("""COMPUTED_VALUE"""),0.01)</f>
        <v>0.01</v>
      </c>
      <c r="S236" s="34">
        <f>IFERROR(__xludf.DUMMYFUNCTION("""COMPUTED_VALUE"""),0.01)</f>
        <v>0.01</v>
      </c>
      <c r="T236" s="17" t="str">
        <f t="shared" si="1"/>
        <v>Jacob Young</v>
      </c>
    </row>
    <row r="237">
      <c r="A237" s="17">
        <f>IFERROR(__xludf.DUMMYFUNCTION("""COMPUTED_VALUE"""),236.0)</f>
        <v>236</v>
      </c>
      <c r="B237" s="17" t="str">
        <f>IFERROR(__xludf.DUMMYFUNCTION("""COMPUTED_VALUE"""),"Harrison Bader (SF - LF,CF,RF) IL10")</f>
        <v>Harrison Bader (SF - LF,CF,RF) IL10</v>
      </c>
      <c r="C237" s="17">
        <f>IFERROR(__xludf.DUMMYFUNCTION("""COMPUTED_VALUE"""),294.0)</f>
        <v>294</v>
      </c>
      <c r="D237" s="17">
        <f>IFERROR(__xludf.DUMMYFUNCTION("""COMPUTED_VALUE"""),37.0)</f>
        <v>37</v>
      </c>
      <c r="E237" s="17">
        <f>IFERROR(__xludf.DUMMYFUNCTION("""COMPUTED_VALUE"""),9.0)</f>
        <v>9</v>
      </c>
      <c r="F237" s="17">
        <f>IFERROR(__xludf.DUMMYFUNCTION("""COMPUTED_VALUE"""),34.0)</f>
        <v>34</v>
      </c>
      <c r="G237" s="17">
        <f>IFERROR(__xludf.DUMMYFUNCTION("""COMPUTED_VALUE"""),9.0)</f>
        <v>9</v>
      </c>
      <c r="H237" s="17">
        <f>IFERROR(__xludf.DUMMYFUNCTION("""COMPUTED_VALUE"""),0.24)</f>
        <v>0.24</v>
      </c>
      <c r="I237" s="17">
        <f>IFERROR(__xludf.DUMMYFUNCTION("""COMPUTED_VALUE"""),0.298)</f>
        <v>0.298</v>
      </c>
      <c r="J237" s="17">
        <f>IFERROR(__xludf.DUMMYFUNCTION("""COMPUTED_VALUE"""),70.0)</f>
        <v>70</v>
      </c>
      <c r="K237" s="17">
        <f>IFERROR(__xludf.DUMMYFUNCTION("""COMPUTED_VALUE"""),13.0)</f>
        <v>13</v>
      </c>
      <c r="L237" s="17">
        <f>IFERROR(__xludf.DUMMYFUNCTION("""COMPUTED_VALUE"""),1.0)</f>
        <v>1</v>
      </c>
      <c r="M237" s="17">
        <f>IFERROR(__xludf.DUMMYFUNCTION("""COMPUTED_VALUE"""),21.0)</f>
        <v>21</v>
      </c>
      <c r="N237" s="17">
        <f>IFERROR(__xludf.DUMMYFUNCTION("""COMPUTED_VALUE"""),78.0)</f>
        <v>78</v>
      </c>
      <c r="O237" s="17">
        <f>IFERROR(__xludf.DUMMYFUNCTION("""COMPUTED_VALUE"""),0.379)</f>
        <v>0.379</v>
      </c>
      <c r="P237" s="17">
        <f>IFERROR(__xludf.DUMMYFUNCTION("""COMPUTED_VALUE"""),0.677)</f>
        <v>0.677</v>
      </c>
      <c r="Q237" s="34">
        <f>IFERROR(__xludf.DUMMYFUNCTION("""COMPUTED_VALUE"""),0.02)</f>
        <v>0.02</v>
      </c>
      <c r="R237" s="34">
        <f>IFERROR(__xludf.DUMMYFUNCTION("""COMPUTED_VALUE"""),0.02)</f>
        <v>0.02</v>
      </c>
      <c r="S237" s="34">
        <f>IFERROR(__xludf.DUMMYFUNCTION("""COMPUTED_VALUE"""),0.02)</f>
        <v>0.02</v>
      </c>
      <c r="T237" s="17" t="str">
        <f t="shared" si="1"/>
        <v>Harrison Bader</v>
      </c>
    </row>
    <row r="238">
      <c r="A238" s="17">
        <f>IFERROR(__xludf.DUMMYFUNCTION("""COMPUTED_VALUE"""),237.0)</f>
        <v>237</v>
      </c>
      <c r="B238" s="17" t="str">
        <f>IFERROR(__xludf.DUMMYFUNCTION("""COMPUTED_VALUE"""),"Cole Young (SEA - 2B)")</f>
        <v>Cole Young (SEA - 2B)</v>
      </c>
      <c r="C238" s="17">
        <f>IFERROR(__xludf.DUMMYFUNCTION("""COMPUTED_VALUE"""),312.0)</f>
        <v>312</v>
      </c>
      <c r="D238" s="17">
        <f>IFERROR(__xludf.DUMMYFUNCTION("""COMPUTED_VALUE"""),41.0)</f>
        <v>41</v>
      </c>
      <c r="E238" s="17">
        <f>IFERROR(__xludf.DUMMYFUNCTION("""COMPUTED_VALUE"""),7.0)</f>
        <v>7</v>
      </c>
      <c r="F238" s="17">
        <f>IFERROR(__xludf.DUMMYFUNCTION("""COMPUTED_VALUE"""),38.0)</f>
        <v>38</v>
      </c>
      <c r="G238" s="17">
        <f>IFERROR(__xludf.DUMMYFUNCTION("""COMPUTED_VALUE"""),5.0)</f>
        <v>5</v>
      </c>
      <c r="H238" s="17">
        <f>IFERROR(__xludf.DUMMYFUNCTION("""COMPUTED_VALUE"""),0.241)</f>
        <v>0.241</v>
      </c>
      <c r="I238" s="17">
        <f>IFERROR(__xludf.DUMMYFUNCTION("""COMPUTED_VALUE"""),0.323)</f>
        <v>0.323</v>
      </c>
      <c r="J238" s="17">
        <f>IFERROR(__xludf.DUMMYFUNCTION("""COMPUTED_VALUE"""),75.0)</f>
        <v>75</v>
      </c>
      <c r="K238" s="17">
        <f>IFERROR(__xludf.DUMMYFUNCTION("""COMPUTED_VALUE"""),15.0)</f>
        <v>15</v>
      </c>
      <c r="L238" s="17">
        <f>IFERROR(__xludf.DUMMYFUNCTION("""COMPUTED_VALUE"""),2.0)</f>
        <v>2</v>
      </c>
      <c r="M238" s="17">
        <f>IFERROR(__xludf.DUMMYFUNCTION("""COMPUTED_VALUE"""),35.0)</f>
        <v>35</v>
      </c>
      <c r="N238" s="17">
        <f>IFERROR(__xludf.DUMMYFUNCTION("""COMPUTED_VALUE"""),64.0)</f>
        <v>64</v>
      </c>
      <c r="O238" s="17">
        <f>IFERROR(__xludf.DUMMYFUNCTION("""COMPUTED_VALUE"""),0.369)</f>
        <v>0.369</v>
      </c>
      <c r="P238" s="17">
        <f>IFERROR(__xludf.DUMMYFUNCTION("""COMPUTED_VALUE"""),0.692)</f>
        <v>0.692</v>
      </c>
      <c r="Q238" s="34">
        <f>IFERROR(__xludf.DUMMYFUNCTION("""COMPUTED_VALUE"""),0.16)</f>
        <v>0.16</v>
      </c>
      <c r="R238" s="34">
        <f>IFERROR(__xludf.DUMMYFUNCTION("""COMPUTED_VALUE"""),0.2)</f>
        <v>0.2</v>
      </c>
      <c r="S238" s="34">
        <f>IFERROR(__xludf.DUMMYFUNCTION("""COMPUTED_VALUE"""),0.13)</f>
        <v>0.13</v>
      </c>
      <c r="T238" s="17" t="str">
        <f t="shared" si="1"/>
        <v>Cole Young</v>
      </c>
    </row>
    <row r="239">
      <c r="A239" s="17">
        <f>IFERROR(__xludf.DUMMYFUNCTION("""COMPUTED_VALUE"""),238.0)</f>
        <v>238</v>
      </c>
      <c r="B239" s="17" t="str">
        <f>IFERROR(__xludf.DUMMYFUNCTION("""COMPUTED_VALUE"""),"Paul Goldschmidt (NYY - 1B)")</f>
        <v>Paul Goldschmidt (NYY - 1B)</v>
      </c>
      <c r="C239" s="17">
        <f>IFERROR(__xludf.DUMMYFUNCTION("""COMPUTED_VALUE"""),270.0)</f>
        <v>270</v>
      </c>
      <c r="D239" s="17">
        <f>IFERROR(__xludf.DUMMYFUNCTION("""COMPUTED_VALUE"""),37.0)</f>
        <v>37</v>
      </c>
      <c r="E239" s="17">
        <f>IFERROR(__xludf.DUMMYFUNCTION("""COMPUTED_VALUE"""),9.0)</f>
        <v>9</v>
      </c>
      <c r="F239" s="17">
        <f>IFERROR(__xludf.DUMMYFUNCTION("""COMPUTED_VALUE"""),35.0)</f>
        <v>35</v>
      </c>
      <c r="G239" s="17">
        <f>IFERROR(__xludf.DUMMYFUNCTION("""COMPUTED_VALUE"""),3.0)</f>
        <v>3</v>
      </c>
      <c r="H239" s="17">
        <f>IFERROR(__xludf.DUMMYFUNCTION("""COMPUTED_VALUE"""),0.251)</f>
        <v>0.251</v>
      </c>
      <c r="I239" s="17">
        <f>IFERROR(__xludf.DUMMYFUNCTION("""COMPUTED_VALUE"""),0.322)</f>
        <v>0.322</v>
      </c>
      <c r="J239" s="17">
        <f>IFERROR(__xludf.DUMMYFUNCTION("""COMPUTED_VALUE"""),68.0)</f>
        <v>68</v>
      </c>
      <c r="K239" s="17">
        <f>IFERROR(__xludf.DUMMYFUNCTION("""COMPUTED_VALUE"""),14.0)</f>
        <v>14</v>
      </c>
      <c r="L239" s="17">
        <f>IFERROR(__xludf.DUMMYFUNCTION("""COMPUTED_VALUE"""),0.0)</f>
        <v>0</v>
      </c>
      <c r="M239" s="17">
        <f>IFERROR(__xludf.DUMMYFUNCTION("""COMPUTED_VALUE"""),26.0)</f>
        <v>26</v>
      </c>
      <c r="N239" s="17">
        <f>IFERROR(__xludf.DUMMYFUNCTION("""COMPUTED_VALUE"""),68.0)</f>
        <v>68</v>
      </c>
      <c r="O239" s="17">
        <f>IFERROR(__xludf.DUMMYFUNCTION("""COMPUTED_VALUE"""),0.409)</f>
        <v>0.409</v>
      </c>
      <c r="P239" s="17">
        <f>IFERROR(__xludf.DUMMYFUNCTION("""COMPUTED_VALUE"""),0.732)</f>
        <v>0.732</v>
      </c>
      <c r="Q239" s="34">
        <f>IFERROR(__xludf.DUMMYFUNCTION("""COMPUTED_VALUE"""),0.02)</f>
        <v>0.02</v>
      </c>
      <c r="R239" s="34">
        <f>IFERROR(__xludf.DUMMYFUNCTION("""COMPUTED_VALUE"""),0.02)</f>
        <v>0.02</v>
      </c>
      <c r="S239" s="34">
        <f>IFERROR(__xludf.DUMMYFUNCTION("""COMPUTED_VALUE"""),0.01)</f>
        <v>0.01</v>
      </c>
      <c r="T239" s="17" t="str">
        <f t="shared" si="1"/>
        <v>Paul Goldschmidt</v>
      </c>
    </row>
    <row r="240">
      <c r="A240" s="17">
        <f>IFERROR(__xludf.DUMMYFUNCTION("""COMPUTED_VALUE"""),239.0)</f>
        <v>239</v>
      </c>
      <c r="B240" s="17" t="str">
        <f>IFERROR(__xludf.DUMMYFUNCTION("""COMPUTED_VALUE"""),"Liam Hicks (MIA - C,1B,DH)")</f>
        <v>Liam Hicks (MIA - C,1B,DH)</v>
      </c>
      <c r="C240" s="17">
        <f>IFERROR(__xludf.DUMMYFUNCTION("""COMPUTED_VALUE"""),310.0)</f>
        <v>310</v>
      </c>
      <c r="D240" s="17">
        <f>IFERROR(__xludf.DUMMYFUNCTION("""COMPUTED_VALUE"""),38.0)</f>
        <v>38</v>
      </c>
      <c r="E240" s="17">
        <f>IFERROR(__xludf.DUMMYFUNCTION("""COMPUTED_VALUE"""),7.0)</f>
        <v>7</v>
      </c>
      <c r="F240" s="17">
        <f>IFERROR(__xludf.DUMMYFUNCTION("""COMPUTED_VALUE"""),39.0)</f>
        <v>39</v>
      </c>
      <c r="G240" s="17">
        <f>IFERROR(__xludf.DUMMYFUNCTION("""COMPUTED_VALUE"""),2.0)</f>
        <v>2</v>
      </c>
      <c r="H240" s="17">
        <f>IFERROR(__xludf.DUMMYFUNCTION("""COMPUTED_VALUE"""),0.253)</f>
        <v>0.253</v>
      </c>
      <c r="I240" s="17">
        <f>IFERROR(__xludf.DUMMYFUNCTION("""COMPUTED_VALUE"""),0.342)</f>
        <v>0.342</v>
      </c>
      <c r="J240" s="17">
        <f>IFERROR(__xludf.DUMMYFUNCTION("""COMPUTED_VALUE"""),78.0)</f>
        <v>78</v>
      </c>
      <c r="K240" s="17">
        <f>IFERROR(__xludf.DUMMYFUNCTION("""COMPUTED_VALUE"""),14.0)</f>
        <v>14</v>
      </c>
      <c r="L240" s="17">
        <f>IFERROR(__xludf.DUMMYFUNCTION("""COMPUTED_VALUE"""),1.0)</f>
        <v>1</v>
      </c>
      <c r="M240" s="17">
        <f>IFERROR(__xludf.DUMMYFUNCTION("""COMPUTED_VALUE"""),37.0)</f>
        <v>37</v>
      </c>
      <c r="N240" s="17">
        <f>IFERROR(__xludf.DUMMYFUNCTION("""COMPUTED_VALUE"""),52.0)</f>
        <v>52</v>
      </c>
      <c r="O240" s="17">
        <f>IFERROR(__xludf.DUMMYFUNCTION("""COMPUTED_VALUE"""),0.367)</f>
        <v>0.367</v>
      </c>
      <c r="P240" s="17">
        <f>IFERROR(__xludf.DUMMYFUNCTION("""COMPUTED_VALUE"""),0.71)</f>
        <v>0.71</v>
      </c>
      <c r="Q240" s="34">
        <f>IFERROR(__xludf.DUMMYFUNCTION("""COMPUTED_VALUE"""),0.8)</f>
        <v>0.8</v>
      </c>
      <c r="R240" s="34">
        <f>IFERROR(__xludf.DUMMYFUNCTION("""COMPUTED_VALUE"""),0.75)</f>
        <v>0.75</v>
      </c>
      <c r="S240" s="34">
        <f>IFERROR(__xludf.DUMMYFUNCTION("""COMPUTED_VALUE"""),0.84)</f>
        <v>0.84</v>
      </c>
      <c r="T240" s="17" t="str">
        <f t="shared" si="1"/>
        <v>Liam Hicks</v>
      </c>
    </row>
    <row r="241">
      <c r="A241" s="17">
        <f>IFERROR(__xludf.DUMMYFUNCTION("""COMPUTED_VALUE"""),240.0)</f>
        <v>240</v>
      </c>
      <c r="B241" s="17" t="str">
        <f>IFERROR(__xludf.DUMMYFUNCTION("""COMPUTED_VALUE"""),"Jonny DeLuca (TB - LF,CF,RF)")</f>
        <v>Jonny DeLuca (TB - LF,CF,RF)</v>
      </c>
      <c r="C241" s="17">
        <f>IFERROR(__xludf.DUMMYFUNCTION("""COMPUTED_VALUE"""),286.0)</f>
        <v>286</v>
      </c>
      <c r="D241" s="17">
        <f>IFERROR(__xludf.DUMMYFUNCTION("""COMPUTED_VALUE"""),35.0)</f>
        <v>35</v>
      </c>
      <c r="E241" s="17">
        <f>IFERROR(__xludf.DUMMYFUNCTION("""COMPUTED_VALUE"""),8.0)</f>
        <v>8</v>
      </c>
      <c r="F241" s="17">
        <f>IFERROR(__xludf.DUMMYFUNCTION("""COMPUTED_VALUE"""),35.0)</f>
        <v>35</v>
      </c>
      <c r="G241" s="17">
        <f>IFERROR(__xludf.DUMMYFUNCTION("""COMPUTED_VALUE"""),10.0)</f>
        <v>10</v>
      </c>
      <c r="H241" s="17">
        <f>IFERROR(__xludf.DUMMYFUNCTION("""COMPUTED_VALUE"""),0.234)</f>
        <v>0.234</v>
      </c>
      <c r="I241" s="17">
        <f>IFERROR(__xludf.DUMMYFUNCTION("""COMPUTED_VALUE"""),0.296)</f>
        <v>0.296</v>
      </c>
      <c r="J241" s="17">
        <f>IFERROR(__xludf.DUMMYFUNCTION("""COMPUTED_VALUE"""),67.0)</f>
        <v>67</v>
      </c>
      <c r="K241" s="17">
        <f>IFERROR(__xludf.DUMMYFUNCTION("""COMPUTED_VALUE"""),13.0)</f>
        <v>13</v>
      </c>
      <c r="L241" s="17">
        <f>IFERROR(__xludf.DUMMYFUNCTION("""COMPUTED_VALUE"""),3.0)</f>
        <v>3</v>
      </c>
      <c r="M241" s="17">
        <f>IFERROR(__xludf.DUMMYFUNCTION("""COMPUTED_VALUE"""),22.0)</f>
        <v>22</v>
      </c>
      <c r="N241" s="17">
        <f>IFERROR(__xludf.DUMMYFUNCTION("""COMPUTED_VALUE"""),64.0)</f>
        <v>64</v>
      </c>
      <c r="O241" s="17">
        <f>IFERROR(__xludf.DUMMYFUNCTION("""COMPUTED_VALUE"""),0.383)</f>
        <v>0.383</v>
      </c>
      <c r="P241" s="17">
        <f>IFERROR(__xludf.DUMMYFUNCTION("""COMPUTED_VALUE"""),0.679)</f>
        <v>0.679</v>
      </c>
      <c r="Q241" s="34">
        <f>IFERROR(__xludf.DUMMYFUNCTION("""COMPUTED_VALUE"""),0.01)</f>
        <v>0.01</v>
      </c>
      <c r="R241" s="34">
        <f>IFERROR(__xludf.DUMMYFUNCTION("""COMPUTED_VALUE"""),0.01)</f>
        <v>0.01</v>
      </c>
      <c r="S241" s="34">
        <f>IFERROR(__xludf.DUMMYFUNCTION("""COMPUTED_VALUE"""),0.01)</f>
        <v>0.01</v>
      </c>
      <c r="T241" s="17" t="str">
        <f t="shared" si="1"/>
        <v>Jonny DeLuca</v>
      </c>
    </row>
    <row r="242">
      <c r="A242" s="17">
        <f>IFERROR(__xludf.DUMMYFUNCTION("""COMPUTED_VALUE"""),241.0)</f>
        <v>241</v>
      </c>
      <c r="B242" s="17" t="str">
        <f>IFERROR(__xludf.DUMMYFUNCTION("""COMPUTED_VALUE"""),"Lars Nootbaar (STL - LF,CF,RF) IL60")</f>
        <v>Lars Nootbaar (STL - LF,CF,RF) IL60</v>
      </c>
      <c r="C242" s="17">
        <f>IFERROR(__xludf.DUMMYFUNCTION("""COMPUTED_VALUE"""),257.0)</f>
        <v>257</v>
      </c>
      <c r="D242" s="17">
        <f>IFERROR(__xludf.DUMMYFUNCTION("""COMPUTED_VALUE"""),38.0)</f>
        <v>38</v>
      </c>
      <c r="E242" s="17">
        <f>IFERROR(__xludf.DUMMYFUNCTION("""COMPUTED_VALUE"""),9.0)</f>
        <v>9</v>
      </c>
      <c r="F242" s="17">
        <f>IFERROR(__xludf.DUMMYFUNCTION("""COMPUTED_VALUE"""),32.0)</f>
        <v>32</v>
      </c>
      <c r="G242" s="17">
        <f>IFERROR(__xludf.DUMMYFUNCTION("""COMPUTED_VALUE"""),4.0)</f>
        <v>4</v>
      </c>
      <c r="H242" s="17">
        <f>IFERROR(__xludf.DUMMYFUNCTION("""COMPUTED_VALUE"""),0.246)</f>
        <v>0.246</v>
      </c>
      <c r="I242" s="17">
        <f>IFERROR(__xludf.DUMMYFUNCTION("""COMPUTED_VALUE"""),0.347)</f>
        <v>0.347</v>
      </c>
      <c r="J242" s="17">
        <f>IFERROR(__xludf.DUMMYFUNCTION("""COMPUTED_VALUE"""),63.0)</f>
        <v>63</v>
      </c>
      <c r="K242" s="17">
        <f>IFERROR(__xludf.DUMMYFUNCTION("""COMPUTED_VALUE"""),13.0)</f>
        <v>13</v>
      </c>
      <c r="L242" s="17">
        <f>IFERROR(__xludf.DUMMYFUNCTION("""COMPUTED_VALUE"""),1.0)</f>
        <v>1</v>
      </c>
      <c r="M242" s="17">
        <f>IFERROR(__xludf.DUMMYFUNCTION("""COMPUTED_VALUE"""),38.0)</f>
        <v>38</v>
      </c>
      <c r="N242" s="17">
        <f>IFERROR(__xludf.DUMMYFUNCTION("""COMPUTED_VALUE"""),60.0)</f>
        <v>60</v>
      </c>
      <c r="O242" s="17">
        <f>IFERROR(__xludf.DUMMYFUNCTION("""COMPUTED_VALUE"""),0.409)</f>
        <v>0.409</v>
      </c>
      <c r="P242" s="17">
        <f>IFERROR(__xludf.DUMMYFUNCTION("""COMPUTED_VALUE"""),0.756)</f>
        <v>0.756</v>
      </c>
      <c r="Q242" s="34">
        <f>IFERROR(__xludf.DUMMYFUNCTION("""COMPUTED_VALUE"""),0.02)</f>
        <v>0.02</v>
      </c>
      <c r="R242" s="34">
        <f>IFERROR(__xludf.DUMMYFUNCTION("""COMPUTED_VALUE"""),0.01)</f>
        <v>0.01</v>
      </c>
      <c r="S242" s="34">
        <f>IFERROR(__xludf.DUMMYFUNCTION("""COMPUTED_VALUE"""),0.02)</f>
        <v>0.02</v>
      </c>
      <c r="T242" s="17" t="str">
        <f t="shared" si="1"/>
        <v>Lars Nootbaar</v>
      </c>
    </row>
    <row r="243">
      <c r="A243" s="17">
        <f>IFERROR(__xludf.DUMMYFUNCTION("""COMPUTED_VALUE"""),242.0)</f>
        <v>242</v>
      </c>
      <c r="B243" s="17" t="str">
        <f>IFERROR(__xludf.DUMMYFUNCTION("""COMPUTED_VALUE"""),"Jake Fraley (TB - LF,RF)")</f>
        <v>Jake Fraley (TB - LF,RF)</v>
      </c>
      <c r="C243" s="17">
        <f>IFERROR(__xludf.DUMMYFUNCTION("""COMPUTED_VALUE"""),276.0)</f>
        <v>276</v>
      </c>
      <c r="D243" s="17">
        <f>IFERROR(__xludf.DUMMYFUNCTION("""COMPUTED_VALUE"""),35.0)</f>
        <v>35</v>
      </c>
      <c r="E243" s="17">
        <f>IFERROR(__xludf.DUMMYFUNCTION("""COMPUTED_VALUE"""),7.0)</f>
        <v>7</v>
      </c>
      <c r="F243" s="17">
        <f>IFERROR(__xludf.DUMMYFUNCTION("""COMPUTED_VALUE"""),32.0)</f>
        <v>32</v>
      </c>
      <c r="G243" s="17">
        <f>IFERROR(__xludf.DUMMYFUNCTION("""COMPUTED_VALUE"""),10.0)</f>
        <v>10</v>
      </c>
      <c r="H243" s="17">
        <f>IFERROR(__xludf.DUMMYFUNCTION("""COMPUTED_VALUE"""),0.24)</f>
        <v>0.24</v>
      </c>
      <c r="I243" s="17">
        <f>IFERROR(__xludf.DUMMYFUNCTION("""COMPUTED_VALUE"""),0.321)</f>
        <v>0.321</v>
      </c>
      <c r="J243" s="17">
        <f>IFERROR(__xludf.DUMMYFUNCTION("""COMPUTED_VALUE"""),66.0)</f>
        <v>66</v>
      </c>
      <c r="K243" s="17">
        <f>IFERROR(__xludf.DUMMYFUNCTION("""COMPUTED_VALUE"""),13.0)</f>
        <v>13</v>
      </c>
      <c r="L243" s="17">
        <f>IFERROR(__xludf.DUMMYFUNCTION("""COMPUTED_VALUE"""),1.0)</f>
        <v>1</v>
      </c>
      <c r="M243" s="17">
        <f>IFERROR(__xludf.DUMMYFUNCTION("""COMPUTED_VALUE"""),30.0)</f>
        <v>30</v>
      </c>
      <c r="N243" s="17">
        <f>IFERROR(__xludf.DUMMYFUNCTION("""COMPUTED_VALUE"""),65.0)</f>
        <v>65</v>
      </c>
      <c r="O243" s="17">
        <f>IFERROR(__xludf.DUMMYFUNCTION("""COMPUTED_VALUE"""),0.377)</f>
        <v>0.377</v>
      </c>
      <c r="P243" s="17">
        <f>IFERROR(__xludf.DUMMYFUNCTION("""COMPUTED_VALUE"""),0.697)</f>
        <v>0.697</v>
      </c>
      <c r="Q243" s="34">
        <f>IFERROR(__xludf.DUMMYFUNCTION("""COMPUTED_VALUE"""),0.0)</f>
        <v>0</v>
      </c>
      <c r="R243" s="34">
        <f>IFERROR(__xludf.DUMMYFUNCTION("""COMPUTED_VALUE"""),0.0)</f>
        <v>0</v>
      </c>
      <c r="S243" s="34">
        <f>IFERROR(__xludf.DUMMYFUNCTION("""COMPUTED_VALUE"""),0.0)</f>
        <v>0</v>
      </c>
      <c r="T243" s="17" t="str">
        <f t="shared" si="1"/>
        <v>Jake Fraley</v>
      </c>
    </row>
    <row r="244">
      <c r="A244" s="17">
        <f>IFERROR(__xludf.DUMMYFUNCTION("""COMPUTED_VALUE"""),243.0)</f>
        <v>243</v>
      </c>
      <c r="B244" s="17" t="str">
        <f>IFERROR(__xludf.DUMMYFUNCTION("""COMPUTED_VALUE"""),"Nasim Nunez (WSH - 2B,SS)")</f>
        <v>Nasim Nunez (WSH - 2B,SS)</v>
      </c>
      <c r="C244" s="17">
        <f>IFERROR(__xludf.DUMMYFUNCTION("""COMPUTED_VALUE"""),262.0)</f>
        <v>262</v>
      </c>
      <c r="D244" s="17">
        <f>IFERROR(__xludf.DUMMYFUNCTION("""COMPUTED_VALUE"""),34.0)</f>
        <v>34</v>
      </c>
      <c r="E244" s="17">
        <f>IFERROR(__xludf.DUMMYFUNCTION("""COMPUTED_VALUE"""),3.0)</f>
        <v>3</v>
      </c>
      <c r="F244" s="17">
        <f>IFERROR(__xludf.DUMMYFUNCTION("""COMPUTED_VALUE"""),23.0)</f>
        <v>23</v>
      </c>
      <c r="G244" s="17">
        <f>IFERROR(__xludf.DUMMYFUNCTION("""COMPUTED_VALUE"""),24.0)</f>
        <v>24</v>
      </c>
      <c r="H244" s="17">
        <f>IFERROR(__xludf.DUMMYFUNCTION("""COMPUTED_VALUE"""),0.228)</f>
        <v>0.228</v>
      </c>
      <c r="I244" s="17">
        <f>IFERROR(__xludf.DUMMYFUNCTION("""COMPUTED_VALUE"""),0.306)</f>
        <v>0.306</v>
      </c>
      <c r="J244" s="17">
        <f>IFERROR(__xludf.DUMMYFUNCTION("""COMPUTED_VALUE"""),60.0)</f>
        <v>60</v>
      </c>
      <c r="K244" s="17">
        <f>IFERROR(__xludf.DUMMYFUNCTION("""COMPUTED_VALUE"""),9.0)</f>
        <v>9</v>
      </c>
      <c r="L244" s="17">
        <f>IFERROR(__xludf.DUMMYFUNCTION("""COMPUTED_VALUE"""),1.0)</f>
        <v>1</v>
      </c>
      <c r="M244" s="17">
        <f>IFERROR(__xludf.DUMMYFUNCTION("""COMPUTED_VALUE"""),30.0)</f>
        <v>30</v>
      </c>
      <c r="N244" s="17">
        <f>IFERROR(__xludf.DUMMYFUNCTION("""COMPUTED_VALUE"""),68.0)</f>
        <v>68</v>
      </c>
      <c r="O244" s="17">
        <f>IFERROR(__xludf.DUMMYFUNCTION("""COMPUTED_VALUE"""),0.305)</f>
        <v>0.305</v>
      </c>
      <c r="P244" s="17">
        <f>IFERROR(__xludf.DUMMYFUNCTION("""COMPUTED_VALUE"""),0.611)</f>
        <v>0.611</v>
      </c>
      <c r="Q244" s="34">
        <f>IFERROR(__xludf.DUMMYFUNCTION("""COMPUTED_VALUE"""),0.05)</f>
        <v>0.05</v>
      </c>
      <c r="R244" s="34">
        <f>IFERROR(__xludf.DUMMYFUNCTION("""COMPUTED_VALUE"""),0.07)</f>
        <v>0.07</v>
      </c>
      <c r="S244" s="34">
        <f>IFERROR(__xludf.DUMMYFUNCTION("""COMPUTED_VALUE"""),0.03)</f>
        <v>0.03</v>
      </c>
      <c r="T244" s="17" t="str">
        <f t="shared" si="1"/>
        <v>Nasim Nunez</v>
      </c>
    </row>
    <row r="245">
      <c r="A245" s="17">
        <f>IFERROR(__xludf.DUMMYFUNCTION("""COMPUTED_VALUE"""),244.0)</f>
        <v>244</v>
      </c>
      <c r="B245" s="17" t="str">
        <f>IFERROR(__xludf.DUMMYFUNCTION("""COMPUTED_VALUE"""),"Carlos Cortes (ATH - LF,RF,DH)")</f>
        <v>Carlos Cortes (ATH - LF,RF,DH)</v>
      </c>
      <c r="C245" s="17">
        <f>IFERROR(__xludf.DUMMYFUNCTION("""COMPUTED_VALUE"""),258.0)</f>
        <v>258</v>
      </c>
      <c r="D245" s="17">
        <f>IFERROR(__xludf.DUMMYFUNCTION("""COMPUTED_VALUE"""),34.0)</f>
        <v>34</v>
      </c>
      <c r="E245" s="17">
        <f>IFERROR(__xludf.DUMMYFUNCTION("""COMPUTED_VALUE"""),10.0)</f>
        <v>10</v>
      </c>
      <c r="F245" s="17">
        <f>IFERROR(__xludf.DUMMYFUNCTION("""COMPUTED_VALUE"""),36.0)</f>
        <v>36</v>
      </c>
      <c r="G245" s="17">
        <f>IFERROR(__xludf.DUMMYFUNCTION("""COMPUTED_VALUE"""),1.0)</f>
        <v>1</v>
      </c>
      <c r="H245" s="17">
        <f>IFERROR(__xludf.DUMMYFUNCTION("""COMPUTED_VALUE"""),0.247)</f>
        <v>0.247</v>
      </c>
      <c r="I245" s="17">
        <f>IFERROR(__xludf.DUMMYFUNCTION("""COMPUTED_VALUE"""),0.315)</f>
        <v>0.315</v>
      </c>
      <c r="J245" s="17">
        <f>IFERROR(__xludf.DUMMYFUNCTION("""COMPUTED_VALUE"""),64.0)</f>
        <v>64</v>
      </c>
      <c r="K245" s="17">
        <f>IFERROR(__xludf.DUMMYFUNCTION("""COMPUTED_VALUE"""),15.0)</f>
        <v>15</v>
      </c>
      <c r="L245" s="17">
        <f>IFERROR(__xludf.DUMMYFUNCTION("""COMPUTED_VALUE"""),1.0)</f>
        <v>1</v>
      </c>
      <c r="M245" s="17">
        <f>IFERROR(__xludf.DUMMYFUNCTION("""COMPUTED_VALUE"""),25.0)</f>
        <v>25</v>
      </c>
      <c r="N245" s="17">
        <f>IFERROR(__xludf.DUMMYFUNCTION("""COMPUTED_VALUE"""),57.0)</f>
        <v>57</v>
      </c>
      <c r="O245" s="17">
        <f>IFERROR(__xludf.DUMMYFUNCTION("""COMPUTED_VALUE"""),0.421)</f>
        <v>0.421</v>
      </c>
      <c r="P245" s="17">
        <f>IFERROR(__xludf.DUMMYFUNCTION("""COMPUTED_VALUE"""),0.736)</f>
        <v>0.736</v>
      </c>
      <c r="Q245" s="34">
        <f>IFERROR(__xludf.DUMMYFUNCTION("""COMPUTED_VALUE"""),0.27)</f>
        <v>0.27</v>
      </c>
      <c r="R245" s="34">
        <f>IFERROR(__xludf.DUMMYFUNCTION("""COMPUTED_VALUE"""),0.27)</f>
        <v>0.27</v>
      </c>
      <c r="S245" s="34">
        <f>IFERROR(__xludf.DUMMYFUNCTION("""COMPUTED_VALUE"""),0.28)</f>
        <v>0.28</v>
      </c>
      <c r="T245" s="17" t="str">
        <f t="shared" si="1"/>
        <v>Carlos Cortes</v>
      </c>
    </row>
    <row r="246">
      <c r="A246" s="17">
        <f>IFERROR(__xludf.DUMMYFUNCTION("""COMPUTED_VALUE"""),245.0)</f>
        <v>245</v>
      </c>
      <c r="B246" s="17" t="str">
        <f>IFERROR(__xludf.DUMMYFUNCTION("""COMPUTED_VALUE"""),"Wenceel Perez (DET - CF,RF)")</f>
        <v>Wenceel Perez (DET - CF,RF)</v>
      </c>
      <c r="C246" s="17">
        <f>IFERROR(__xludf.DUMMYFUNCTION("""COMPUTED_VALUE"""),278.0)</f>
        <v>278</v>
      </c>
      <c r="D246" s="17">
        <f>IFERROR(__xludf.DUMMYFUNCTION("""COMPUTED_VALUE"""),37.0)</f>
        <v>37</v>
      </c>
      <c r="E246" s="17">
        <f>IFERROR(__xludf.DUMMYFUNCTION("""COMPUTED_VALUE"""),8.0)</f>
        <v>8</v>
      </c>
      <c r="F246" s="17">
        <f>IFERROR(__xludf.DUMMYFUNCTION("""COMPUTED_VALUE"""),34.0)</f>
        <v>34</v>
      </c>
      <c r="G246" s="17">
        <f>IFERROR(__xludf.DUMMYFUNCTION("""COMPUTED_VALUE"""),7.0)</f>
        <v>7</v>
      </c>
      <c r="H246" s="17">
        <f>IFERROR(__xludf.DUMMYFUNCTION("""COMPUTED_VALUE"""),0.235)</f>
        <v>0.235</v>
      </c>
      <c r="I246" s="17">
        <f>IFERROR(__xludf.DUMMYFUNCTION("""COMPUTED_VALUE"""),0.301)</f>
        <v>0.301</v>
      </c>
      <c r="J246" s="17">
        <f>IFERROR(__xludf.DUMMYFUNCTION("""COMPUTED_VALUE"""),65.0)</f>
        <v>65</v>
      </c>
      <c r="K246" s="17">
        <f>IFERROR(__xludf.DUMMYFUNCTION("""COMPUTED_VALUE"""),13.0)</f>
        <v>13</v>
      </c>
      <c r="L246" s="17">
        <f>IFERROR(__xludf.DUMMYFUNCTION("""COMPUTED_VALUE"""),2.0)</f>
        <v>2</v>
      </c>
      <c r="M246" s="17">
        <f>IFERROR(__xludf.DUMMYFUNCTION("""COMPUTED_VALUE"""),25.0)</f>
        <v>25</v>
      </c>
      <c r="N246" s="17">
        <f>IFERROR(__xludf.DUMMYFUNCTION("""COMPUTED_VALUE"""),64.0)</f>
        <v>64</v>
      </c>
      <c r="O246" s="17">
        <f>IFERROR(__xludf.DUMMYFUNCTION("""COMPUTED_VALUE"""),0.388)</f>
        <v>0.388</v>
      </c>
      <c r="P246" s="17">
        <f>IFERROR(__xludf.DUMMYFUNCTION("""COMPUTED_VALUE"""),0.69)</f>
        <v>0.69</v>
      </c>
      <c r="Q246" s="34">
        <f>IFERROR(__xludf.DUMMYFUNCTION("""COMPUTED_VALUE"""),0.0)</f>
        <v>0</v>
      </c>
      <c r="R246" s="34">
        <f>IFERROR(__xludf.DUMMYFUNCTION("""COMPUTED_VALUE"""),0.0)</f>
        <v>0</v>
      </c>
      <c r="S246" s="34">
        <f>IFERROR(__xludf.DUMMYFUNCTION("""COMPUTED_VALUE"""),0.0)</f>
        <v>0</v>
      </c>
      <c r="T246" s="17" t="str">
        <f t="shared" si="1"/>
        <v>Wenceel Perez</v>
      </c>
    </row>
    <row r="247">
      <c r="A247" s="17">
        <f>IFERROR(__xludf.DUMMYFUNCTION("""COMPUTED_VALUE"""),246.0)</f>
        <v>246</v>
      </c>
      <c r="B247" s="17" t="str">
        <f>IFERROR(__xludf.DUMMYFUNCTION("""COMPUTED_VALUE"""),"Miguel Andujar (SD - 3B,LF,DH)")</f>
        <v>Miguel Andujar (SD - 3B,LF,DH)</v>
      </c>
      <c r="C247" s="17">
        <f>IFERROR(__xludf.DUMMYFUNCTION("""COMPUTED_VALUE"""),279.0)</f>
        <v>279</v>
      </c>
      <c r="D247" s="17">
        <f>IFERROR(__xludf.DUMMYFUNCTION("""COMPUTED_VALUE"""),32.0)</f>
        <v>32</v>
      </c>
      <c r="E247" s="17">
        <f>IFERROR(__xludf.DUMMYFUNCTION("""COMPUTED_VALUE"""),7.0)</f>
        <v>7</v>
      </c>
      <c r="F247" s="17">
        <f>IFERROR(__xludf.DUMMYFUNCTION("""COMPUTED_VALUE"""),34.0)</f>
        <v>34</v>
      </c>
      <c r="G247" s="17">
        <f>IFERROR(__xludf.DUMMYFUNCTION("""COMPUTED_VALUE"""),2.0)</f>
        <v>2</v>
      </c>
      <c r="H247" s="17">
        <f>IFERROR(__xludf.DUMMYFUNCTION("""COMPUTED_VALUE"""),0.266)</f>
        <v>0.266</v>
      </c>
      <c r="I247" s="17">
        <f>IFERROR(__xludf.DUMMYFUNCTION("""COMPUTED_VALUE"""),0.312)</f>
        <v>0.312</v>
      </c>
      <c r="J247" s="17">
        <f>IFERROR(__xludf.DUMMYFUNCTION("""COMPUTED_VALUE"""),74.0)</f>
        <v>74</v>
      </c>
      <c r="K247" s="17">
        <f>IFERROR(__xludf.DUMMYFUNCTION("""COMPUTED_VALUE"""),14.0)</f>
        <v>14</v>
      </c>
      <c r="L247" s="17">
        <f>IFERROR(__xludf.DUMMYFUNCTION("""COMPUTED_VALUE"""),1.0)</f>
        <v>1</v>
      </c>
      <c r="M247" s="17">
        <f>IFERROR(__xludf.DUMMYFUNCTION("""COMPUTED_VALUE"""),17.0)</f>
        <v>17</v>
      </c>
      <c r="N247" s="17">
        <f>IFERROR(__xludf.DUMMYFUNCTION("""COMPUTED_VALUE"""),47.0)</f>
        <v>47</v>
      </c>
      <c r="O247" s="17">
        <f>IFERROR(__xludf.DUMMYFUNCTION("""COMPUTED_VALUE"""),0.397)</f>
        <v>0.397</v>
      </c>
      <c r="P247" s="17">
        <f>IFERROR(__xludf.DUMMYFUNCTION("""COMPUTED_VALUE"""),0.709)</f>
        <v>0.709</v>
      </c>
      <c r="Q247" s="34">
        <f>IFERROR(__xludf.DUMMYFUNCTION("""COMPUTED_VALUE"""),0.02)</f>
        <v>0.02</v>
      </c>
      <c r="R247" s="34">
        <f>IFERROR(__xludf.DUMMYFUNCTION("""COMPUTED_VALUE"""),0.02)</f>
        <v>0.02</v>
      </c>
      <c r="S247" s="34">
        <f>IFERROR(__xludf.DUMMYFUNCTION("""COMPUTED_VALUE"""),0.01)</f>
        <v>0.01</v>
      </c>
      <c r="T247" s="17" t="str">
        <f t="shared" si="1"/>
        <v>Miguel Andujar</v>
      </c>
    </row>
    <row r="248">
      <c r="A248" s="17">
        <f>IFERROR(__xludf.DUMMYFUNCTION("""COMPUTED_VALUE"""),247.0)</f>
        <v>247</v>
      </c>
      <c r="B248" s="17" t="str">
        <f>IFERROR(__xludf.DUMMYFUNCTION("""COMPUTED_VALUE"""),"Everson Pereira (CWS - LF,CF,RF) IL10")</f>
        <v>Everson Pereira (CWS - LF,CF,RF) IL10</v>
      </c>
      <c r="C248" s="17">
        <f>IFERROR(__xludf.DUMMYFUNCTION("""COMPUTED_VALUE"""),277.0)</f>
        <v>277</v>
      </c>
      <c r="D248" s="17">
        <f>IFERROR(__xludf.DUMMYFUNCTION("""COMPUTED_VALUE"""),37.0)</f>
        <v>37</v>
      </c>
      <c r="E248" s="17">
        <f>IFERROR(__xludf.DUMMYFUNCTION("""COMPUTED_VALUE"""),11.0)</f>
        <v>11</v>
      </c>
      <c r="F248" s="17">
        <f>IFERROR(__xludf.DUMMYFUNCTION("""COMPUTED_VALUE"""),36.0)</f>
        <v>36</v>
      </c>
      <c r="G248" s="17">
        <f>IFERROR(__xludf.DUMMYFUNCTION("""COMPUTED_VALUE"""),5.0)</f>
        <v>5</v>
      </c>
      <c r="H248" s="17">
        <f>IFERROR(__xludf.DUMMYFUNCTION("""COMPUTED_VALUE"""),0.226)</f>
        <v>0.226</v>
      </c>
      <c r="I248" s="17">
        <f>IFERROR(__xludf.DUMMYFUNCTION("""COMPUTED_VALUE"""),0.296)</f>
        <v>0.296</v>
      </c>
      <c r="J248" s="17">
        <f>IFERROR(__xludf.DUMMYFUNCTION("""COMPUTED_VALUE"""),62.0)</f>
        <v>62</v>
      </c>
      <c r="K248" s="17">
        <f>IFERROR(__xludf.DUMMYFUNCTION("""COMPUTED_VALUE"""),11.0)</f>
        <v>11</v>
      </c>
      <c r="L248" s="17">
        <f>IFERROR(__xludf.DUMMYFUNCTION("""COMPUTED_VALUE"""),1.0)</f>
        <v>1</v>
      </c>
      <c r="M248" s="17">
        <f>IFERROR(__xludf.DUMMYFUNCTION("""COMPUTED_VALUE"""),25.0)</f>
        <v>25</v>
      </c>
      <c r="N248" s="17">
        <f>IFERROR(__xludf.DUMMYFUNCTION("""COMPUTED_VALUE"""),97.0)</f>
        <v>97</v>
      </c>
      <c r="O248" s="17">
        <f>IFERROR(__xludf.DUMMYFUNCTION("""COMPUTED_VALUE"""),0.394)</f>
        <v>0.394</v>
      </c>
      <c r="P248" s="17">
        <f>IFERROR(__xludf.DUMMYFUNCTION("""COMPUTED_VALUE"""),0.69)</f>
        <v>0.69</v>
      </c>
      <c r="Q248" s="34">
        <f>IFERROR(__xludf.DUMMYFUNCTION("""COMPUTED_VALUE"""),0.01)</f>
        <v>0.01</v>
      </c>
      <c r="R248" s="34">
        <f>IFERROR(__xludf.DUMMYFUNCTION("""COMPUTED_VALUE"""),0.01)</f>
        <v>0.01</v>
      </c>
      <c r="S248" s="34">
        <f>IFERROR(__xludf.DUMMYFUNCTION("""COMPUTED_VALUE"""),0.01)</f>
        <v>0.01</v>
      </c>
      <c r="T248" s="17" t="str">
        <f t="shared" si="1"/>
        <v>Everson Pereira</v>
      </c>
    </row>
    <row r="249">
      <c r="A249" s="17">
        <f>IFERROR(__xludf.DUMMYFUNCTION("""COMPUTED_VALUE"""),248.0)</f>
        <v>248</v>
      </c>
      <c r="B249" s="17" t="str">
        <f>IFERROR(__xludf.DUMMYFUNCTION("""COMPUTED_VALUE"""),"Victor Caratini (MIN - C,1B,DH)")</f>
        <v>Victor Caratini (MIN - C,1B,DH)</v>
      </c>
      <c r="C249" s="17">
        <f>IFERROR(__xludf.DUMMYFUNCTION("""COMPUTED_VALUE"""),299.0)</f>
        <v>299</v>
      </c>
      <c r="D249" s="17">
        <f>IFERROR(__xludf.DUMMYFUNCTION("""COMPUTED_VALUE"""),35.0)</f>
        <v>35</v>
      </c>
      <c r="E249" s="17">
        <f>IFERROR(__xludf.DUMMYFUNCTION("""COMPUTED_VALUE"""),9.0)</f>
        <v>9</v>
      </c>
      <c r="F249" s="17">
        <f>IFERROR(__xludf.DUMMYFUNCTION("""COMPUTED_VALUE"""),37.0)</f>
        <v>37</v>
      </c>
      <c r="G249" s="17">
        <f>IFERROR(__xludf.DUMMYFUNCTION("""COMPUTED_VALUE"""),1.0)</f>
        <v>1</v>
      </c>
      <c r="H249" s="17">
        <f>IFERROR(__xludf.DUMMYFUNCTION("""COMPUTED_VALUE"""),0.247)</f>
        <v>0.247</v>
      </c>
      <c r="I249" s="17">
        <f>IFERROR(__xludf.DUMMYFUNCTION("""COMPUTED_VALUE"""),0.323)</f>
        <v>0.323</v>
      </c>
      <c r="J249" s="17">
        <f>IFERROR(__xludf.DUMMYFUNCTION("""COMPUTED_VALUE"""),74.0)</f>
        <v>74</v>
      </c>
      <c r="K249" s="17">
        <f>IFERROR(__xludf.DUMMYFUNCTION("""COMPUTED_VALUE"""),12.0)</f>
        <v>12</v>
      </c>
      <c r="L249" s="17">
        <f>IFERROR(__xludf.DUMMYFUNCTION("""COMPUTED_VALUE"""),0.0)</f>
        <v>0</v>
      </c>
      <c r="M249" s="17">
        <f>IFERROR(__xludf.DUMMYFUNCTION("""COMPUTED_VALUE"""),27.0)</f>
        <v>27</v>
      </c>
      <c r="N249" s="17">
        <f>IFERROR(__xludf.DUMMYFUNCTION("""COMPUTED_VALUE"""),59.0)</f>
        <v>59</v>
      </c>
      <c r="O249" s="17">
        <f>IFERROR(__xludf.DUMMYFUNCTION("""COMPUTED_VALUE"""),0.375)</f>
        <v>0.375</v>
      </c>
      <c r="P249" s="17">
        <f>IFERROR(__xludf.DUMMYFUNCTION("""COMPUTED_VALUE"""),0.698)</f>
        <v>0.698</v>
      </c>
      <c r="Q249" s="34">
        <f>IFERROR(__xludf.DUMMYFUNCTION("""COMPUTED_VALUE"""),0.02)</f>
        <v>0.02</v>
      </c>
      <c r="R249" s="34">
        <f>IFERROR(__xludf.DUMMYFUNCTION("""COMPUTED_VALUE"""),0.02)</f>
        <v>0.02</v>
      </c>
      <c r="S249" s="34">
        <f>IFERROR(__xludf.DUMMYFUNCTION("""COMPUTED_VALUE"""),0.01)</f>
        <v>0.01</v>
      </c>
      <c r="T249" s="17" t="str">
        <f t="shared" si="1"/>
        <v>Victor Caratini</v>
      </c>
    </row>
    <row r="250">
      <c r="A250" s="17">
        <f>IFERROR(__xludf.DUMMYFUNCTION("""COMPUTED_VALUE"""),249.0)</f>
        <v>249</v>
      </c>
      <c r="B250" s="17" t="str">
        <f>IFERROR(__xludf.DUMMYFUNCTION("""COMPUTED_VALUE"""),"Nick Gonzales (PIT - 2B,3B,SS)")</f>
        <v>Nick Gonzales (PIT - 2B,3B,SS)</v>
      </c>
      <c r="C250" s="17">
        <f>IFERROR(__xludf.DUMMYFUNCTION("""COMPUTED_VALUE"""),282.0)</f>
        <v>282</v>
      </c>
      <c r="D250" s="17">
        <f>IFERROR(__xludf.DUMMYFUNCTION("""COMPUTED_VALUE"""),34.0)</f>
        <v>34</v>
      </c>
      <c r="E250" s="17">
        <f>IFERROR(__xludf.DUMMYFUNCTION("""COMPUTED_VALUE"""),5.0)</f>
        <v>5</v>
      </c>
      <c r="F250" s="17">
        <f>IFERROR(__xludf.DUMMYFUNCTION("""COMPUTED_VALUE"""),33.0)</f>
        <v>33</v>
      </c>
      <c r="G250" s="17">
        <f>IFERROR(__xludf.DUMMYFUNCTION("""COMPUTED_VALUE"""),3.0)</f>
        <v>3</v>
      </c>
      <c r="H250" s="17">
        <f>IFERROR(__xludf.DUMMYFUNCTION("""COMPUTED_VALUE"""),0.266)</f>
        <v>0.266</v>
      </c>
      <c r="I250" s="17">
        <f>IFERROR(__xludf.DUMMYFUNCTION("""COMPUTED_VALUE"""),0.319)</f>
        <v>0.319</v>
      </c>
      <c r="J250" s="17">
        <f>IFERROR(__xludf.DUMMYFUNCTION("""COMPUTED_VALUE"""),75.0)</f>
        <v>75</v>
      </c>
      <c r="K250" s="17">
        <f>IFERROR(__xludf.DUMMYFUNCTION("""COMPUTED_VALUE"""),17.0)</f>
        <v>17</v>
      </c>
      <c r="L250" s="17">
        <f>IFERROR(__xludf.DUMMYFUNCTION("""COMPUTED_VALUE"""),2.0)</f>
        <v>2</v>
      </c>
      <c r="M250" s="17">
        <f>IFERROR(__xludf.DUMMYFUNCTION("""COMPUTED_VALUE"""),19.0)</f>
        <v>19</v>
      </c>
      <c r="N250" s="17">
        <f>IFERROR(__xludf.DUMMYFUNCTION("""COMPUTED_VALUE"""),62.0)</f>
        <v>62</v>
      </c>
      <c r="O250" s="17">
        <f>IFERROR(__xludf.DUMMYFUNCTION("""COMPUTED_VALUE"""),0.396)</f>
        <v>0.396</v>
      </c>
      <c r="P250" s="17">
        <f>IFERROR(__xludf.DUMMYFUNCTION("""COMPUTED_VALUE"""),0.715)</f>
        <v>0.715</v>
      </c>
      <c r="Q250" s="34">
        <f>IFERROR(__xludf.DUMMYFUNCTION("""COMPUTED_VALUE"""),0.06)</f>
        <v>0.06</v>
      </c>
      <c r="R250" s="34">
        <f>IFERROR(__xludf.DUMMYFUNCTION("""COMPUTED_VALUE"""),0.09)</f>
        <v>0.09</v>
      </c>
      <c r="S250" s="34">
        <f>IFERROR(__xludf.DUMMYFUNCTION("""COMPUTED_VALUE"""),0.03)</f>
        <v>0.03</v>
      </c>
      <c r="T250" s="17" t="str">
        <f t="shared" si="1"/>
        <v>Nick Gonzales</v>
      </c>
    </row>
    <row r="251">
      <c r="A251" s="17">
        <f>IFERROR(__xludf.DUMMYFUNCTION("""COMPUTED_VALUE"""),250.0)</f>
        <v>250</v>
      </c>
      <c r="B251" s="17" t="str">
        <f>IFERROR(__xludf.DUMMYFUNCTION("""COMPUTED_VALUE"""),"Max Muncy (ATH - 2B,3B,SS) IL10")</f>
        <v>Max Muncy (ATH - 2B,3B,SS) IL10</v>
      </c>
      <c r="C251" s="17">
        <f>IFERROR(__xludf.DUMMYFUNCTION("""COMPUTED_VALUE"""),269.0)</f>
        <v>269</v>
      </c>
      <c r="D251" s="17">
        <f>IFERROR(__xludf.DUMMYFUNCTION("""COMPUTED_VALUE"""),34.0)</f>
        <v>34</v>
      </c>
      <c r="E251" s="17">
        <f>IFERROR(__xludf.DUMMYFUNCTION("""COMPUTED_VALUE"""),9.0)</f>
        <v>9</v>
      </c>
      <c r="F251" s="17">
        <f>IFERROR(__xludf.DUMMYFUNCTION("""COMPUTED_VALUE"""),35.0)</f>
        <v>35</v>
      </c>
      <c r="G251" s="17">
        <f>IFERROR(__xludf.DUMMYFUNCTION("""COMPUTED_VALUE"""),4.0)</f>
        <v>4</v>
      </c>
      <c r="H251" s="17">
        <f>IFERROR(__xludf.DUMMYFUNCTION("""COMPUTED_VALUE"""),0.24)</f>
        <v>0.24</v>
      </c>
      <c r="I251" s="17">
        <f>IFERROR(__xludf.DUMMYFUNCTION("""COMPUTED_VALUE"""),0.3)</f>
        <v>0.3</v>
      </c>
      <c r="J251" s="17">
        <f>IFERROR(__xludf.DUMMYFUNCTION("""COMPUTED_VALUE"""),65.0)</f>
        <v>65</v>
      </c>
      <c r="K251" s="17">
        <f>IFERROR(__xludf.DUMMYFUNCTION("""COMPUTED_VALUE"""),14.0)</f>
        <v>14</v>
      </c>
      <c r="L251" s="17">
        <f>IFERROR(__xludf.DUMMYFUNCTION("""COMPUTED_VALUE"""),1.0)</f>
        <v>1</v>
      </c>
      <c r="M251" s="17">
        <f>IFERROR(__xludf.DUMMYFUNCTION("""COMPUTED_VALUE"""),19.0)</f>
        <v>19</v>
      </c>
      <c r="N251" s="17">
        <f>IFERROR(__xludf.DUMMYFUNCTION("""COMPUTED_VALUE"""),86.0)</f>
        <v>86</v>
      </c>
      <c r="O251" s="17">
        <f>IFERROR(__xludf.DUMMYFUNCTION("""COMPUTED_VALUE"""),0.401)</f>
        <v>0.401</v>
      </c>
      <c r="P251" s="17">
        <f>IFERROR(__xludf.DUMMYFUNCTION("""COMPUTED_VALUE"""),0.701)</f>
        <v>0.701</v>
      </c>
      <c r="Q251" s="34">
        <f>IFERROR(__xludf.DUMMYFUNCTION("""COMPUTED_VALUE"""),0.12)</f>
        <v>0.12</v>
      </c>
      <c r="R251" s="34">
        <f>IFERROR(__xludf.DUMMYFUNCTION("""COMPUTED_VALUE"""),0.17)</f>
        <v>0.17</v>
      </c>
      <c r="S251" s="34">
        <f>IFERROR(__xludf.DUMMYFUNCTION("""COMPUTED_VALUE"""),0.07)</f>
        <v>0.07</v>
      </c>
      <c r="T251" s="17" t="str">
        <f t="shared" si="1"/>
        <v>Max Muncy</v>
      </c>
    </row>
    <row r="252">
      <c r="A252" s="17">
        <f>IFERROR(__xludf.DUMMYFUNCTION("""COMPUTED_VALUE"""),251.0)</f>
        <v>251</v>
      </c>
      <c r="B252" s="17" t="str">
        <f>IFERROR(__xludf.DUMMYFUNCTION("""COMPUTED_VALUE"""),"Luis Rengifo (MIL - 2B,3B,OF)")</f>
        <v>Luis Rengifo (MIL - 2B,3B,OF)</v>
      </c>
      <c r="C252" s="17">
        <f>IFERROR(__xludf.DUMMYFUNCTION("""COMPUTED_VALUE"""),289.0)</f>
        <v>289</v>
      </c>
      <c r="D252" s="17">
        <f>IFERROR(__xludf.DUMMYFUNCTION("""COMPUTED_VALUE"""),34.0)</f>
        <v>34</v>
      </c>
      <c r="E252" s="17">
        <f>IFERROR(__xludf.DUMMYFUNCTION("""COMPUTED_VALUE"""),6.0)</f>
        <v>6</v>
      </c>
      <c r="F252" s="17">
        <f>IFERROR(__xludf.DUMMYFUNCTION("""COMPUTED_VALUE"""),33.0)</f>
        <v>33</v>
      </c>
      <c r="G252" s="17">
        <f>IFERROR(__xludf.DUMMYFUNCTION("""COMPUTED_VALUE"""),8.0)</f>
        <v>8</v>
      </c>
      <c r="H252" s="17">
        <f>IFERROR(__xludf.DUMMYFUNCTION("""COMPUTED_VALUE"""),0.247)</f>
        <v>0.247</v>
      </c>
      <c r="I252" s="17">
        <f>IFERROR(__xludf.DUMMYFUNCTION("""COMPUTED_VALUE"""),0.304)</f>
        <v>0.304</v>
      </c>
      <c r="J252" s="17">
        <f>IFERROR(__xludf.DUMMYFUNCTION("""COMPUTED_VALUE"""),71.0)</f>
        <v>71</v>
      </c>
      <c r="K252" s="17">
        <f>IFERROR(__xludf.DUMMYFUNCTION("""COMPUTED_VALUE"""),12.0)</f>
        <v>12</v>
      </c>
      <c r="L252" s="17">
        <f>IFERROR(__xludf.DUMMYFUNCTION("""COMPUTED_VALUE"""),2.0)</f>
        <v>2</v>
      </c>
      <c r="M252" s="17">
        <f>IFERROR(__xludf.DUMMYFUNCTION("""COMPUTED_VALUE"""),22.0)</f>
        <v>22</v>
      </c>
      <c r="N252" s="17">
        <f>IFERROR(__xludf.DUMMYFUNCTION("""COMPUTED_VALUE"""),56.0)</f>
        <v>56</v>
      </c>
      <c r="O252" s="17">
        <f>IFERROR(__xludf.DUMMYFUNCTION("""COMPUTED_VALUE"""),0.366)</f>
        <v>0.366</v>
      </c>
      <c r="P252" s="17">
        <f>IFERROR(__xludf.DUMMYFUNCTION("""COMPUTED_VALUE"""),0.67)</f>
        <v>0.67</v>
      </c>
      <c r="Q252" s="34">
        <f>IFERROR(__xludf.DUMMYFUNCTION("""COMPUTED_VALUE"""),0.01)</f>
        <v>0.01</v>
      </c>
      <c r="R252" s="34">
        <f>IFERROR(__xludf.DUMMYFUNCTION("""COMPUTED_VALUE"""),0.01)</f>
        <v>0.01</v>
      </c>
      <c r="S252" s="34">
        <f>IFERROR(__xludf.DUMMYFUNCTION("""COMPUTED_VALUE"""),0.01)</f>
        <v>0.01</v>
      </c>
      <c r="T252" s="17" t="str">
        <f t="shared" si="1"/>
        <v>Luis Rengifo</v>
      </c>
    </row>
    <row r="253">
      <c r="A253" s="17">
        <f>IFERROR(__xludf.DUMMYFUNCTION("""COMPUTED_VALUE"""),252.0)</f>
        <v>252</v>
      </c>
      <c r="B253" s="17" t="str">
        <f>IFERROR(__xludf.DUMMYFUNCTION("""COMPUTED_VALUE"""),"Jake McCarthy (COL - LF,CF,RF)")</f>
        <v>Jake McCarthy (COL - LF,CF,RF)</v>
      </c>
      <c r="C253" s="17">
        <f>IFERROR(__xludf.DUMMYFUNCTION("""COMPUTED_VALUE"""),230.0)</f>
        <v>230</v>
      </c>
      <c r="D253" s="17">
        <f>IFERROR(__xludf.DUMMYFUNCTION("""COMPUTED_VALUE"""),32.0)</f>
        <v>32</v>
      </c>
      <c r="E253" s="17">
        <f>IFERROR(__xludf.DUMMYFUNCTION("""COMPUTED_VALUE"""),4.0)</f>
        <v>4</v>
      </c>
      <c r="F253" s="17">
        <f>IFERROR(__xludf.DUMMYFUNCTION("""COMPUTED_VALUE"""),24.0)</f>
        <v>24</v>
      </c>
      <c r="G253" s="17">
        <f>IFERROR(__xludf.DUMMYFUNCTION("""COMPUTED_VALUE"""),12.0)</f>
        <v>12</v>
      </c>
      <c r="H253" s="17">
        <f>IFERROR(__xludf.DUMMYFUNCTION("""COMPUTED_VALUE"""),0.266)</f>
        <v>0.266</v>
      </c>
      <c r="I253" s="17">
        <f>IFERROR(__xludf.DUMMYFUNCTION("""COMPUTED_VALUE"""),0.325)</f>
        <v>0.325</v>
      </c>
      <c r="J253" s="17">
        <f>IFERROR(__xludf.DUMMYFUNCTION("""COMPUTED_VALUE"""),61.0)</f>
        <v>61</v>
      </c>
      <c r="K253" s="17">
        <f>IFERROR(__xludf.DUMMYFUNCTION("""COMPUTED_VALUE"""),10.0)</f>
        <v>10</v>
      </c>
      <c r="L253" s="17">
        <f>IFERROR(__xludf.DUMMYFUNCTION("""COMPUTED_VALUE"""),3.0)</f>
        <v>3</v>
      </c>
      <c r="M253" s="17">
        <f>IFERROR(__xludf.DUMMYFUNCTION("""COMPUTED_VALUE"""),17.0)</f>
        <v>17</v>
      </c>
      <c r="N253" s="17">
        <f>IFERROR(__xludf.DUMMYFUNCTION("""COMPUTED_VALUE"""),43.0)</f>
        <v>43</v>
      </c>
      <c r="O253" s="17">
        <f>IFERROR(__xludf.DUMMYFUNCTION("""COMPUTED_VALUE"""),0.39)</f>
        <v>0.39</v>
      </c>
      <c r="P253" s="17">
        <f>IFERROR(__xludf.DUMMYFUNCTION("""COMPUTED_VALUE"""),0.715)</f>
        <v>0.715</v>
      </c>
      <c r="Q253" s="34">
        <f>IFERROR(__xludf.DUMMYFUNCTION("""COMPUTED_VALUE"""),0.01)</f>
        <v>0.01</v>
      </c>
      <c r="R253" s="34">
        <f>IFERROR(__xludf.DUMMYFUNCTION("""COMPUTED_VALUE"""),0.01)</f>
        <v>0.01</v>
      </c>
      <c r="S253" s="34">
        <f>IFERROR(__xludf.DUMMYFUNCTION("""COMPUTED_VALUE"""),0.0)</f>
        <v>0</v>
      </c>
      <c r="T253" s="17" t="str">
        <f t="shared" si="1"/>
        <v>Jake McCarthy</v>
      </c>
    </row>
    <row r="254">
      <c r="A254" s="17">
        <f>IFERROR(__xludf.DUMMYFUNCTION("""COMPUTED_VALUE"""),253.0)</f>
        <v>253</v>
      </c>
      <c r="B254" s="17" t="str">
        <f>IFERROR(__xludf.DUMMYFUNCTION("""COMPUTED_VALUE"""),"Jake Mangum (PIT - LF,CF,RF)")</f>
        <v>Jake Mangum (PIT - LF,CF,RF)</v>
      </c>
      <c r="C254" s="17">
        <f>IFERROR(__xludf.DUMMYFUNCTION("""COMPUTED_VALUE"""),267.0)</f>
        <v>267</v>
      </c>
      <c r="D254" s="17">
        <f>IFERROR(__xludf.DUMMYFUNCTION("""COMPUTED_VALUE"""),31.0)</f>
        <v>31</v>
      </c>
      <c r="E254" s="17">
        <f>IFERROR(__xludf.DUMMYFUNCTION("""COMPUTED_VALUE"""),2.0)</f>
        <v>2</v>
      </c>
      <c r="F254" s="17">
        <f>IFERROR(__xludf.DUMMYFUNCTION("""COMPUTED_VALUE"""),26.0)</f>
        <v>26</v>
      </c>
      <c r="G254" s="17">
        <f>IFERROR(__xludf.DUMMYFUNCTION("""COMPUTED_VALUE"""),11.0)</f>
        <v>11</v>
      </c>
      <c r="H254" s="17">
        <f>IFERROR(__xludf.DUMMYFUNCTION("""COMPUTED_VALUE"""),0.273)</f>
        <v>0.273</v>
      </c>
      <c r="I254" s="17">
        <f>IFERROR(__xludf.DUMMYFUNCTION("""COMPUTED_VALUE"""),0.314)</f>
        <v>0.314</v>
      </c>
      <c r="J254" s="17">
        <f>IFERROR(__xludf.DUMMYFUNCTION("""COMPUTED_VALUE"""),73.0)</f>
        <v>73</v>
      </c>
      <c r="K254" s="17">
        <f>IFERROR(__xludf.DUMMYFUNCTION("""COMPUTED_VALUE"""),14.0)</f>
        <v>14</v>
      </c>
      <c r="L254" s="17">
        <f>IFERROR(__xludf.DUMMYFUNCTION("""COMPUTED_VALUE"""),2.0)</f>
        <v>2</v>
      </c>
      <c r="M254" s="17">
        <f>IFERROR(__xludf.DUMMYFUNCTION("""COMPUTED_VALUE"""),14.0)</f>
        <v>14</v>
      </c>
      <c r="N254" s="17">
        <f>IFERROR(__xludf.DUMMYFUNCTION("""COMPUTED_VALUE"""),50.0)</f>
        <v>50</v>
      </c>
      <c r="O254" s="17">
        <f>IFERROR(__xludf.DUMMYFUNCTION("""COMPUTED_VALUE"""),0.361)</f>
        <v>0.361</v>
      </c>
      <c r="P254" s="17">
        <f>IFERROR(__xludf.DUMMYFUNCTION("""COMPUTED_VALUE"""),0.675)</f>
        <v>0.675</v>
      </c>
      <c r="Q254" s="34">
        <f>IFERROR(__xludf.DUMMYFUNCTION("""COMPUTED_VALUE"""),0.01)</f>
        <v>0.01</v>
      </c>
      <c r="R254" s="34">
        <f>IFERROR(__xludf.DUMMYFUNCTION("""COMPUTED_VALUE"""),0.02)</f>
        <v>0.02</v>
      </c>
      <c r="S254" s="34">
        <f>IFERROR(__xludf.DUMMYFUNCTION("""COMPUTED_VALUE"""),0.01)</f>
        <v>0.01</v>
      </c>
      <c r="T254" s="17" t="str">
        <f t="shared" si="1"/>
        <v>Jake Mangum</v>
      </c>
    </row>
    <row r="255">
      <c r="A255" s="17">
        <f>IFERROR(__xludf.DUMMYFUNCTION("""COMPUTED_VALUE"""),254.0)</f>
        <v>254</v>
      </c>
      <c r="B255" s="17" t="str">
        <f>IFERROR(__xludf.DUMMYFUNCTION("""COMPUTED_VALUE"""),"Dylan Beavers (BAL - LF,RF,DH)")</f>
        <v>Dylan Beavers (BAL - LF,RF,DH)</v>
      </c>
      <c r="C255" s="17">
        <f>IFERROR(__xludf.DUMMYFUNCTION("""COMPUTED_VALUE"""),238.0)</f>
        <v>238</v>
      </c>
      <c r="D255" s="17">
        <f>IFERROR(__xludf.DUMMYFUNCTION("""COMPUTED_VALUE"""),34.0)</f>
        <v>34</v>
      </c>
      <c r="E255" s="17">
        <f>IFERROR(__xludf.DUMMYFUNCTION("""COMPUTED_VALUE"""),8.0)</f>
        <v>8</v>
      </c>
      <c r="F255" s="17">
        <f>IFERROR(__xludf.DUMMYFUNCTION("""COMPUTED_VALUE"""),30.0)</f>
        <v>30</v>
      </c>
      <c r="G255" s="17">
        <f>IFERROR(__xludf.DUMMYFUNCTION("""COMPUTED_VALUE"""),7.0)</f>
        <v>7</v>
      </c>
      <c r="H255" s="17">
        <f>IFERROR(__xludf.DUMMYFUNCTION("""COMPUTED_VALUE"""),0.244)</f>
        <v>0.244</v>
      </c>
      <c r="I255" s="17">
        <f>IFERROR(__xludf.DUMMYFUNCTION("""COMPUTED_VALUE"""),0.331)</f>
        <v>0.331</v>
      </c>
      <c r="J255" s="17">
        <f>IFERROR(__xludf.DUMMYFUNCTION("""COMPUTED_VALUE"""),58.0)</f>
        <v>58</v>
      </c>
      <c r="K255" s="17">
        <f>IFERROR(__xludf.DUMMYFUNCTION("""COMPUTED_VALUE"""),11.0)</f>
        <v>11</v>
      </c>
      <c r="L255" s="17">
        <f>IFERROR(__xludf.DUMMYFUNCTION("""COMPUTED_VALUE"""),1.0)</f>
        <v>1</v>
      </c>
      <c r="M255" s="17">
        <f>IFERROR(__xludf.DUMMYFUNCTION("""COMPUTED_VALUE"""),31.0)</f>
        <v>31</v>
      </c>
      <c r="N255" s="17">
        <f>IFERROR(__xludf.DUMMYFUNCTION("""COMPUTED_VALUE"""),63.0)</f>
        <v>63</v>
      </c>
      <c r="O255" s="17">
        <f>IFERROR(__xludf.DUMMYFUNCTION("""COMPUTED_VALUE"""),0.405)</f>
        <v>0.405</v>
      </c>
      <c r="P255" s="17">
        <f>IFERROR(__xludf.DUMMYFUNCTION("""COMPUTED_VALUE"""),0.736)</f>
        <v>0.736</v>
      </c>
      <c r="Q255" s="34">
        <f>IFERROR(__xludf.DUMMYFUNCTION("""COMPUTED_VALUE"""),0.02)</f>
        <v>0.02</v>
      </c>
      <c r="R255" s="34">
        <f>IFERROR(__xludf.DUMMYFUNCTION("""COMPUTED_VALUE"""),0.02)</f>
        <v>0.02</v>
      </c>
      <c r="S255" s="34">
        <f>IFERROR(__xludf.DUMMYFUNCTION("""COMPUTED_VALUE"""),0.02)</f>
        <v>0.02</v>
      </c>
      <c r="T255" s="17" t="str">
        <f t="shared" si="1"/>
        <v>Dylan Beavers</v>
      </c>
    </row>
    <row r="256">
      <c r="A256" s="17">
        <f>IFERROR(__xludf.DUMMYFUNCTION("""COMPUTED_VALUE"""),255.0)</f>
        <v>255</v>
      </c>
      <c r="B256" s="17" t="str">
        <f>IFERROR(__xludf.DUMMYFUNCTION("""COMPUTED_VALUE"""),"Rhys Hoskins (CLE - 1B,DH)")</f>
        <v>Rhys Hoskins (CLE - 1B,DH)</v>
      </c>
      <c r="C256" s="17">
        <f>IFERROR(__xludf.DUMMYFUNCTION("""COMPUTED_VALUE"""),271.0)</f>
        <v>271</v>
      </c>
      <c r="D256" s="17">
        <f>IFERROR(__xludf.DUMMYFUNCTION("""COMPUTED_VALUE"""),36.0)</f>
        <v>36</v>
      </c>
      <c r="E256" s="17">
        <f>IFERROR(__xludf.DUMMYFUNCTION("""COMPUTED_VALUE"""),12.0)</f>
        <v>12</v>
      </c>
      <c r="F256" s="17">
        <f>IFERROR(__xludf.DUMMYFUNCTION("""COMPUTED_VALUE"""),38.0)</f>
        <v>38</v>
      </c>
      <c r="G256" s="17">
        <f>IFERROR(__xludf.DUMMYFUNCTION("""COMPUTED_VALUE"""),2.0)</f>
        <v>2</v>
      </c>
      <c r="H256" s="17">
        <f>IFERROR(__xludf.DUMMYFUNCTION("""COMPUTED_VALUE"""),0.222)</f>
        <v>0.222</v>
      </c>
      <c r="I256" s="17">
        <f>IFERROR(__xludf.DUMMYFUNCTION("""COMPUTED_VALUE"""),0.325)</f>
        <v>0.325</v>
      </c>
      <c r="J256" s="17">
        <f>IFERROR(__xludf.DUMMYFUNCTION("""COMPUTED_VALUE"""),60.0)</f>
        <v>60</v>
      </c>
      <c r="K256" s="17">
        <f>IFERROR(__xludf.DUMMYFUNCTION("""COMPUTED_VALUE"""),13.0)</f>
        <v>13</v>
      </c>
      <c r="L256" s="17">
        <f>IFERROR(__xludf.DUMMYFUNCTION("""COMPUTED_VALUE"""),1.0)</f>
        <v>1</v>
      </c>
      <c r="M256" s="17">
        <f>IFERROR(__xludf.DUMMYFUNCTION("""COMPUTED_VALUE"""),38.0)</f>
        <v>38</v>
      </c>
      <c r="N256" s="17">
        <f>IFERROR(__xludf.DUMMYFUNCTION("""COMPUTED_VALUE"""),85.0)</f>
        <v>85</v>
      </c>
      <c r="O256" s="17">
        <f>IFERROR(__xludf.DUMMYFUNCTION("""COMPUTED_VALUE"""),0.404)</f>
        <v>0.404</v>
      </c>
      <c r="P256" s="17">
        <f>IFERROR(__xludf.DUMMYFUNCTION("""COMPUTED_VALUE"""),0.729)</f>
        <v>0.729</v>
      </c>
      <c r="Q256" s="34">
        <f>IFERROR(__xludf.DUMMYFUNCTION("""COMPUTED_VALUE"""),0.02)</f>
        <v>0.02</v>
      </c>
      <c r="R256" s="34">
        <f>IFERROR(__xludf.DUMMYFUNCTION("""COMPUTED_VALUE"""),0.01)</f>
        <v>0.01</v>
      </c>
      <c r="S256" s="34">
        <f>IFERROR(__xludf.DUMMYFUNCTION("""COMPUTED_VALUE"""),0.02)</f>
        <v>0.02</v>
      </c>
      <c r="T256" s="17" t="str">
        <f t="shared" si="1"/>
        <v>Rhys Hoskins</v>
      </c>
    </row>
    <row r="257">
      <c r="A257" s="17">
        <f>IFERROR(__xludf.DUMMYFUNCTION("""COMPUTED_VALUE"""),256.0)</f>
        <v>256</v>
      </c>
      <c r="B257" s="17" t="str">
        <f>IFERROR(__xludf.DUMMYFUNCTION("""COMPUTED_VALUE"""),"Carson Kelly (CHC - C)")</f>
        <v>Carson Kelly (CHC - C)</v>
      </c>
      <c r="C257" s="17">
        <f>IFERROR(__xludf.DUMMYFUNCTION("""COMPUTED_VALUE"""),268.0)</f>
        <v>268</v>
      </c>
      <c r="D257" s="17">
        <f>IFERROR(__xludf.DUMMYFUNCTION("""COMPUTED_VALUE"""),35.0)</f>
        <v>35</v>
      </c>
      <c r="E257" s="17">
        <f>IFERROR(__xludf.DUMMYFUNCTION("""COMPUTED_VALUE"""),10.0)</f>
        <v>10</v>
      </c>
      <c r="F257" s="17">
        <f>IFERROR(__xludf.DUMMYFUNCTION("""COMPUTED_VALUE"""),36.0)</f>
        <v>36</v>
      </c>
      <c r="G257" s="17">
        <f>IFERROR(__xludf.DUMMYFUNCTION("""COMPUTED_VALUE"""),1.0)</f>
        <v>1</v>
      </c>
      <c r="H257" s="17">
        <f>IFERROR(__xludf.DUMMYFUNCTION("""COMPUTED_VALUE"""),0.24)</f>
        <v>0.24</v>
      </c>
      <c r="I257" s="17">
        <f>IFERROR(__xludf.DUMMYFUNCTION("""COMPUTED_VALUE"""),0.323)</f>
        <v>0.323</v>
      </c>
      <c r="J257" s="17">
        <f>IFERROR(__xludf.DUMMYFUNCTION("""COMPUTED_VALUE"""),64.0)</f>
        <v>64</v>
      </c>
      <c r="K257" s="17">
        <f>IFERROR(__xludf.DUMMYFUNCTION("""COMPUTED_VALUE"""),11.0)</f>
        <v>11</v>
      </c>
      <c r="L257" s="17">
        <f>IFERROR(__xludf.DUMMYFUNCTION("""COMPUTED_VALUE"""),1.0)</f>
        <v>1</v>
      </c>
      <c r="M257" s="17">
        <f>IFERROR(__xludf.DUMMYFUNCTION("""COMPUTED_VALUE"""),30.0)</f>
        <v>30</v>
      </c>
      <c r="N257" s="17">
        <f>IFERROR(__xludf.DUMMYFUNCTION("""COMPUTED_VALUE"""),60.0)</f>
        <v>60</v>
      </c>
      <c r="O257" s="17">
        <f>IFERROR(__xludf.DUMMYFUNCTION("""COMPUTED_VALUE"""),0.396)</f>
        <v>0.396</v>
      </c>
      <c r="P257" s="17">
        <f>IFERROR(__xludf.DUMMYFUNCTION("""COMPUTED_VALUE"""),0.719)</f>
        <v>0.719</v>
      </c>
      <c r="Q257" s="34">
        <f>IFERROR(__xludf.DUMMYFUNCTION("""COMPUTED_VALUE"""),0.08)</f>
        <v>0.08</v>
      </c>
      <c r="R257" s="34">
        <f>IFERROR(__xludf.DUMMYFUNCTION("""COMPUTED_VALUE"""),0.07)</f>
        <v>0.07</v>
      </c>
      <c r="S257" s="34">
        <f>IFERROR(__xludf.DUMMYFUNCTION("""COMPUTED_VALUE"""),0.1)</f>
        <v>0.1</v>
      </c>
      <c r="T257" s="17" t="str">
        <f t="shared" si="1"/>
        <v>Carson Kelly</v>
      </c>
    </row>
    <row r="258">
      <c r="A258" s="17">
        <f>IFERROR(__xludf.DUMMYFUNCTION("""COMPUTED_VALUE"""),257.0)</f>
        <v>257</v>
      </c>
      <c r="B258" s="17" t="str">
        <f>IFERROR(__xludf.DUMMYFUNCTION("""COMPUTED_VALUE"""),"Jake Meyers (HOU - CF) IL10")</f>
        <v>Jake Meyers (HOU - CF) IL10</v>
      </c>
      <c r="C258" s="17">
        <f>IFERROR(__xludf.DUMMYFUNCTION("""COMPUTED_VALUE"""),261.0)</f>
        <v>261</v>
      </c>
      <c r="D258" s="17">
        <f>IFERROR(__xludf.DUMMYFUNCTION("""COMPUTED_VALUE"""),34.0)</f>
        <v>34</v>
      </c>
      <c r="E258" s="17">
        <f>IFERROR(__xludf.DUMMYFUNCTION("""COMPUTED_VALUE"""),6.0)</f>
        <v>6</v>
      </c>
      <c r="F258" s="17">
        <f>IFERROR(__xludf.DUMMYFUNCTION("""COMPUTED_VALUE"""),29.0)</f>
        <v>29</v>
      </c>
      <c r="G258" s="17">
        <f>IFERROR(__xludf.DUMMYFUNCTION("""COMPUTED_VALUE"""),8.0)</f>
        <v>8</v>
      </c>
      <c r="H258" s="17">
        <f>IFERROR(__xludf.DUMMYFUNCTION("""COMPUTED_VALUE"""),0.247)</f>
        <v>0.247</v>
      </c>
      <c r="I258" s="17">
        <f>IFERROR(__xludf.DUMMYFUNCTION("""COMPUTED_VALUE"""),0.316)</f>
        <v>0.316</v>
      </c>
      <c r="J258" s="17">
        <f>IFERROR(__xludf.DUMMYFUNCTION("""COMPUTED_VALUE"""),65.0)</f>
        <v>65</v>
      </c>
      <c r="K258" s="17">
        <f>IFERROR(__xludf.DUMMYFUNCTION("""COMPUTED_VALUE"""),12.0)</f>
        <v>12</v>
      </c>
      <c r="L258" s="17">
        <f>IFERROR(__xludf.DUMMYFUNCTION("""COMPUTED_VALUE"""),1.0)</f>
        <v>1</v>
      </c>
      <c r="M258" s="17">
        <f>IFERROR(__xludf.DUMMYFUNCTION("""COMPUTED_VALUE"""),24.0)</f>
        <v>24</v>
      </c>
      <c r="N258" s="17">
        <f>IFERROR(__xludf.DUMMYFUNCTION("""COMPUTED_VALUE"""),61.0)</f>
        <v>61</v>
      </c>
      <c r="O258" s="17">
        <f>IFERROR(__xludf.DUMMYFUNCTION("""COMPUTED_VALUE"""),0.372)</f>
        <v>0.372</v>
      </c>
      <c r="P258" s="17">
        <f>IFERROR(__xludf.DUMMYFUNCTION("""COMPUTED_VALUE"""),0.688)</f>
        <v>0.688</v>
      </c>
      <c r="Q258" s="34">
        <f>IFERROR(__xludf.DUMMYFUNCTION("""COMPUTED_VALUE"""),0.01)</f>
        <v>0.01</v>
      </c>
      <c r="R258" s="34">
        <f>IFERROR(__xludf.DUMMYFUNCTION("""COMPUTED_VALUE"""),0.01)</f>
        <v>0.01</v>
      </c>
      <c r="S258" s="34">
        <f>IFERROR(__xludf.DUMMYFUNCTION("""COMPUTED_VALUE"""),0.01)</f>
        <v>0.01</v>
      </c>
      <c r="T258" s="17" t="str">
        <f t="shared" si="1"/>
        <v>Jake Meyers</v>
      </c>
    </row>
    <row r="259">
      <c r="A259" s="17">
        <f>IFERROR(__xludf.DUMMYFUNCTION("""COMPUTED_VALUE"""),258.0)</f>
        <v>258</v>
      </c>
      <c r="B259" s="17" t="str">
        <f>IFERROR(__xludf.DUMMYFUNCTION("""COMPUTED_VALUE"""),"Mauricio Dubon (ATL - 2B,3B,SS,LF,CF)")</f>
        <v>Mauricio Dubon (ATL - 2B,3B,SS,LF,CF)</v>
      </c>
      <c r="C259" s="17">
        <f>IFERROR(__xludf.DUMMYFUNCTION("""COMPUTED_VALUE"""),306.0)</f>
        <v>306</v>
      </c>
      <c r="D259" s="17">
        <f>IFERROR(__xludf.DUMMYFUNCTION("""COMPUTED_VALUE"""),36.0)</f>
        <v>36</v>
      </c>
      <c r="E259" s="17">
        <f>IFERROR(__xludf.DUMMYFUNCTION("""COMPUTED_VALUE"""),5.0)</f>
        <v>5</v>
      </c>
      <c r="F259" s="17">
        <f>IFERROR(__xludf.DUMMYFUNCTION("""COMPUTED_VALUE"""),33.0)</f>
        <v>33</v>
      </c>
      <c r="G259" s="17">
        <f>IFERROR(__xludf.DUMMYFUNCTION("""COMPUTED_VALUE"""),3.0)</f>
        <v>3</v>
      </c>
      <c r="H259" s="17">
        <f>IFERROR(__xludf.DUMMYFUNCTION("""COMPUTED_VALUE"""),0.256)</f>
        <v>0.256</v>
      </c>
      <c r="I259" s="17">
        <f>IFERROR(__xludf.DUMMYFUNCTION("""COMPUTED_VALUE"""),0.297)</f>
        <v>0.297</v>
      </c>
      <c r="J259" s="17">
        <f>IFERROR(__xludf.DUMMYFUNCTION("""COMPUTED_VALUE"""),78.0)</f>
        <v>78</v>
      </c>
      <c r="K259" s="17">
        <f>IFERROR(__xludf.DUMMYFUNCTION("""COMPUTED_VALUE"""),16.0)</f>
        <v>16</v>
      </c>
      <c r="L259" s="17">
        <f>IFERROR(__xludf.DUMMYFUNCTION("""COMPUTED_VALUE"""),1.0)</f>
        <v>1</v>
      </c>
      <c r="M259" s="17">
        <f>IFERROR(__xludf.DUMMYFUNCTION("""COMPUTED_VALUE"""),17.0)</f>
        <v>17</v>
      </c>
      <c r="N259" s="17">
        <f>IFERROR(__xludf.DUMMYFUNCTION("""COMPUTED_VALUE"""),44.0)</f>
        <v>44</v>
      </c>
      <c r="O259" s="17">
        <f>IFERROR(__xludf.DUMMYFUNCTION("""COMPUTED_VALUE"""),0.364)</f>
        <v>0.364</v>
      </c>
      <c r="P259" s="17">
        <f>IFERROR(__xludf.DUMMYFUNCTION("""COMPUTED_VALUE"""),0.66)</f>
        <v>0.66</v>
      </c>
      <c r="Q259" s="34">
        <f>IFERROR(__xludf.DUMMYFUNCTION("""COMPUTED_VALUE"""),0.48)</f>
        <v>0.48</v>
      </c>
      <c r="R259" s="34">
        <f>IFERROR(__xludf.DUMMYFUNCTION("""COMPUTED_VALUE"""),0.41)</f>
        <v>0.41</v>
      </c>
      <c r="S259" s="34">
        <f>IFERROR(__xludf.DUMMYFUNCTION("""COMPUTED_VALUE"""),0.54)</f>
        <v>0.54</v>
      </c>
      <c r="T259" s="17" t="str">
        <f t="shared" si="1"/>
        <v>Mauricio Dubon</v>
      </c>
    </row>
    <row r="260">
      <c r="A260" s="17">
        <f>IFERROR(__xludf.DUMMYFUNCTION("""COMPUTED_VALUE"""),259.0)</f>
        <v>259</v>
      </c>
      <c r="B260" s="17" t="str">
        <f>IFERROR(__xludf.DUMMYFUNCTION("""COMPUTED_VALUE"""),"Masataka Yoshida (BOS - LF,DH)")</f>
        <v>Masataka Yoshida (BOS - LF,DH)</v>
      </c>
      <c r="C260" s="17">
        <f>IFERROR(__xludf.DUMMYFUNCTION("""COMPUTED_VALUE"""),232.0)</f>
        <v>232</v>
      </c>
      <c r="D260" s="17">
        <f>IFERROR(__xludf.DUMMYFUNCTION("""COMPUTED_VALUE"""),29.0)</f>
        <v>29</v>
      </c>
      <c r="E260" s="17">
        <f>IFERROR(__xludf.DUMMYFUNCTION("""COMPUTED_VALUE"""),6.0)</f>
        <v>6</v>
      </c>
      <c r="F260" s="17">
        <f>IFERROR(__xludf.DUMMYFUNCTION("""COMPUTED_VALUE"""),31.0)</f>
        <v>31</v>
      </c>
      <c r="G260" s="17">
        <f>IFERROR(__xludf.DUMMYFUNCTION("""COMPUTED_VALUE"""),3.0)</f>
        <v>3</v>
      </c>
      <c r="H260" s="17">
        <f>IFERROR(__xludf.DUMMYFUNCTION("""COMPUTED_VALUE"""),0.273)</f>
        <v>0.273</v>
      </c>
      <c r="I260" s="17">
        <f>IFERROR(__xludf.DUMMYFUNCTION("""COMPUTED_VALUE"""),0.34)</f>
        <v>0.34</v>
      </c>
      <c r="J260" s="17">
        <f>IFERROR(__xludf.DUMMYFUNCTION("""COMPUTED_VALUE"""),63.0)</f>
        <v>63</v>
      </c>
      <c r="K260" s="17">
        <f>IFERROR(__xludf.DUMMYFUNCTION("""COMPUTED_VALUE"""),13.0)</f>
        <v>13</v>
      </c>
      <c r="L260" s="17">
        <f>IFERROR(__xludf.DUMMYFUNCTION("""COMPUTED_VALUE"""),0.0)</f>
        <v>0</v>
      </c>
      <c r="M260" s="17">
        <f>IFERROR(__xludf.DUMMYFUNCTION("""COMPUTED_VALUE"""),20.0)</f>
        <v>20</v>
      </c>
      <c r="N260" s="17">
        <f>IFERROR(__xludf.DUMMYFUNCTION("""COMPUTED_VALUE"""),33.0)</f>
        <v>33</v>
      </c>
      <c r="O260" s="17">
        <f>IFERROR(__xludf.DUMMYFUNCTION("""COMPUTED_VALUE"""),0.407)</f>
        <v>0.407</v>
      </c>
      <c r="P260" s="17">
        <f>IFERROR(__xludf.DUMMYFUNCTION("""COMPUTED_VALUE"""),0.747)</f>
        <v>0.747</v>
      </c>
      <c r="Q260" s="34">
        <f>IFERROR(__xludf.DUMMYFUNCTION("""COMPUTED_VALUE"""),0.01)</f>
        <v>0.01</v>
      </c>
      <c r="R260" s="34">
        <f>IFERROR(__xludf.DUMMYFUNCTION("""COMPUTED_VALUE"""),0.01)</f>
        <v>0.01</v>
      </c>
      <c r="S260" s="34">
        <f>IFERROR(__xludf.DUMMYFUNCTION("""COMPUTED_VALUE"""),0.01)</f>
        <v>0.01</v>
      </c>
      <c r="T260" s="17" t="str">
        <f t="shared" si="1"/>
        <v>Masataka Yoshida</v>
      </c>
    </row>
    <row r="261">
      <c r="A261" s="17">
        <f>IFERROR(__xludf.DUMMYFUNCTION("""COMPUTED_VALUE"""),260.0)</f>
        <v>260</v>
      </c>
      <c r="B261" s="17" t="str">
        <f>IFERROR(__xludf.DUMMYFUNCTION("""COMPUTED_VALUE"""),"Sean Murphy (ATL - C) IL10")</f>
        <v>Sean Murphy (ATL - C) IL10</v>
      </c>
      <c r="C261" s="17">
        <f>IFERROR(__xludf.DUMMYFUNCTION("""COMPUTED_VALUE"""),278.0)</f>
        <v>278</v>
      </c>
      <c r="D261" s="17">
        <f>IFERROR(__xludf.DUMMYFUNCTION("""COMPUTED_VALUE"""),37.0)</f>
        <v>37</v>
      </c>
      <c r="E261" s="17">
        <f>IFERROR(__xludf.DUMMYFUNCTION("""COMPUTED_VALUE"""),12.0)</f>
        <v>12</v>
      </c>
      <c r="F261" s="17">
        <f>IFERROR(__xludf.DUMMYFUNCTION("""COMPUTED_VALUE"""),39.0)</f>
        <v>39</v>
      </c>
      <c r="G261" s="17">
        <f>IFERROR(__xludf.DUMMYFUNCTION("""COMPUTED_VALUE"""),0.0)</f>
        <v>0</v>
      </c>
      <c r="H261" s="17">
        <f>IFERROR(__xludf.DUMMYFUNCTION("""COMPUTED_VALUE"""),0.219)</f>
        <v>0.219</v>
      </c>
      <c r="I261" s="17">
        <f>IFERROR(__xludf.DUMMYFUNCTION("""COMPUTED_VALUE"""),0.315)</f>
        <v>0.315</v>
      </c>
      <c r="J261" s="17">
        <f>IFERROR(__xludf.DUMMYFUNCTION("""COMPUTED_VALUE"""),61.0)</f>
        <v>61</v>
      </c>
      <c r="K261" s="17">
        <f>IFERROR(__xludf.DUMMYFUNCTION("""COMPUTED_VALUE"""),12.0)</f>
        <v>12</v>
      </c>
      <c r="L261" s="17">
        <f>IFERROR(__xludf.DUMMYFUNCTION("""COMPUTED_VALUE"""),0.0)</f>
        <v>0</v>
      </c>
      <c r="M261" s="17">
        <f>IFERROR(__xludf.DUMMYFUNCTION("""COMPUTED_VALUE"""),32.0)</f>
        <v>32</v>
      </c>
      <c r="N261" s="17">
        <f>IFERROR(__xludf.DUMMYFUNCTION("""COMPUTED_VALUE"""),87.0)</f>
        <v>87</v>
      </c>
      <c r="O261" s="17">
        <f>IFERROR(__xludf.DUMMYFUNCTION("""COMPUTED_VALUE"""),0.4)</f>
        <v>0.4</v>
      </c>
      <c r="P261" s="17">
        <f>IFERROR(__xludf.DUMMYFUNCTION("""COMPUTED_VALUE"""),0.715)</f>
        <v>0.715</v>
      </c>
      <c r="Q261" s="34">
        <f>IFERROR(__xludf.DUMMYFUNCTION("""COMPUTED_VALUE"""),0.01)</f>
        <v>0.01</v>
      </c>
      <c r="R261" s="34">
        <f>IFERROR(__xludf.DUMMYFUNCTION("""COMPUTED_VALUE"""),0.01)</f>
        <v>0.01</v>
      </c>
      <c r="S261" s="34">
        <f>IFERROR(__xludf.DUMMYFUNCTION("""COMPUTED_VALUE"""),0.01)</f>
        <v>0.01</v>
      </c>
      <c r="T261" s="17" t="str">
        <f t="shared" si="1"/>
        <v>Sean Murphy</v>
      </c>
    </row>
    <row r="262">
      <c r="A262" s="17">
        <f>IFERROR(__xludf.DUMMYFUNCTION("""COMPUTED_VALUE"""),261.0)</f>
        <v>261</v>
      </c>
      <c r="B262" s="17" t="str">
        <f>IFERROR(__xludf.DUMMYFUNCTION("""COMPUTED_VALUE"""),"Jose Fernandez (ARI - 1B,SS,DH)")</f>
        <v>Jose Fernandez (ARI - 1B,SS,DH)</v>
      </c>
      <c r="C262" s="17">
        <f>IFERROR(__xludf.DUMMYFUNCTION("""COMPUTED_VALUE"""),276.0)</f>
        <v>276</v>
      </c>
      <c r="D262" s="17">
        <f>IFERROR(__xludf.DUMMYFUNCTION("""COMPUTED_VALUE"""),32.0)</f>
        <v>32</v>
      </c>
      <c r="E262" s="17">
        <f>IFERROR(__xludf.DUMMYFUNCTION("""COMPUTED_VALUE"""),7.0)</f>
        <v>7</v>
      </c>
      <c r="F262" s="17">
        <f>IFERROR(__xludf.DUMMYFUNCTION("""COMPUTED_VALUE"""),33.0)</f>
        <v>33</v>
      </c>
      <c r="G262" s="17">
        <f>IFERROR(__xludf.DUMMYFUNCTION("""COMPUTED_VALUE"""),4.0)</f>
        <v>4</v>
      </c>
      <c r="H262" s="17">
        <f>IFERROR(__xludf.DUMMYFUNCTION("""COMPUTED_VALUE"""),0.249)</f>
        <v>0.249</v>
      </c>
      <c r="I262" s="17">
        <f>IFERROR(__xludf.DUMMYFUNCTION("""COMPUTED_VALUE"""),0.291)</f>
        <v>0.291</v>
      </c>
      <c r="J262" s="17">
        <f>IFERROR(__xludf.DUMMYFUNCTION("""COMPUTED_VALUE"""),69.0)</f>
        <v>69</v>
      </c>
      <c r="K262" s="17">
        <f>IFERROR(__xludf.DUMMYFUNCTION("""COMPUTED_VALUE"""),13.0)</f>
        <v>13</v>
      </c>
      <c r="L262" s="17">
        <f>IFERROR(__xludf.DUMMYFUNCTION("""COMPUTED_VALUE"""),2.0)</f>
        <v>2</v>
      </c>
      <c r="M262" s="17">
        <f>IFERROR(__xludf.DUMMYFUNCTION("""COMPUTED_VALUE"""),15.0)</f>
        <v>15</v>
      </c>
      <c r="N262" s="17">
        <f>IFERROR(__xludf.DUMMYFUNCTION("""COMPUTED_VALUE"""),68.0)</f>
        <v>68</v>
      </c>
      <c r="O262" s="17">
        <f>IFERROR(__xludf.DUMMYFUNCTION("""COMPUTED_VALUE"""),0.379)</f>
        <v>0.379</v>
      </c>
      <c r="P262" s="17">
        <f>IFERROR(__xludf.DUMMYFUNCTION("""COMPUTED_VALUE"""),0.669)</f>
        <v>0.669</v>
      </c>
      <c r="Q262" s="34">
        <f>IFERROR(__xludf.DUMMYFUNCTION("""COMPUTED_VALUE"""),0.12)</f>
        <v>0.12</v>
      </c>
      <c r="R262" s="34">
        <f>IFERROR(__xludf.DUMMYFUNCTION("""COMPUTED_VALUE"""),0.17)</f>
        <v>0.17</v>
      </c>
      <c r="S262" s="34">
        <f>IFERROR(__xludf.DUMMYFUNCTION("""COMPUTED_VALUE"""),0.07)</f>
        <v>0.07</v>
      </c>
      <c r="T262" s="17" t="str">
        <f t="shared" si="1"/>
        <v>Jose Fernandez</v>
      </c>
    </row>
    <row r="263">
      <c r="A263" s="17">
        <f>IFERROR(__xludf.DUMMYFUNCTION("""COMPUTED_VALUE"""),262.0)</f>
        <v>262</v>
      </c>
      <c r="B263" s="17" t="str">
        <f>IFERROR(__xludf.DUMMYFUNCTION("""COMPUTED_VALUE"""),"Edgar Quero (CWS - C,DH)")</f>
        <v>Edgar Quero (CWS - C,DH)</v>
      </c>
      <c r="C263" s="17">
        <f>IFERROR(__xludf.DUMMYFUNCTION("""COMPUTED_VALUE"""),319.0)</f>
        <v>319</v>
      </c>
      <c r="D263" s="17">
        <f>IFERROR(__xludf.DUMMYFUNCTION("""COMPUTED_VALUE"""),35.0)</f>
        <v>35</v>
      </c>
      <c r="E263" s="17">
        <f>IFERROR(__xludf.DUMMYFUNCTION("""COMPUTED_VALUE"""),7.0)</f>
        <v>7</v>
      </c>
      <c r="F263" s="17">
        <f>IFERROR(__xludf.DUMMYFUNCTION("""COMPUTED_VALUE"""),36.0)</f>
        <v>36</v>
      </c>
      <c r="G263" s="17">
        <f>IFERROR(__xludf.DUMMYFUNCTION("""COMPUTED_VALUE"""),1.0)</f>
        <v>1</v>
      </c>
      <c r="H263" s="17">
        <f>IFERROR(__xludf.DUMMYFUNCTION("""COMPUTED_VALUE"""),0.247)</f>
        <v>0.247</v>
      </c>
      <c r="I263" s="17">
        <f>IFERROR(__xludf.DUMMYFUNCTION("""COMPUTED_VALUE"""),0.322)</f>
        <v>0.322</v>
      </c>
      <c r="J263" s="17">
        <f>IFERROR(__xludf.DUMMYFUNCTION("""COMPUTED_VALUE"""),79.0)</f>
        <v>79</v>
      </c>
      <c r="K263" s="17">
        <f>IFERROR(__xludf.DUMMYFUNCTION("""COMPUTED_VALUE"""),13.0)</f>
        <v>13</v>
      </c>
      <c r="L263" s="17">
        <f>IFERROR(__xludf.DUMMYFUNCTION("""COMPUTED_VALUE"""),0.0)</f>
        <v>0</v>
      </c>
      <c r="M263" s="17">
        <f>IFERROR(__xludf.DUMMYFUNCTION("""COMPUTED_VALUE"""),33.0)</f>
        <v>33</v>
      </c>
      <c r="N263" s="17">
        <f>IFERROR(__xludf.DUMMYFUNCTION("""COMPUTED_VALUE"""),66.0)</f>
        <v>66</v>
      </c>
      <c r="O263" s="17">
        <f>IFERROR(__xludf.DUMMYFUNCTION("""COMPUTED_VALUE"""),0.352)</f>
        <v>0.352</v>
      </c>
      <c r="P263" s="17">
        <f>IFERROR(__xludf.DUMMYFUNCTION("""COMPUTED_VALUE"""),0.674)</f>
        <v>0.674</v>
      </c>
      <c r="Q263" s="34">
        <f>IFERROR(__xludf.DUMMYFUNCTION("""COMPUTED_VALUE"""),0.01)</f>
        <v>0.01</v>
      </c>
      <c r="R263" s="34">
        <f>IFERROR(__xludf.DUMMYFUNCTION("""COMPUTED_VALUE"""),0.01)</f>
        <v>0.01</v>
      </c>
      <c r="S263" s="34">
        <f>IFERROR(__xludf.DUMMYFUNCTION("""COMPUTED_VALUE"""),0.01)</f>
        <v>0.01</v>
      </c>
      <c r="T263" s="17" t="str">
        <f t="shared" si="1"/>
        <v>Edgar Quero</v>
      </c>
    </row>
    <row r="264">
      <c r="A264" s="17">
        <f>IFERROR(__xludf.DUMMYFUNCTION("""COMPUTED_VALUE"""),263.0)</f>
        <v>263</v>
      </c>
      <c r="B264" s="17" t="str">
        <f>IFERROR(__xludf.DUMMYFUNCTION("""COMPUTED_VALUE"""),"David Hamilton (MIL - 2B,3B,SS)")</f>
        <v>David Hamilton (MIL - 2B,3B,SS)</v>
      </c>
      <c r="C264" s="17">
        <f>IFERROR(__xludf.DUMMYFUNCTION("""COMPUTED_VALUE"""),222.0)</f>
        <v>222</v>
      </c>
      <c r="D264" s="17">
        <f>IFERROR(__xludf.DUMMYFUNCTION("""COMPUTED_VALUE"""),30.0)</f>
        <v>30</v>
      </c>
      <c r="E264" s="17">
        <f>IFERROR(__xludf.DUMMYFUNCTION("""COMPUTED_VALUE"""),6.0)</f>
        <v>6</v>
      </c>
      <c r="F264" s="17">
        <f>IFERROR(__xludf.DUMMYFUNCTION("""COMPUTED_VALUE"""),24.0)</f>
        <v>24</v>
      </c>
      <c r="G264" s="17">
        <f>IFERROR(__xludf.DUMMYFUNCTION("""COMPUTED_VALUE"""),20.0)</f>
        <v>20</v>
      </c>
      <c r="H264" s="17">
        <f>IFERROR(__xludf.DUMMYFUNCTION("""COMPUTED_VALUE"""),0.218)</f>
        <v>0.218</v>
      </c>
      <c r="I264" s="17">
        <f>IFERROR(__xludf.DUMMYFUNCTION("""COMPUTED_VALUE"""),0.289)</f>
        <v>0.289</v>
      </c>
      <c r="J264" s="17">
        <f>IFERROR(__xludf.DUMMYFUNCTION("""COMPUTED_VALUE"""),48.0)</f>
        <v>48</v>
      </c>
      <c r="K264" s="17">
        <f>IFERROR(__xludf.DUMMYFUNCTION("""COMPUTED_VALUE"""),8.0)</f>
        <v>8</v>
      </c>
      <c r="L264" s="17">
        <f>IFERROR(__xludf.DUMMYFUNCTION("""COMPUTED_VALUE"""),1.0)</f>
        <v>1</v>
      </c>
      <c r="M264" s="17">
        <f>IFERROR(__xludf.DUMMYFUNCTION("""COMPUTED_VALUE"""),22.0)</f>
        <v>22</v>
      </c>
      <c r="N264" s="17">
        <f>IFERROR(__xludf.DUMMYFUNCTION("""COMPUTED_VALUE"""),61.0)</f>
        <v>61</v>
      </c>
      <c r="O264" s="17">
        <f>IFERROR(__xludf.DUMMYFUNCTION("""COMPUTED_VALUE"""),0.347)</f>
        <v>0.347</v>
      </c>
      <c r="P264" s="17">
        <f>IFERROR(__xludf.DUMMYFUNCTION("""COMPUTED_VALUE"""),0.636)</f>
        <v>0.636</v>
      </c>
      <c r="Q264" s="34">
        <f>IFERROR(__xludf.DUMMYFUNCTION("""COMPUTED_VALUE"""),0.01)</f>
        <v>0.01</v>
      </c>
      <c r="R264" s="34">
        <f>IFERROR(__xludf.DUMMYFUNCTION("""COMPUTED_VALUE"""),0.02)</f>
        <v>0.02</v>
      </c>
      <c r="S264" s="34">
        <f>IFERROR(__xludf.DUMMYFUNCTION("""COMPUTED_VALUE"""),0.01)</f>
        <v>0.01</v>
      </c>
      <c r="T264" s="17" t="str">
        <f t="shared" si="1"/>
        <v>David Hamilton</v>
      </c>
    </row>
    <row r="265">
      <c r="A265" s="17">
        <f>IFERROR(__xludf.DUMMYFUNCTION("""COMPUTED_VALUE"""),264.0)</f>
        <v>264</v>
      </c>
      <c r="B265" s="17" t="str">
        <f>IFERROR(__xludf.DUMMYFUNCTION("""COMPUTED_VALUE"""),"Jeremiah Jackson (BAL - 2B,3B,RF)")</f>
        <v>Jeremiah Jackson (BAL - 2B,3B,RF)</v>
      </c>
      <c r="C265" s="17">
        <f>IFERROR(__xludf.DUMMYFUNCTION("""COMPUTED_VALUE"""),255.0)</f>
        <v>255</v>
      </c>
      <c r="D265" s="17">
        <f>IFERROR(__xludf.DUMMYFUNCTION("""COMPUTED_VALUE"""),30.0)</f>
        <v>30</v>
      </c>
      <c r="E265" s="17">
        <f>IFERROR(__xludf.DUMMYFUNCTION("""COMPUTED_VALUE"""),9.0)</f>
        <v>9</v>
      </c>
      <c r="F265" s="17">
        <f>IFERROR(__xludf.DUMMYFUNCTION("""COMPUTED_VALUE"""),33.0)</f>
        <v>33</v>
      </c>
      <c r="G265" s="17">
        <f>IFERROR(__xludf.DUMMYFUNCTION("""COMPUTED_VALUE"""),4.0)</f>
        <v>4</v>
      </c>
      <c r="H265" s="17">
        <f>IFERROR(__xludf.DUMMYFUNCTION("""COMPUTED_VALUE"""),0.242)</f>
        <v>0.242</v>
      </c>
      <c r="I265" s="17">
        <f>IFERROR(__xludf.DUMMYFUNCTION("""COMPUTED_VALUE"""),0.282)</f>
        <v>0.282</v>
      </c>
      <c r="J265" s="17">
        <f>IFERROR(__xludf.DUMMYFUNCTION("""COMPUTED_VALUE"""),62.0)</f>
        <v>62</v>
      </c>
      <c r="K265" s="17">
        <f>IFERROR(__xludf.DUMMYFUNCTION("""COMPUTED_VALUE"""),12.0)</f>
        <v>12</v>
      </c>
      <c r="L265" s="17">
        <f>IFERROR(__xludf.DUMMYFUNCTION("""COMPUTED_VALUE"""),1.0)</f>
        <v>1</v>
      </c>
      <c r="M265" s="17">
        <f>IFERROR(__xludf.DUMMYFUNCTION("""COMPUTED_VALUE"""),13.0)</f>
        <v>13</v>
      </c>
      <c r="N265" s="17">
        <f>IFERROR(__xludf.DUMMYFUNCTION("""COMPUTED_VALUE"""),63.0)</f>
        <v>63</v>
      </c>
      <c r="O265" s="17">
        <f>IFERROR(__xludf.DUMMYFUNCTION("""COMPUTED_VALUE"""),0.401)</f>
        <v>0.401</v>
      </c>
      <c r="P265" s="17">
        <f>IFERROR(__xludf.DUMMYFUNCTION("""COMPUTED_VALUE"""),0.683)</f>
        <v>0.683</v>
      </c>
      <c r="Q265" s="34">
        <f>IFERROR(__xludf.DUMMYFUNCTION("""COMPUTED_VALUE"""),0.39)</f>
        <v>0.39</v>
      </c>
      <c r="R265" s="34">
        <f>IFERROR(__xludf.DUMMYFUNCTION("""COMPUTED_VALUE"""),0.44)</f>
        <v>0.44</v>
      </c>
      <c r="S265" s="34">
        <f>IFERROR(__xludf.DUMMYFUNCTION("""COMPUTED_VALUE"""),0.34)</f>
        <v>0.34</v>
      </c>
      <c r="T265" s="17" t="str">
        <f t="shared" si="1"/>
        <v>Jeremiah Jackson</v>
      </c>
    </row>
    <row r="266">
      <c r="A266" s="17">
        <f>IFERROR(__xludf.DUMMYFUNCTION("""COMPUTED_VALUE"""),266.0)</f>
        <v>266</v>
      </c>
      <c r="B266" s="17" t="str">
        <f>IFERROR(__xludf.DUMMYFUNCTION("""COMPUTED_VALUE"""),"Ryan McMahon (NYY - 3B)")</f>
        <v>Ryan McMahon (NYY - 3B)</v>
      </c>
      <c r="C266" s="17">
        <f>IFERROR(__xludf.DUMMYFUNCTION("""COMPUTED_VALUE"""),294.0)</f>
        <v>294</v>
      </c>
      <c r="D266" s="17">
        <f>IFERROR(__xludf.DUMMYFUNCTION("""COMPUTED_VALUE"""),38.0)</f>
        <v>38</v>
      </c>
      <c r="E266" s="17">
        <f>IFERROR(__xludf.DUMMYFUNCTION("""COMPUTED_VALUE"""),12.0)</f>
        <v>12</v>
      </c>
      <c r="F266" s="17">
        <f>IFERROR(__xludf.DUMMYFUNCTION("""COMPUTED_VALUE"""),38.0)</f>
        <v>38</v>
      </c>
      <c r="G266" s="17">
        <f>IFERROR(__xludf.DUMMYFUNCTION("""COMPUTED_VALUE"""),2.0)</f>
        <v>2</v>
      </c>
      <c r="H266" s="17">
        <f>IFERROR(__xludf.DUMMYFUNCTION("""COMPUTED_VALUE"""),0.21)</f>
        <v>0.21</v>
      </c>
      <c r="I266" s="17">
        <f>IFERROR(__xludf.DUMMYFUNCTION("""COMPUTED_VALUE"""),0.308)</f>
        <v>0.308</v>
      </c>
      <c r="J266" s="17">
        <f>IFERROR(__xludf.DUMMYFUNCTION("""COMPUTED_VALUE"""),62.0)</f>
        <v>62</v>
      </c>
      <c r="K266" s="17">
        <f>IFERROR(__xludf.DUMMYFUNCTION("""COMPUTED_VALUE"""),11.0)</f>
        <v>11</v>
      </c>
      <c r="L266" s="17">
        <f>IFERROR(__xludf.DUMMYFUNCTION("""COMPUTED_VALUE"""),1.0)</f>
        <v>1</v>
      </c>
      <c r="M266" s="17">
        <f>IFERROR(__xludf.DUMMYFUNCTION("""COMPUTED_VALUE"""),40.0)</f>
        <v>40</v>
      </c>
      <c r="N266" s="17">
        <f>IFERROR(__xludf.DUMMYFUNCTION("""COMPUTED_VALUE"""),108.0)</f>
        <v>108</v>
      </c>
      <c r="O266" s="17">
        <f>IFERROR(__xludf.DUMMYFUNCTION("""COMPUTED_VALUE"""),0.371)</f>
        <v>0.371</v>
      </c>
      <c r="P266" s="17">
        <f>IFERROR(__xludf.DUMMYFUNCTION("""COMPUTED_VALUE"""),0.679)</f>
        <v>0.679</v>
      </c>
      <c r="Q266" s="34">
        <f>IFERROR(__xludf.DUMMYFUNCTION("""COMPUTED_VALUE"""),0.02)</f>
        <v>0.02</v>
      </c>
      <c r="R266" s="34">
        <f>IFERROR(__xludf.DUMMYFUNCTION("""COMPUTED_VALUE"""),0.02)</f>
        <v>0.02</v>
      </c>
      <c r="S266" s="34">
        <f>IFERROR(__xludf.DUMMYFUNCTION("""COMPUTED_VALUE"""),0.01)</f>
        <v>0.01</v>
      </c>
      <c r="T266" s="17" t="str">
        <f t="shared" si="1"/>
        <v>Ryan McMahon</v>
      </c>
    </row>
    <row r="267">
      <c r="A267" s="17">
        <f>IFERROR(__xludf.DUMMYFUNCTION("""COMPUTED_VALUE"""),267.0)</f>
        <v>267</v>
      </c>
      <c r="B267" s="17" t="str">
        <f>IFERROR(__xludf.DUMMYFUNCTION("""COMPUTED_VALUE"""),"Tyler Freeman (COL - 2B,RF,DH)")</f>
        <v>Tyler Freeman (COL - 2B,RF,DH)</v>
      </c>
      <c r="C267" s="17">
        <f>IFERROR(__xludf.DUMMYFUNCTION("""COMPUTED_VALUE"""),216.0)</f>
        <v>216</v>
      </c>
      <c r="D267" s="17">
        <f>IFERROR(__xludf.DUMMYFUNCTION("""COMPUTED_VALUE"""),30.0)</f>
        <v>30</v>
      </c>
      <c r="E267" s="17">
        <f>IFERROR(__xludf.DUMMYFUNCTION("""COMPUTED_VALUE"""),3.0)</f>
        <v>3</v>
      </c>
      <c r="F267" s="17">
        <f>IFERROR(__xludf.DUMMYFUNCTION("""COMPUTED_VALUE"""),24.0)</f>
        <v>24</v>
      </c>
      <c r="G267" s="17">
        <f>IFERROR(__xludf.DUMMYFUNCTION("""COMPUTED_VALUE"""),9.0)</f>
        <v>9</v>
      </c>
      <c r="H267" s="17">
        <f>IFERROR(__xludf.DUMMYFUNCTION("""COMPUTED_VALUE"""),0.275)</f>
        <v>0.275</v>
      </c>
      <c r="I267" s="17">
        <f>IFERROR(__xludf.DUMMYFUNCTION("""COMPUTED_VALUE"""),0.351)</f>
        <v>0.351</v>
      </c>
      <c r="J267" s="17">
        <f>IFERROR(__xludf.DUMMYFUNCTION("""COMPUTED_VALUE"""),59.0)</f>
        <v>59</v>
      </c>
      <c r="K267" s="17">
        <f>IFERROR(__xludf.DUMMYFUNCTION("""COMPUTED_VALUE"""),11.0)</f>
        <v>11</v>
      </c>
      <c r="L267" s="17">
        <f>IFERROR(__xludf.DUMMYFUNCTION("""COMPUTED_VALUE"""),1.0)</f>
        <v>1</v>
      </c>
      <c r="M267" s="17">
        <f>IFERROR(__xludf.DUMMYFUNCTION("""COMPUTED_VALUE"""),19.0)</f>
        <v>19</v>
      </c>
      <c r="N267" s="17">
        <f>IFERROR(__xludf.DUMMYFUNCTION("""COMPUTED_VALUE"""),31.0)</f>
        <v>31</v>
      </c>
      <c r="O267" s="17">
        <f>IFERROR(__xludf.DUMMYFUNCTION("""COMPUTED_VALUE"""),0.382)</f>
        <v>0.382</v>
      </c>
      <c r="P267" s="17">
        <f>IFERROR(__xludf.DUMMYFUNCTION("""COMPUTED_VALUE"""),0.733)</f>
        <v>0.733</v>
      </c>
      <c r="Q267" s="34">
        <f>IFERROR(__xludf.DUMMYFUNCTION("""COMPUTED_VALUE"""),0.01)</f>
        <v>0.01</v>
      </c>
      <c r="R267" s="34">
        <f>IFERROR(__xludf.DUMMYFUNCTION("""COMPUTED_VALUE"""),0.01)</f>
        <v>0.01</v>
      </c>
      <c r="S267" s="34">
        <f>IFERROR(__xludf.DUMMYFUNCTION("""COMPUTED_VALUE"""),0.0)</f>
        <v>0</v>
      </c>
      <c r="T267" s="17" t="str">
        <f t="shared" si="1"/>
        <v>Tyler Freeman</v>
      </c>
    </row>
    <row r="268">
      <c r="A268" s="17">
        <f>IFERROR(__xludf.DUMMYFUNCTION("""COMPUTED_VALUE"""),268.0)</f>
        <v>268</v>
      </c>
      <c r="B268" s="17" t="str">
        <f>IFERROR(__xludf.DUMMYFUNCTION("""COMPUTED_VALUE"""),"Jordan Lawlar (ARI - 3B,LF) IL60")</f>
        <v>Jordan Lawlar (ARI - 3B,LF) IL60</v>
      </c>
      <c r="C268" s="17">
        <f>IFERROR(__xludf.DUMMYFUNCTION("""COMPUTED_VALUE"""),229.0)</f>
        <v>229</v>
      </c>
      <c r="D268" s="17">
        <f>IFERROR(__xludf.DUMMYFUNCTION("""COMPUTED_VALUE"""),32.0)</f>
        <v>32</v>
      </c>
      <c r="E268" s="17">
        <f>IFERROR(__xludf.DUMMYFUNCTION("""COMPUTED_VALUE"""),6.0)</f>
        <v>6</v>
      </c>
      <c r="F268" s="17">
        <f>IFERROR(__xludf.DUMMYFUNCTION("""COMPUTED_VALUE"""),28.0)</f>
        <v>28</v>
      </c>
      <c r="G268" s="17">
        <f>IFERROR(__xludf.DUMMYFUNCTION("""COMPUTED_VALUE"""),9.0)</f>
        <v>9</v>
      </c>
      <c r="H268" s="17">
        <f>IFERROR(__xludf.DUMMYFUNCTION("""COMPUTED_VALUE"""),0.242)</f>
        <v>0.242</v>
      </c>
      <c r="I268" s="17">
        <f>IFERROR(__xludf.DUMMYFUNCTION("""COMPUTED_VALUE"""),0.315)</f>
        <v>0.315</v>
      </c>
      <c r="J268" s="17">
        <f>IFERROR(__xludf.DUMMYFUNCTION("""COMPUTED_VALUE"""),55.0)</f>
        <v>55</v>
      </c>
      <c r="K268" s="17">
        <f>IFERROR(__xludf.DUMMYFUNCTION("""COMPUTED_VALUE"""),13.0)</f>
        <v>13</v>
      </c>
      <c r="L268" s="17">
        <f>IFERROR(__xludf.DUMMYFUNCTION("""COMPUTED_VALUE"""),2.0)</f>
        <v>2</v>
      </c>
      <c r="M268" s="17">
        <f>IFERROR(__xludf.DUMMYFUNCTION("""COMPUTED_VALUE"""),22.0)</f>
        <v>22</v>
      </c>
      <c r="N268" s="17">
        <f>IFERROR(__xludf.DUMMYFUNCTION("""COMPUTED_VALUE"""),68.0)</f>
        <v>68</v>
      </c>
      <c r="O268" s="17">
        <f>IFERROR(__xludf.DUMMYFUNCTION("""COMPUTED_VALUE"""),0.39)</f>
        <v>0.39</v>
      </c>
      <c r="P268" s="17">
        <f>IFERROR(__xludf.DUMMYFUNCTION("""COMPUTED_VALUE"""),0.706)</f>
        <v>0.706</v>
      </c>
      <c r="Q268" s="34">
        <f>IFERROR(__xludf.DUMMYFUNCTION("""COMPUTED_VALUE"""),0.05)</f>
        <v>0.05</v>
      </c>
      <c r="R268" s="34">
        <f>IFERROR(__xludf.DUMMYFUNCTION("""COMPUTED_VALUE"""),0.06)</f>
        <v>0.06</v>
      </c>
      <c r="S268" s="34">
        <f>IFERROR(__xludf.DUMMYFUNCTION("""COMPUTED_VALUE"""),0.03)</f>
        <v>0.03</v>
      </c>
      <c r="T268" s="17" t="str">
        <f t="shared" si="1"/>
        <v>Jordan Lawlar</v>
      </c>
    </row>
    <row r="269">
      <c r="A269" s="17">
        <f>IFERROR(__xludf.DUMMYFUNCTION("""COMPUTED_VALUE"""),269.0)</f>
        <v>269</v>
      </c>
      <c r="B269" s="17" t="str">
        <f>IFERROR(__xludf.DUMMYFUNCTION("""COMPUTED_VALUE"""),"Joey Loperfido (HOU - LF,CF,RF) IL10")</f>
        <v>Joey Loperfido (HOU - LF,CF,RF) IL10</v>
      </c>
      <c r="C269" s="17">
        <f>IFERROR(__xludf.DUMMYFUNCTION("""COMPUTED_VALUE"""),276.0)</f>
        <v>276</v>
      </c>
      <c r="D269" s="17">
        <f>IFERROR(__xludf.DUMMYFUNCTION("""COMPUTED_VALUE"""),34.0)</f>
        <v>34</v>
      </c>
      <c r="E269" s="17">
        <f>IFERROR(__xludf.DUMMYFUNCTION("""COMPUTED_VALUE"""),7.0)</f>
        <v>7</v>
      </c>
      <c r="F269" s="17">
        <f>IFERROR(__xludf.DUMMYFUNCTION("""COMPUTED_VALUE"""),32.0)</f>
        <v>32</v>
      </c>
      <c r="G269" s="17">
        <f>IFERROR(__xludf.DUMMYFUNCTION("""COMPUTED_VALUE"""),6.0)</f>
        <v>6</v>
      </c>
      <c r="H269" s="17">
        <f>IFERROR(__xludf.DUMMYFUNCTION("""COMPUTED_VALUE"""),0.236)</f>
        <v>0.236</v>
      </c>
      <c r="I269" s="17">
        <f>IFERROR(__xludf.DUMMYFUNCTION("""COMPUTED_VALUE"""),0.3)</f>
        <v>0.3</v>
      </c>
      <c r="J269" s="17">
        <f>IFERROR(__xludf.DUMMYFUNCTION("""COMPUTED_VALUE"""),65.0)</f>
        <v>65</v>
      </c>
      <c r="K269" s="17">
        <f>IFERROR(__xludf.DUMMYFUNCTION("""COMPUTED_VALUE"""),14.0)</f>
        <v>14</v>
      </c>
      <c r="L269" s="17">
        <f>IFERROR(__xludf.DUMMYFUNCTION("""COMPUTED_VALUE"""),2.0)</f>
        <v>2</v>
      </c>
      <c r="M269" s="17">
        <f>IFERROR(__xludf.DUMMYFUNCTION("""COMPUTED_VALUE"""),21.0)</f>
        <v>21</v>
      </c>
      <c r="N269" s="17">
        <f>IFERROR(__xludf.DUMMYFUNCTION("""COMPUTED_VALUE"""),87.0)</f>
        <v>87</v>
      </c>
      <c r="O269" s="17">
        <f>IFERROR(__xludf.DUMMYFUNCTION("""COMPUTED_VALUE"""),0.375)</f>
        <v>0.375</v>
      </c>
      <c r="P269" s="17">
        <f>IFERROR(__xludf.DUMMYFUNCTION("""COMPUTED_VALUE"""),0.675)</f>
        <v>0.675</v>
      </c>
      <c r="Q269" s="34">
        <f>IFERROR(__xludf.DUMMYFUNCTION("""COMPUTED_VALUE"""),0.01)</f>
        <v>0.01</v>
      </c>
      <c r="R269" s="34">
        <f>IFERROR(__xludf.DUMMYFUNCTION("""COMPUTED_VALUE"""),0.01)</f>
        <v>0.01</v>
      </c>
      <c r="S269" s="34">
        <f>IFERROR(__xludf.DUMMYFUNCTION("""COMPUTED_VALUE"""),0.0)</f>
        <v>0</v>
      </c>
      <c r="T269" s="17" t="str">
        <f t="shared" si="1"/>
        <v>Joey Loperfido</v>
      </c>
    </row>
    <row r="270">
      <c r="A270" s="17">
        <f>IFERROR(__xludf.DUMMYFUNCTION("""COMPUTED_VALUE"""),270.0)</f>
        <v>270</v>
      </c>
      <c r="B270" s="17" t="str">
        <f>IFERROR(__xludf.DUMMYFUNCTION("""COMPUTED_VALUE"""),"Will Benson (CIN - LF,CF,RF)")</f>
        <v>Will Benson (CIN - LF,CF,RF)</v>
      </c>
      <c r="C270" s="17">
        <f>IFERROR(__xludf.DUMMYFUNCTION("""COMPUTED_VALUE"""),219.0)</f>
        <v>219</v>
      </c>
      <c r="D270" s="17">
        <f>IFERROR(__xludf.DUMMYFUNCTION("""COMPUTED_VALUE"""),32.0)</f>
        <v>32</v>
      </c>
      <c r="E270" s="17">
        <f>IFERROR(__xludf.DUMMYFUNCTION("""COMPUTED_VALUE"""),9.0)</f>
        <v>9</v>
      </c>
      <c r="F270" s="17">
        <f>IFERROR(__xludf.DUMMYFUNCTION("""COMPUTED_VALUE"""),30.0)</f>
        <v>30</v>
      </c>
      <c r="G270" s="17">
        <f>IFERROR(__xludf.DUMMYFUNCTION("""COMPUTED_VALUE"""),7.0)</f>
        <v>7</v>
      </c>
      <c r="H270" s="17">
        <f>IFERROR(__xludf.DUMMYFUNCTION("""COMPUTED_VALUE"""),0.222)</f>
        <v>0.222</v>
      </c>
      <c r="I270" s="17">
        <f>IFERROR(__xludf.DUMMYFUNCTION("""COMPUTED_VALUE"""),0.314)</f>
        <v>0.314</v>
      </c>
      <c r="J270" s="17">
        <f>IFERROR(__xludf.DUMMYFUNCTION("""COMPUTED_VALUE"""),49.0)</f>
        <v>49</v>
      </c>
      <c r="K270" s="17">
        <f>IFERROR(__xludf.DUMMYFUNCTION("""COMPUTED_VALUE"""),10.0)</f>
        <v>10</v>
      </c>
      <c r="L270" s="17">
        <f>IFERROR(__xludf.DUMMYFUNCTION("""COMPUTED_VALUE"""),2.0)</f>
        <v>2</v>
      </c>
      <c r="M270" s="17">
        <f>IFERROR(__xludf.DUMMYFUNCTION("""COMPUTED_VALUE"""),28.0)</f>
        <v>28</v>
      </c>
      <c r="N270" s="17">
        <f>IFERROR(__xludf.DUMMYFUNCTION("""COMPUTED_VALUE"""),75.0)</f>
        <v>75</v>
      </c>
      <c r="O270" s="17">
        <f>IFERROR(__xludf.DUMMYFUNCTION("""COMPUTED_VALUE"""),0.41)</f>
        <v>0.41</v>
      </c>
      <c r="P270" s="17">
        <f>IFERROR(__xludf.DUMMYFUNCTION("""COMPUTED_VALUE"""),0.724)</f>
        <v>0.724</v>
      </c>
      <c r="Q270" s="34">
        <f>IFERROR(__xludf.DUMMYFUNCTION("""COMPUTED_VALUE"""),0.0)</f>
        <v>0</v>
      </c>
      <c r="R270" s="34">
        <f>IFERROR(__xludf.DUMMYFUNCTION("""COMPUTED_VALUE"""),0.0)</f>
        <v>0</v>
      </c>
      <c r="S270" s="34">
        <f>IFERROR(__xludf.DUMMYFUNCTION("""COMPUTED_VALUE"""),0.0)</f>
        <v>0</v>
      </c>
      <c r="T270" s="17" t="str">
        <f t="shared" si="1"/>
        <v>Will Benson</v>
      </c>
    </row>
    <row r="271">
      <c r="A271" s="17">
        <f>IFERROR(__xludf.DUMMYFUNCTION("""COMPUTED_VALUE"""),271.0)</f>
        <v>271</v>
      </c>
      <c r="B271" s="17" t="str">
        <f>IFERROR(__xludf.DUMMYFUNCTION("""COMPUTED_VALUE"""),"Angel Martinez (CLE - 2B,LF,CF,RF)")</f>
        <v>Angel Martinez (CLE - 2B,LF,CF,RF)</v>
      </c>
      <c r="C271" s="17">
        <f>IFERROR(__xludf.DUMMYFUNCTION("""COMPUTED_VALUE"""),258.0)</f>
        <v>258</v>
      </c>
      <c r="D271" s="17">
        <f>IFERROR(__xludf.DUMMYFUNCTION("""COMPUTED_VALUE"""),32.0)</f>
        <v>32</v>
      </c>
      <c r="E271" s="17">
        <f>IFERROR(__xludf.DUMMYFUNCTION("""COMPUTED_VALUE"""),7.0)</f>
        <v>7</v>
      </c>
      <c r="F271" s="17">
        <f>IFERROR(__xludf.DUMMYFUNCTION("""COMPUTED_VALUE"""),30.0)</f>
        <v>30</v>
      </c>
      <c r="G271" s="17">
        <f>IFERROR(__xludf.DUMMYFUNCTION("""COMPUTED_VALUE"""),6.0)</f>
        <v>6</v>
      </c>
      <c r="H271" s="17">
        <f>IFERROR(__xludf.DUMMYFUNCTION("""COMPUTED_VALUE"""),0.24)</f>
        <v>0.24</v>
      </c>
      <c r="I271" s="17">
        <f>IFERROR(__xludf.DUMMYFUNCTION("""COMPUTED_VALUE"""),0.293)</f>
        <v>0.293</v>
      </c>
      <c r="J271" s="17">
        <f>IFERROR(__xludf.DUMMYFUNCTION("""COMPUTED_VALUE"""),62.0)</f>
        <v>62</v>
      </c>
      <c r="K271" s="17">
        <f>IFERROR(__xludf.DUMMYFUNCTION("""COMPUTED_VALUE"""),14.0)</f>
        <v>14</v>
      </c>
      <c r="L271" s="17">
        <f>IFERROR(__xludf.DUMMYFUNCTION("""COMPUTED_VALUE"""),1.0)</f>
        <v>1</v>
      </c>
      <c r="M271" s="17">
        <f>IFERROR(__xludf.DUMMYFUNCTION("""COMPUTED_VALUE"""),18.0)</f>
        <v>18</v>
      </c>
      <c r="N271" s="17">
        <f>IFERROR(__xludf.DUMMYFUNCTION("""COMPUTED_VALUE"""),59.0)</f>
        <v>59</v>
      </c>
      <c r="O271" s="17">
        <f>IFERROR(__xludf.DUMMYFUNCTION("""COMPUTED_VALUE"""),0.387)</f>
        <v>0.387</v>
      </c>
      <c r="P271" s="17">
        <f>IFERROR(__xludf.DUMMYFUNCTION("""COMPUTED_VALUE"""),0.68)</f>
        <v>0.68</v>
      </c>
      <c r="Q271" s="34">
        <f>IFERROR(__xludf.DUMMYFUNCTION("""COMPUTED_VALUE"""),0.29)</f>
        <v>0.29</v>
      </c>
      <c r="R271" s="34">
        <f>IFERROR(__xludf.DUMMYFUNCTION("""COMPUTED_VALUE"""),0.34)</f>
        <v>0.34</v>
      </c>
      <c r="S271" s="34">
        <f>IFERROR(__xludf.DUMMYFUNCTION("""COMPUTED_VALUE"""),0.25)</f>
        <v>0.25</v>
      </c>
      <c r="T271" s="17" t="str">
        <f t="shared" si="1"/>
        <v>Angel Martinez</v>
      </c>
    </row>
    <row r="272">
      <c r="A272" s="17">
        <f>IFERROR(__xludf.DUMMYFUNCTION("""COMPUTED_VALUE"""),272.0)</f>
        <v>272</v>
      </c>
      <c r="B272" s="17" t="str">
        <f>IFERROR(__xludf.DUMMYFUNCTION("""COMPUTED_VALUE"""),"Bo Naylor (CLE - C)")</f>
        <v>Bo Naylor (CLE - C)</v>
      </c>
      <c r="C272" s="17">
        <f>IFERROR(__xludf.DUMMYFUNCTION("""COMPUTED_VALUE"""),271.0)</f>
        <v>271</v>
      </c>
      <c r="D272" s="17">
        <f>IFERROR(__xludf.DUMMYFUNCTION("""COMPUTED_VALUE"""),35.0)</f>
        <v>35</v>
      </c>
      <c r="E272" s="17">
        <f>IFERROR(__xludf.DUMMYFUNCTION("""COMPUTED_VALUE"""),11.0)</f>
        <v>11</v>
      </c>
      <c r="F272" s="17">
        <f>IFERROR(__xludf.DUMMYFUNCTION("""COMPUTED_VALUE"""),36.0)</f>
        <v>36</v>
      </c>
      <c r="G272" s="17">
        <f>IFERROR(__xludf.DUMMYFUNCTION("""COMPUTED_VALUE"""),3.0)</f>
        <v>3</v>
      </c>
      <c r="H272" s="17">
        <f>IFERROR(__xludf.DUMMYFUNCTION("""COMPUTED_VALUE"""),0.216)</f>
        <v>0.216</v>
      </c>
      <c r="I272" s="17">
        <f>IFERROR(__xludf.DUMMYFUNCTION("""COMPUTED_VALUE"""),0.302)</f>
        <v>0.302</v>
      </c>
      <c r="J272" s="17">
        <f>IFERROR(__xludf.DUMMYFUNCTION("""COMPUTED_VALUE"""),58.0)</f>
        <v>58</v>
      </c>
      <c r="K272" s="17">
        <f>IFERROR(__xludf.DUMMYFUNCTION("""COMPUTED_VALUE"""),13.0)</f>
        <v>13</v>
      </c>
      <c r="L272" s="17">
        <f>IFERROR(__xludf.DUMMYFUNCTION("""COMPUTED_VALUE"""),1.0)</f>
        <v>1</v>
      </c>
      <c r="M272" s="17">
        <f>IFERROR(__xludf.DUMMYFUNCTION("""COMPUTED_VALUE"""),33.0)</f>
        <v>33</v>
      </c>
      <c r="N272" s="17">
        <f>IFERROR(__xludf.DUMMYFUNCTION("""COMPUTED_VALUE"""),75.0)</f>
        <v>75</v>
      </c>
      <c r="O272" s="17">
        <f>IFERROR(__xludf.DUMMYFUNCTION("""COMPUTED_VALUE"""),0.394)</f>
        <v>0.394</v>
      </c>
      <c r="P272" s="17">
        <f>IFERROR(__xludf.DUMMYFUNCTION("""COMPUTED_VALUE"""),0.696)</f>
        <v>0.696</v>
      </c>
      <c r="Q272" s="34">
        <f>IFERROR(__xludf.DUMMYFUNCTION("""COMPUTED_VALUE"""),0.01)</f>
        <v>0.01</v>
      </c>
      <c r="R272" s="34">
        <f>IFERROR(__xludf.DUMMYFUNCTION("""COMPUTED_VALUE"""),0.01)</f>
        <v>0.01</v>
      </c>
      <c r="S272" s="34">
        <f>IFERROR(__xludf.DUMMYFUNCTION("""COMPUTED_VALUE"""),0.01)</f>
        <v>0.01</v>
      </c>
      <c r="T272" s="17" t="str">
        <f t="shared" si="1"/>
        <v>Bo Naylor</v>
      </c>
    </row>
    <row r="273">
      <c r="A273" s="17">
        <f>IFERROR(__xludf.DUMMYFUNCTION("""COMPUTED_VALUE"""),273.0)</f>
        <v>273</v>
      </c>
      <c r="B273" s="17" t="str">
        <f>IFERROR(__xludf.DUMMYFUNCTION("""COMPUTED_VALUE"""),"Matt Shaw (CHC - 3B,RF,DH)")</f>
        <v>Matt Shaw (CHC - 3B,RF,DH)</v>
      </c>
      <c r="C273" s="17">
        <f>IFERROR(__xludf.DUMMYFUNCTION("""COMPUTED_VALUE"""),202.0)</f>
        <v>202</v>
      </c>
      <c r="D273" s="17">
        <f>IFERROR(__xludf.DUMMYFUNCTION("""COMPUTED_VALUE"""),28.0)</f>
        <v>28</v>
      </c>
      <c r="E273" s="17">
        <f>IFERROR(__xludf.DUMMYFUNCTION("""COMPUTED_VALUE"""),7.0)</f>
        <v>7</v>
      </c>
      <c r="F273" s="17">
        <f>IFERROR(__xludf.DUMMYFUNCTION("""COMPUTED_VALUE"""),26.0)</f>
        <v>26</v>
      </c>
      <c r="G273" s="17">
        <f>IFERROR(__xludf.DUMMYFUNCTION("""COMPUTED_VALUE"""),8.0)</f>
        <v>8</v>
      </c>
      <c r="H273" s="17">
        <f>IFERROR(__xludf.DUMMYFUNCTION("""COMPUTED_VALUE"""),0.247)</f>
        <v>0.247</v>
      </c>
      <c r="I273" s="17">
        <f>IFERROR(__xludf.DUMMYFUNCTION("""COMPUTED_VALUE"""),0.319)</f>
        <v>0.319</v>
      </c>
      <c r="J273" s="17">
        <f>IFERROR(__xludf.DUMMYFUNCTION("""COMPUTED_VALUE"""),50.0)</f>
        <v>50</v>
      </c>
      <c r="K273" s="17">
        <f>IFERROR(__xludf.DUMMYFUNCTION("""COMPUTED_VALUE"""),9.0)</f>
        <v>9</v>
      </c>
      <c r="L273" s="17">
        <f>IFERROR(__xludf.DUMMYFUNCTION("""COMPUTED_VALUE"""),1.0)</f>
        <v>1</v>
      </c>
      <c r="M273" s="17">
        <f>IFERROR(__xludf.DUMMYFUNCTION("""COMPUTED_VALUE"""),20.0)</f>
        <v>20</v>
      </c>
      <c r="N273" s="17">
        <f>IFERROR(__xludf.DUMMYFUNCTION("""COMPUTED_VALUE"""),44.0)</f>
        <v>44</v>
      </c>
      <c r="O273" s="17">
        <f>IFERROR(__xludf.DUMMYFUNCTION("""COMPUTED_VALUE"""),0.404)</f>
        <v>0.404</v>
      </c>
      <c r="P273" s="17">
        <f>IFERROR(__xludf.DUMMYFUNCTION("""COMPUTED_VALUE"""),0.723)</f>
        <v>0.723</v>
      </c>
      <c r="Q273" s="34">
        <f>IFERROR(__xludf.DUMMYFUNCTION("""COMPUTED_VALUE"""),0.07)</f>
        <v>0.07</v>
      </c>
      <c r="R273" s="34">
        <f>IFERROR(__xludf.DUMMYFUNCTION("""COMPUTED_VALUE"""),0.11)</f>
        <v>0.11</v>
      </c>
      <c r="S273" s="34">
        <f>IFERROR(__xludf.DUMMYFUNCTION("""COMPUTED_VALUE"""),0.03)</f>
        <v>0.03</v>
      </c>
      <c r="T273" s="17" t="str">
        <f t="shared" si="1"/>
        <v>Matt Shaw</v>
      </c>
    </row>
    <row r="274">
      <c r="A274" s="17">
        <f>IFERROR(__xludf.DUMMYFUNCTION("""COMPUTED_VALUE"""),274.0)</f>
        <v>274</v>
      </c>
      <c r="B274" s="17" t="str">
        <f>IFERROR(__xludf.DUMMYFUNCTION("""COMPUTED_VALUE"""),"Travis Bazzana (CLE - 2B)")</f>
        <v>Travis Bazzana (CLE - 2B)</v>
      </c>
      <c r="C274" s="17">
        <f>IFERROR(__xludf.DUMMYFUNCTION("""COMPUTED_VALUE"""),263.0)</f>
        <v>263</v>
      </c>
      <c r="D274" s="17">
        <f>IFERROR(__xludf.DUMMYFUNCTION("""COMPUTED_VALUE"""),38.0)</f>
        <v>38</v>
      </c>
      <c r="E274" s="17">
        <f>IFERROR(__xludf.DUMMYFUNCTION("""COMPUTED_VALUE"""),7.0)</f>
        <v>7</v>
      </c>
      <c r="F274" s="17">
        <f>IFERROR(__xludf.DUMMYFUNCTION("""COMPUTED_VALUE"""),31.0)</f>
        <v>31</v>
      </c>
      <c r="G274" s="17">
        <f>IFERROR(__xludf.DUMMYFUNCTION("""COMPUTED_VALUE"""),6.0)</f>
        <v>6</v>
      </c>
      <c r="H274" s="17">
        <f>IFERROR(__xludf.DUMMYFUNCTION("""COMPUTED_VALUE"""),0.222)</f>
        <v>0.222</v>
      </c>
      <c r="I274" s="17">
        <f>IFERROR(__xludf.DUMMYFUNCTION("""COMPUTED_VALUE"""),0.318)</f>
        <v>0.318</v>
      </c>
      <c r="J274" s="17">
        <f>IFERROR(__xludf.DUMMYFUNCTION("""COMPUTED_VALUE"""),58.0)</f>
        <v>58</v>
      </c>
      <c r="K274" s="17">
        <f>IFERROR(__xludf.DUMMYFUNCTION("""COMPUTED_VALUE"""),13.0)</f>
        <v>13</v>
      </c>
      <c r="L274" s="17">
        <f>IFERROR(__xludf.DUMMYFUNCTION("""COMPUTED_VALUE"""),2.0)</f>
        <v>2</v>
      </c>
      <c r="M274" s="17">
        <f>IFERROR(__xludf.DUMMYFUNCTION("""COMPUTED_VALUE"""),34.0)</f>
        <v>34</v>
      </c>
      <c r="N274" s="17">
        <f>IFERROR(__xludf.DUMMYFUNCTION("""COMPUTED_VALUE"""),86.0)</f>
        <v>86</v>
      </c>
      <c r="O274" s="17">
        <f>IFERROR(__xludf.DUMMYFUNCTION("""COMPUTED_VALUE"""),0.36)</f>
        <v>0.36</v>
      </c>
      <c r="P274" s="17">
        <f>IFERROR(__xludf.DUMMYFUNCTION("""COMPUTED_VALUE"""),0.678)</f>
        <v>0.678</v>
      </c>
      <c r="Q274" s="34">
        <f>IFERROR(__xludf.DUMMYFUNCTION("""COMPUTED_VALUE"""),0.26)</f>
        <v>0.26</v>
      </c>
      <c r="R274" s="34">
        <f>IFERROR(__xludf.DUMMYFUNCTION("""COMPUTED_VALUE"""),0.33)</f>
        <v>0.33</v>
      </c>
      <c r="S274" s="34">
        <f>IFERROR(__xludf.DUMMYFUNCTION("""COMPUTED_VALUE"""),0.2)</f>
        <v>0.2</v>
      </c>
      <c r="T274" s="17" t="str">
        <f t="shared" si="1"/>
        <v>Travis Bazzana</v>
      </c>
    </row>
    <row r="275">
      <c r="A275" s="17">
        <f>IFERROR(__xludf.DUMMYFUNCTION("""COMPUTED_VALUE"""),275.0)</f>
        <v>275</v>
      </c>
      <c r="B275" s="17" t="str">
        <f>IFERROR(__xludf.DUMMYFUNCTION("""COMPUTED_VALUE"""),"Logan O'Hoppe (LAA - C) IL10")</f>
        <v>Logan O'Hoppe (LAA - C) IL10</v>
      </c>
      <c r="C275" s="17">
        <f>IFERROR(__xludf.DUMMYFUNCTION("""COMPUTED_VALUE"""),254.0)</f>
        <v>254</v>
      </c>
      <c r="D275" s="17">
        <f>IFERROR(__xludf.DUMMYFUNCTION("""COMPUTED_VALUE"""),30.0)</f>
        <v>30</v>
      </c>
      <c r="E275" s="17">
        <f>IFERROR(__xludf.DUMMYFUNCTION("""COMPUTED_VALUE"""),11.0)</f>
        <v>11</v>
      </c>
      <c r="F275" s="17">
        <f>IFERROR(__xludf.DUMMYFUNCTION("""COMPUTED_VALUE"""),34.0)</f>
        <v>34</v>
      </c>
      <c r="G275" s="17">
        <f>IFERROR(__xludf.DUMMYFUNCTION("""COMPUTED_VALUE"""),2.0)</f>
        <v>2</v>
      </c>
      <c r="H275" s="17">
        <f>IFERROR(__xludf.DUMMYFUNCTION("""COMPUTED_VALUE"""),0.23)</f>
        <v>0.23</v>
      </c>
      <c r="I275" s="17">
        <f>IFERROR(__xludf.DUMMYFUNCTION("""COMPUTED_VALUE"""),0.296)</f>
        <v>0.296</v>
      </c>
      <c r="J275" s="17">
        <f>IFERROR(__xludf.DUMMYFUNCTION("""COMPUTED_VALUE"""),58.0)</f>
        <v>58</v>
      </c>
      <c r="K275" s="17">
        <f>IFERROR(__xludf.DUMMYFUNCTION("""COMPUTED_VALUE"""),9.0)</f>
        <v>9</v>
      </c>
      <c r="L275" s="17">
        <f>IFERROR(__xludf.DUMMYFUNCTION("""COMPUTED_VALUE"""),1.0)</f>
        <v>1</v>
      </c>
      <c r="M275" s="17">
        <f>IFERROR(__xludf.DUMMYFUNCTION("""COMPUTED_VALUE"""),22.0)</f>
        <v>22</v>
      </c>
      <c r="N275" s="17">
        <f>IFERROR(__xludf.DUMMYFUNCTION("""COMPUTED_VALUE"""),78.0)</f>
        <v>78</v>
      </c>
      <c r="O275" s="17">
        <f>IFERROR(__xludf.DUMMYFUNCTION("""COMPUTED_VALUE"""),0.402)</f>
        <v>0.402</v>
      </c>
      <c r="P275" s="17">
        <f>IFERROR(__xludf.DUMMYFUNCTION("""COMPUTED_VALUE"""),0.699)</f>
        <v>0.699</v>
      </c>
      <c r="Q275" s="34">
        <f>IFERROR(__xludf.DUMMYFUNCTION("""COMPUTED_VALUE"""),0.03)</f>
        <v>0.03</v>
      </c>
      <c r="R275" s="34">
        <f>IFERROR(__xludf.DUMMYFUNCTION("""COMPUTED_VALUE"""),0.04)</f>
        <v>0.04</v>
      </c>
      <c r="S275" s="34">
        <f>IFERROR(__xludf.DUMMYFUNCTION("""COMPUTED_VALUE"""),0.03)</f>
        <v>0.03</v>
      </c>
      <c r="T275" s="17" t="str">
        <f t="shared" si="1"/>
        <v>Logan O'Hoppe</v>
      </c>
    </row>
    <row r="276">
      <c r="A276" s="17">
        <f>IFERROR(__xludf.DUMMYFUNCTION("""COMPUTED_VALUE"""),276.0)</f>
        <v>276</v>
      </c>
      <c r="B276" s="17" t="str">
        <f>IFERROR(__xludf.DUMMYFUNCTION("""COMPUTED_VALUE"""),"Kyle Teel (CWS - C) IL10")</f>
        <v>Kyle Teel (CWS - C) IL10</v>
      </c>
      <c r="C276" s="17">
        <f>IFERROR(__xludf.DUMMYFUNCTION("""COMPUTED_VALUE"""),233.0)</f>
        <v>233</v>
      </c>
      <c r="D276" s="17">
        <f>IFERROR(__xludf.DUMMYFUNCTION("""COMPUTED_VALUE"""),32.0)</f>
        <v>32</v>
      </c>
      <c r="E276" s="17">
        <f>IFERROR(__xludf.DUMMYFUNCTION("""COMPUTED_VALUE"""),7.0)</f>
        <v>7</v>
      </c>
      <c r="F276" s="17">
        <f>IFERROR(__xludf.DUMMYFUNCTION("""COMPUTED_VALUE"""),28.0)</f>
        <v>28</v>
      </c>
      <c r="G276" s="17">
        <f>IFERROR(__xludf.DUMMYFUNCTION("""COMPUTED_VALUE"""),4.0)</f>
        <v>4</v>
      </c>
      <c r="H276" s="17">
        <f>IFERROR(__xludf.DUMMYFUNCTION("""COMPUTED_VALUE"""),0.247)</f>
        <v>0.247</v>
      </c>
      <c r="I276" s="17">
        <f>IFERROR(__xludf.DUMMYFUNCTION("""COMPUTED_VALUE"""),0.336)</f>
        <v>0.336</v>
      </c>
      <c r="J276" s="17">
        <f>IFERROR(__xludf.DUMMYFUNCTION("""COMPUTED_VALUE"""),57.0)</f>
        <v>57</v>
      </c>
      <c r="K276" s="17">
        <f>IFERROR(__xludf.DUMMYFUNCTION("""COMPUTED_VALUE"""),10.0)</f>
        <v>10</v>
      </c>
      <c r="L276" s="17">
        <f>IFERROR(__xludf.DUMMYFUNCTION("""COMPUTED_VALUE"""),1.0)</f>
        <v>1</v>
      </c>
      <c r="M276" s="17">
        <f>IFERROR(__xludf.DUMMYFUNCTION("""COMPUTED_VALUE"""),30.0)</f>
        <v>30</v>
      </c>
      <c r="N276" s="17">
        <f>IFERROR(__xludf.DUMMYFUNCTION("""COMPUTED_VALUE"""),68.0)</f>
        <v>68</v>
      </c>
      <c r="O276" s="17">
        <f>IFERROR(__xludf.DUMMYFUNCTION("""COMPUTED_VALUE"""),0.387)</f>
        <v>0.387</v>
      </c>
      <c r="P276" s="17">
        <f>IFERROR(__xludf.DUMMYFUNCTION("""COMPUTED_VALUE"""),0.722)</f>
        <v>0.722</v>
      </c>
      <c r="Q276" s="34">
        <f>IFERROR(__xludf.DUMMYFUNCTION("""COMPUTED_VALUE"""),0.09)</f>
        <v>0.09</v>
      </c>
      <c r="R276" s="34">
        <f>IFERROR(__xludf.DUMMYFUNCTION("""COMPUTED_VALUE"""),0.1)</f>
        <v>0.1</v>
      </c>
      <c r="S276" s="34">
        <f>IFERROR(__xludf.DUMMYFUNCTION("""COMPUTED_VALUE"""),0.08)</f>
        <v>0.08</v>
      </c>
      <c r="T276" s="17" t="str">
        <f t="shared" si="1"/>
        <v>Kyle Teel</v>
      </c>
    </row>
    <row r="277">
      <c r="A277" s="17">
        <f>IFERROR(__xludf.DUMMYFUNCTION("""COMPUTED_VALUE"""),277.0)</f>
        <v>277</v>
      </c>
      <c r="B277" s="17" t="str">
        <f>IFERROR(__xludf.DUMMYFUNCTION("""COMPUTED_VALUE"""),"Zach McKinstry (DET - 2B,3B,SS,LF,RF) IL10")</f>
        <v>Zach McKinstry (DET - 2B,3B,SS,LF,RF) IL10</v>
      </c>
      <c r="C277" s="17">
        <f>IFERROR(__xludf.DUMMYFUNCTION("""COMPUTED_VALUE"""),252.0)</f>
        <v>252</v>
      </c>
      <c r="D277" s="17">
        <f>IFERROR(__xludf.DUMMYFUNCTION("""COMPUTED_VALUE"""),33.0)</f>
        <v>33</v>
      </c>
      <c r="E277" s="17">
        <f>IFERROR(__xludf.DUMMYFUNCTION("""COMPUTED_VALUE"""),6.0)</f>
        <v>6</v>
      </c>
      <c r="F277" s="17">
        <f>IFERROR(__xludf.DUMMYFUNCTION("""COMPUTED_VALUE"""),26.0)</f>
        <v>26</v>
      </c>
      <c r="G277" s="17">
        <f>IFERROR(__xludf.DUMMYFUNCTION("""COMPUTED_VALUE"""),9.0)</f>
        <v>9</v>
      </c>
      <c r="H277" s="17">
        <f>IFERROR(__xludf.DUMMYFUNCTION("""COMPUTED_VALUE"""),0.234)</f>
        <v>0.234</v>
      </c>
      <c r="I277" s="17">
        <f>IFERROR(__xludf.DUMMYFUNCTION("""COMPUTED_VALUE"""),0.308)</f>
        <v>0.308</v>
      </c>
      <c r="J277" s="17">
        <f>IFERROR(__xludf.DUMMYFUNCTION("""COMPUTED_VALUE"""),59.0)</f>
        <v>59</v>
      </c>
      <c r="K277" s="17">
        <f>IFERROR(__xludf.DUMMYFUNCTION("""COMPUTED_VALUE"""),11.0)</f>
        <v>11</v>
      </c>
      <c r="L277" s="17">
        <f>IFERROR(__xludf.DUMMYFUNCTION("""COMPUTED_VALUE"""),3.0)</f>
        <v>3</v>
      </c>
      <c r="M277" s="17">
        <f>IFERROR(__xludf.DUMMYFUNCTION("""COMPUTED_VALUE"""),25.0)</f>
        <v>25</v>
      </c>
      <c r="N277" s="17">
        <f>IFERROR(__xludf.DUMMYFUNCTION("""COMPUTED_VALUE"""),61.0)</f>
        <v>61</v>
      </c>
      <c r="O277" s="17">
        <f>IFERROR(__xludf.DUMMYFUNCTION("""COMPUTED_VALUE"""),0.37)</f>
        <v>0.37</v>
      </c>
      <c r="P277" s="17">
        <f>IFERROR(__xludf.DUMMYFUNCTION("""COMPUTED_VALUE"""),0.678)</f>
        <v>0.678</v>
      </c>
      <c r="Q277" s="34">
        <f>IFERROR(__xludf.DUMMYFUNCTION("""COMPUTED_VALUE"""),0.03)</f>
        <v>0.03</v>
      </c>
      <c r="R277" s="34">
        <f>IFERROR(__xludf.DUMMYFUNCTION("""COMPUTED_VALUE"""),0.03)</f>
        <v>0.03</v>
      </c>
      <c r="S277" s="34">
        <f>IFERROR(__xludf.DUMMYFUNCTION("""COMPUTED_VALUE"""),0.04)</f>
        <v>0.04</v>
      </c>
      <c r="T277" s="17" t="str">
        <f t="shared" si="1"/>
        <v>Zach McKinstry</v>
      </c>
    </row>
    <row r="278">
      <c r="A278" s="17">
        <f>IFERROR(__xludf.DUMMYFUNCTION("""COMPUTED_VALUE"""),278.0)</f>
        <v>278</v>
      </c>
      <c r="B278" s="17" t="str">
        <f>IFERROR(__xludf.DUMMYFUNCTION("""COMPUTED_VALUE"""),"Nick Yorke (PIT - 2B,3B)")</f>
        <v>Nick Yorke (PIT - 2B,3B)</v>
      </c>
      <c r="C278" s="17">
        <f>IFERROR(__xludf.DUMMYFUNCTION("""COMPUTED_VALUE"""),249.0)</f>
        <v>249</v>
      </c>
      <c r="D278" s="17">
        <f>IFERROR(__xludf.DUMMYFUNCTION("""COMPUTED_VALUE"""),30.0)</f>
        <v>30</v>
      </c>
      <c r="E278" s="17">
        <f>IFERROR(__xludf.DUMMYFUNCTION("""COMPUTED_VALUE"""),5.0)</f>
        <v>5</v>
      </c>
      <c r="F278" s="17">
        <f>IFERROR(__xludf.DUMMYFUNCTION("""COMPUTED_VALUE"""),27.0)</f>
        <v>27</v>
      </c>
      <c r="G278" s="17">
        <f>IFERROR(__xludf.DUMMYFUNCTION("""COMPUTED_VALUE"""),5.0)</f>
        <v>5</v>
      </c>
      <c r="H278" s="17">
        <f>IFERROR(__xludf.DUMMYFUNCTION("""COMPUTED_VALUE"""),0.255)</f>
        <v>0.255</v>
      </c>
      <c r="I278" s="17">
        <f>IFERROR(__xludf.DUMMYFUNCTION("""COMPUTED_VALUE"""),0.314)</f>
        <v>0.314</v>
      </c>
      <c r="J278" s="17">
        <f>IFERROR(__xludf.DUMMYFUNCTION("""COMPUTED_VALUE"""),64.0)</f>
        <v>64</v>
      </c>
      <c r="K278" s="17">
        <f>IFERROR(__xludf.DUMMYFUNCTION("""COMPUTED_VALUE"""),12.0)</f>
        <v>12</v>
      </c>
      <c r="L278" s="17">
        <f>IFERROR(__xludf.DUMMYFUNCTION("""COMPUTED_VALUE"""),1.0)</f>
        <v>1</v>
      </c>
      <c r="M278" s="17">
        <f>IFERROR(__xludf.DUMMYFUNCTION("""COMPUTED_VALUE"""),20.0)</f>
        <v>20</v>
      </c>
      <c r="N278" s="17">
        <f>IFERROR(__xludf.DUMMYFUNCTION("""COMPUTED_VALUE"""),60.0)</f>
        <v>60</v>
      </c>
      <c r="O278" s="17">
        <f>IFERROR(__xludf.DUMMYFUNCTION("""COMPUTED_VALUE"""),0.37)</f>
        <v>0.37</v>
      </c>
      <c r="P278" s="17">
        <f>IFERROR(__xludf.DUMMYFUNCTION("""COMPUTED_VALUE"""),0.684)</f>
        <v>0.684</v>
      </c>
      <c r="Q278" s="34">
        <f>IFERROR(__xludf.DUMMYFUNCTION("""COMPUTED_VALUE"""),0.0)</f>
        <v>0</v>
      </c>
      <c r="R278" s="34">
        <f>IFERROR(__xludf.DUMMYFUNCTION("""COMPUTED_VALUE"""),0.0)</f>
        <v>0</v>
      </c>
      <c r="S278" s="34">
        <f>IFERROR(__xludf.DUMMYFUNCTION("""COMPUTED_VALUE"""),0.0)</f>
        <v>0</v>
      </c>
      <c r="T278" s="17" t="str">
        <f t="shared" si="1"/>
        <v>Nick Yorke</v>
      </c>
    </row>
    <row r="279">
      <c r="A279" s="17">
        <f>IFERROR(__xludf.DUMMYFUNCTION("""COMPUTED_VALUE"""),279.0)</f>
        <v>279</v>
      </c>
      <c r="B279" s="17" t="str">
        <f>IFERROR(__xludf.DUMMYFUNCTION("""COMPUTED_VALUE"""),"Carlos Narvaez (BOS - C)")</f>
        <v>Carlos Narvaez (BOS - C)</v>
      </c>
      <c r="C279" s="17">
        <f>IFERROR(__xludf.DUMMYFUNCTION("""COMPUTED_VALUE"""),274.0)</f>
        <v>274</v>
      </c>
      <c r="D279" s="17">
        <f>IFERROR(__xludf.DUMMYFUNCTION("""COMPUTED_VALUE"""),33.0)</f>
        <v>33</v>
      </c>
      <c r="E279" s="17">
        <f>IFERROR(__xludf.DUMMYFUNCTION("""COMPUTED_VALUE"""),9.0)</f>
        <v>9</v>
      </c>
      <c r="F279" s="17">
        <f>IFERROR(__xludf.DUMMYFUNCTION("""COMPUTED_VALUE"""),34.0)</f>
        <v>34</v>
      </c>
      <c r="G279" s="17">
        <f>IFERROR(__xludf.DUMMYFUNCTION("""COMPUTED_VALUE"""),2.0)</f>
        <v>2</v>
      </c>
      <c r="H279" s="17">
        <f>IFERROR(__xludf.DUMMYFUNCTION("""COMPUTED_VALUE"""),0.227)</f>
        <v>0.227</v>
      </c>
      <c r="I279" s="17">
        <f>IFERROR(__xludf.DUMMYFUNCTION("""COMPUTED_VALUE"""),0.306)</f>
        <v>0.306</v>
      </c>
      <c r="J279" s="17">
        <f>IFERROR(__xludf.DUMMYFUNCTION("""COMPUTED_VALUE"""),62.0)</f>
        <v>62</v>
      </c>
      <c r="K279" s="17">
        <f>IFERROR(__xludf.DUMMYFUNCTION("""COMPUTED_VALUE"""),13.0)</f>
        <v>13</v>
      </c>
      <c r="L279" s="17">
        <f>IFERROR(__xludf.DUMMYFUNCTION("""COMPUTED_VALUE"""),0.0)</f>
        <v>0</v>
      </c>
      <c r="M279" s="17">
        <f>IFERROR(__xludf.DUMMYFUNCTION("""COMPUTED_VALUE"""),29.0)</f>
        <v>29</v>
      </c>
      <c r="N279" s="17">
        <f>IFERROR(__xludf.DUMMYFUNCTION("""COMPUTED_VALUE"""),82.0)</f>
        <v>82</v>
      </c>
      <c r="O279" s="17">
        <f>IFERROR(__xludf.DUMMYFUNCTION("""COMPUTED_VALUE"""),0.372)</f>
        <v>0.372</v>
      </c>
      <c r="P279" s="17">
        <f>IFERROR(__xludf.DUMMYFUNCTION("""COMPUTED_VALUE"""),0.678)</f>
        <v>0.678</v>
      </c>
      <c r="Q279" s="34">
        <f>IFERROR(__xludf.DUMMYFUNCTION("""COMPUTED_VALUE"""),0.02)</f>
        <v>0.02</v>
      </c>
      <c r="R279" s="34">
        <f>IFERROR(__xludf.DUMMYFUNCTION("""COMPUTED_VALUE"""),0.02)</f>
        <v>0.02</v>
      </c>
      <c r="S279" s="34">
        <f>IFERROR(__xludf.DUMMYFUNCTION("""COMPUTED_VALUE"""),0.02)</f>
        <v>0.02</v>
      </c>
      <c r="T279" s="17" t="str">
        <f t="shared" si="1"/>
        <v>Carlos Narvaez</v>
      </c>
    </row>
    <row r="280">
      <c r="A280" s="17">
        <f>IFERROR(__xludf.DUMMYFUNCTION("""COMPUTED_VALUE"""),280.0)</f>
        <v>280</v>
      </c>
      <c r="B280" s="17" t="str">
        <f>IFERROR(__xludf.DUMMYFUNCTION("""COMPUTED_VALUE"""),"Colt Emerson (SEA - SS) MiLB")</f>
        <v>Colt Emerson (SEA - SS) MiLB</v>
      </c>
      <c r="C280" s="17">
        <f>IFERROR(__xludf.DUMMYFUNCTION("""COMPUTED_VALUE"""),267.0)</f>
        <v>267</v>
      </c>
      <c r="D280" s="17">
        <f>IFERROR(__xludf.DUMMYFUNCTION("""COMPUTED_VALUE"""),33.0)</f>
        <v>33</v>
      </c>
      <c r="E280" s="17">
        <f>IFERROR(__xludf.DUMMYFUNCTION("""COMPUTED_VALUE"""),6.0)</f>
        <v>6</v>
      </c>
      <c r="F280" s="17">
        <f>IFERROR(__xludf.DUMMYFUNCTION("""COMPUTED_VALUE"""),31.0)</f>
        <v>31</v>
      </c>
      <c r="G280" s="17">
        <f>IFERROR(__xludf.DUMMYFUNCTION("""COMPUTED_VALUE"""),5.0)</f>
        <v>5</v>
      </c>
      <c r="H280" s="17">
        <f>IFERROR(__xludf.DUMMYFUNCTION("""COMPUTED_VALUE"""),0.233)</f>
        <v>0.233</v>
      </c>
      <c r="I280" s="17">
        <f>IFERROR(__xludf.DUMMYFUNCTION("""COMPUTED_VALUE"""),0.313)</f>
        <v>0.313</v>
      </c>
      <c r="J280" s="17">
        <f>IFERROR(__xludf.DUMMYFUNCTION("""COMPUTED_VALUE"""),62.0)</f>
        <v>62</v>
      </c>
      <c r="K280" s="17">
        <f>IFERROR(__xludf.DUMMYFUNCTION("""COMPUTED_VALUE"""),13.0)</f>
        <v>13</v>
      </c>
      <c r="L280" s="17">
        <f>IFERROR(__xludf.DUMMYFUNCTION("""COMPUTED_VALUE"""),1.0)</f>
        <v>1</v>
      </c>
      <c r="M280" s="17">
        <f>IFERROR(__xludf.DUMMYFUNCTION("""COMPUTED_VALUE"""),26.0)</f>
        <v>26</v>
      </c>
      <c r="N280" s="17">
        <f>IFERROR(__xludf.DUMMYFUNCTION("""COMPUTED_VALUE"""),69.0)</f>
        <v>69</v>
      </c>
      <c r="O280" s="17">
        <f>IFERROR(__xludf.DUMMYFUNCTION("""COMPUTED_VALUE"""),0.356)</f>
        <v>0.356</v>
      </c>
      <c r="P280" s="17">
        <f>IFERROR(__xludf.DUMMYFUNCTION("""COMPUTED_VALUE"""),0.669)</f>
        <v>0.669</v>
      </c>
      <c r="Q280" s="34">
        <f>IFERROR(__xludf.DUMMYFUNCTION("""COMPUTED_VALUE"""),0.07)</f>
        <v>0.07</v>
      </c>
      <c r="R280" s="34">
        <f>IFERROR(__xludf.DUMMYFUNCTION("""COMPUTED_VALUE"""),0.12)</f>
        <v>0.12</v>
      </c>
      <c r="S280" s="34">
        <f>IFERROR(__xludf.DUMMYFUNCTION("""COMPUTED_VALUE"""),0.03)</f>
        <v>0.03</v>
      </c>
      <c r="T280" s="17" t="str">
        <f t="shared" si="1"/>
        <v>Colt Emerson</v>
      </c>
    </row>
    <row r="281">
      <c r="A281" s="17">
        <f>IFERROR(__xludf.DUMMYFUNCTION("""COMPUTED_VALUE"""),281.0)</f>
        <v>281</v>
      </c>
      <c r="B281" s="17" t="str">
        <f>IFERROR(__xludf.DUMMYFUNCTION("""COMPUTED_VALUE"""),"Casey Schmitt (SF - 1B,2B,3B,DH)")</f>
        <v>Casey Schmitt (SF - 1B,2B,3B,DH)</v>
      </c>
      <c r="C281" s="17">
        <f>IFERROR(__xludf.DUMMYFUNCTION("""COMPUTED_VALUE"""),228.0)</f>
        <v>228</v>
      </c>
      <c r="D281" s="17">
        <f>IFERROR(__xludf.DUMMYFUNCTION("""COMPUTED_VALUE"""),28.0)</f>
        <v>28</v>
      </c>
      <c r="E281" s="17">
        <f>IFERROR(__xludf.DUMMYFUNCTION("""COMPUTED_VALUE"""),8.0)</f>
        <v>8</v>
      </c>
      <c r="F281" s="17">
        <f>IFERROR(__xludf.DUMMYFUNCTION("""COMPUTED_VALUE"""),30.0)</f>
        <v>30</v>
      </c>
      <c r="G281" s="17">
        <f>IFERROR(__xludf.DUMMYFUNCTION("""COMPUTED_VALUE"""),2.0)</f>
        <v>2</v>
      </c>
      <c r="H281" s="17">
        <f>IFERROR(__xludf.DUMMYFUNCTION("""COMPUTED_VALUE"""),0.246)</f>
        <v>0.246</v>
      </c>
      <c r="I281" s="17">
        <f>IFERROR(__xludf.DUMMYFUNCTION("""COMPUTED_VALUE"""),0.305)</f>
        <v>0.305</v>
      </c>
      <c r="J281" s="17">
        <f>IFERROR(__xludf.DUMMYFUNCTION("""COMPUTED_VALUE"""),56.0)</f>
        <v>56</v>
      </c>
      <c r="K281" s="17">
        <f>IFERROR(__xludf.DUMMYFUNCTION("""COMPUTED_VALUE"""),12.0)</f>
        <v>12</v>
      </c>
      <c r="L281" s="17">
        <f>IFERROR(__xludf.DUMMYFUNCTION("""COMPUTED_VALUE"""),1.0)</f>
        <v>1</v>
      </c>
      <c r="M281" s="17">
        <f>IFERROR(__xludf.DUMMYFUNCTION("""COMPUTED_VALUE"""),17.0)</f>
        <v>17</v>
      </c>
      <c r="N281" s="17">
        <f>IFERROR(__xludf.DUMMYFUNCTION("""COMPUTED_VALUE"""),56.0)</f>
        <v>56</v>
      </c>
      <c r="O281" s="17">
        <f>IFERROR(__xludf.DUMMYFUNCTION("""COMPUTED_VALUE"""),0.406)</f>
        <v>0.406</v>
      </c>
      <c r="P281" s="17">
        <f>IFERROR(__xludf.DUMMYFUNCTION("""COMPUTED_VALUE"""),0.711)</f>
        <v>0.711</v>
      </c>
      <c r="Q281" s="34">
        <f>IFERROR(__xludf.DUMMYFUNCTION("""COMPUTED_VALUE"""),0.1)</f>
        <v>0.1</v>
      </c>
      <c r="R281" s="34">
        <f>IFERROR(__xludf.DUMMYFUNCTION("""COMPUTED_VALUE"""),0.12)</f>
        <v>0.12</v>
      </c>
      <c r="S281" s="34">
        <f>IFERROR(__xludf.DUMMYFUNCTION("""COMPUTED_VALUE"""),0.07)</f>
        <v>0.07</v>
      </c>
      <c r="T281" s="17" t="str">
        <f t="shared" si="1"/>
        <v>Casey Schmitt</v>
      </c>
    </row>
    <row r="282">
      <c r="A282" s="17">
        <f>IFERROR(__xludf.DUMMYFUNCTION("""COMPUTED_VALUE"""),282.0)</f>
        <v>282</v>
      </c>
      <c r="B282" s="17" t="str">
        <f>IFERROR(__xludf.DUMMYFUNCTION("""COMPUTED_VALUE"""),"Troy Johnston (COL - 1B,LF,RF)")</f>
        <v>Troy Johnston (COL - 1B,LF,RF)</v>
      </c>
      <c r="C282" s="17">
        <f>IFERROR(__xludf.DUMMYFUNCTION("""COMPUTED_VALUE"""),210.0)</f>
        <v>210</v>
      </c>
      <c r="D282" s="17">
        <f>IFERROR(__xludf.DUMMYFUNCTION("""COMPUTED_VALUE"""),26.0)</f>
        <v>26</v>
      </c>
      <c r="E282" s="17">
        <f>IFERROR(__xludf.DUMMYFUNCTION("""COMPUTED_VALUE"""),5.0)</f>
        <v>5</v>
      </c>
      <c r="F282" s="17">
        <f>IFERROR(__xludf.DUMMYFUNCTION("""COMPUTED_VALUE"""),27.0)</f>
        <v>27</v>
      </c>
      <c r="G282" s="17">
        <f>IFERROR(__xludf.DUMMYFUNCTION("""COMPUTED_VALUE"""),6.0)</f>
        <v>6</v>
      </c>
      <c r="H282" s="17">
        <f>IFERROR(__xludf.DUMMYFUNCTION("""COMPUTED_VALUE"""),0.258)</f>
        <v>0.258</v>
      </c>
      <c r="I282" s="17">
        <f>IFERROR(__xludf.DUMMYFUNCTION("""COMPUTED_VALUE"""),0.32)</f>
        <v>0.32</v>
      </c>
      <c r="J282" s="17">
        <f>IFERROR(__xludf.DUMMYFUNCTION("""COMPUTED_VALUE"""),54.0)</f>
        <v>54</v>
      </c>
      <c r="K282" s="17">
        <f>IFERROR(__xludf.DUMMYFUNCTION("""COMPUTED_VALUE"""),11.0)</f>
        <v>11</v>
      </c>
      <c r="L282" s="17">
        <f>IFERROR(__xludf.DUMMYFUNCTION("""COMPUTED_VALUE"""),1.0)</f>
        <v>1</v>
      </c>
      <c r="M282" s="17">
        <f>IFERROR(__xludf.DUMMYFUNCTION("""COMPUTED_VALUE"""),16.0)</f>
        <v>16</v>
      </c>
      <c r="N282" s="17">
        <f>IFERROR(__xludf.DUMMYFUNCTION("""COMPUTED_VALUE"""),47.0)</f>
        <v>47</v>
      </c>
      <c r="O282" s="17">
        <f>IFERROR(__xludf.DUMMYFUNCTION("""COMPUTED_VALUE"""),0.401)</f>
        <v>0.401</v>
      </c>
      <c r="P282" s="17">
        <f>IFERROR(__xludf.DUMMYFUNCTION("""COMPUTED_VALUE"""),0.72)</f>
        <v>0.72</v>
      </c>
      <c r="Q282" s="34">
        <f>IFERROR(__xludf.DUMMYFUNCTION("""COMPUTED_VALUE"""),0.06)</f>
        <v>0.06</v>
      </c>
      <c r="R282" s="34">
        <f>IFERROR(__xludf.DUMMYFUNCTION("""COMPUTED_VALUE"""),0.07)</f>
        <v>0.07</v>
      </c>
      <c r="S282" s="34">
        <f>IFERROR(__xludf.DUMMYFUNCTION("""COMPUTED_VALUE"""),0.06)</f>
        <v>0.06</v>
      </c>
      <c r="T282" s="17" t="str">
        <f t="shared" si="1"/>
        <v>Troy Johnston</v>
      </c>
    </row>
    <row r="283">
      <c r="A283" s="17">
        <f>IFERROR(__xludf.DUMMYFUNCTION("""COMPUTED_VALUE"""),283.0)</f>
        <v>283</v>
      </c>
      <c r="B283" s="17" t="str">
        <f>IFERROR(__xludf.DUMMYFUNCTION("""COMPUTED_VALUE"""),"Nathan Church (STL - LF,CF,RF)")</f>
        <v>Nathan Church (STL - LF,CF,RF)</v>
      </c>
      <c r="C283" s="17">
        <f>IFERROR(__xludf.DUMMYFUNCTION("""COMPUTED_VALUE"""),222.0)</f>
        <v>222</v>
      </c>
      <c r="D283" s="17">
        <f>IFERROR(__xludf.DUMMYFUNCTION("""COMPUTED_VALUE"""),28.0)</f>
        <v>28</v>
      </c>
      <c r="E283" s="17">
        <f>IFERROR(__xludf.DUMMYFUNCTION("""COMPUTED_VALUE"""),5.0)</f>
        <v>5</v>
      </c>
      <c r="F283" s="17">
        <f>IFERROR(__xludf.DUMMYFUNCTION("""COMPUTED_VALUE"""),26.0)</f>
        <v>26</v>
      </c>
      <c r="G283" s="17">
        <f>IFERROR(__xludf.DUMMYFUNCTION("""COMPUTED_VALUE"""),6.0)</f>
        <v>6</v>
      </c>
      <c r="H283" s="17">
        <f>IFERROR(__xludf.DUMMYFUNCTION("""COMPUTED_VALUE"""),0.251)</f>
        <v>0.251</v>
      </c>
      <c r="I283" s="17">
        <f>IFERROR(__xludf.DUMMYFUNCTION("""COMPUTED_VALUE"""),0.305)</f>
        <v>0.305</v>
      </c>
      <c r="J283" s="17">
        <f>IFERROR(__xludf.DUMMYFUNCTION("""COMPUTED_VALUE"""),56.0)</f>
        <v>56</v>
      </c>
      <c r="K283" s="17">
        <f>IFERROR(__xludf.DUMMYFUNCTION("""COMPUTED_VALUE"""),9.0)</f>
        <v>9</v>
      </c>
      <c r="L283" s="17">
        <f>IFERROR(__xludf.DUMMYFUNCTION("""COMPUTED_VALUE"""),1.0)</f>
        <v>1</v>
      </c>
      <c r="M283" s="17">
        <f>IFERROR(__xludf.DUMMYFUNCTION("""COMPUTED_VALUE"""),15.0)</f>
        <v>15</v>
      </c>
      <c r="N283" s="17">
        <f>IFERROR(__xludf.DUMMYFUNCTION("""COMPUTED_VALUE"""),38.0)</f>
        <v>38</v>
      </c>
      <c r="O283" s="17">
        <f>IFERROR(__xludf.DUMMYFUNCTION("""COMPUTED_VALUE"""),0.37)</f>
        <v>0.37</v>
      </c>
      <c r="P283" s="17">
        <f>IFERROR(__xludf.DUMMYFUNCTION("""COMPUTED_VALUE"""),0.675)</f>
        <v>0.675</v>
      </c>
      <c r="Q283" s="34">
        <f>IFERROR(__xludf.DUMMYFUNCTION("""COMPUTED_VALUE"""),0.09)</f>
        <v>0.09</v>
      </c>
      <c r="R283" s="34">
        <f>IFERROR(__xludf.DUMMYFUNCTION("""COMPUTED_VALUE"""),0.12)</f>
        <v>0.12</v>
      </c>
      <c r="S283" s="34">
        <f>IFERROR(__xludf.DUMMYFUNCTION("""COMPUTED_VALUE"""),0.05)</f>
        <v>0.05</v>
      </c>
      <c r="T283" s="17" t="str">
        <f t="shared" si="1"/>
        <v>Nathan Church</v>
      </c>
    </row>
    <row r="284">
      <c r="A284" s="17">
        <f>IFERROR(__xludf.DUMMYFUNCTION("""COMPUTED_VALUE"""),284.0)</f>
        <v>284</v>
      </c>
      <c r="B284" s="17" t="str">
        <f>IFERROR(__xludf.DUMMYFUNCTION("""COMPUTED_VALUE"""),"Noelvi Marte (CIN - 3B,RF) MiLB")</f>
        <v>Noelvi Marte (CIN - 3B,RF) MiLB</v>
      </c>
      <c r="C284" s="17">
        <f>IFERROR(__xludf.DUMMYFUNCTION("""COMPUTED_VALUE"""),196.0)</f>
        <v>196</v>
      </c>
      <c r="D284" s="17">
        <f>IFERROR(__xludf.DUMMYFUNCTION("""COMPUTED_VALUE"""),26.0)</f>
        <v>26</v>
      </c>
      <c r="E284" s="17">
        <f>IFERROR(__xludf.DUMMYFUNCTION("""COMPUTED_VALUE"""),7.0)</f>
        <v>7</v>
      </c>
      <c r="F284" s="17">
        <f>IFERROR(__xludf.DUMMYFUNCTION("""COMPUTED_VALUE"""),25.0)</f>
        <v>25</v>
      </c>
      <c r="G284" s="17">
        <f>IFERROR(__xludf.DUMMYFUNCTION("""COMPUTED_VALUE"""),6.0)</f>
        <v>6</v>
      </c>
      <c r="H284" s="17">
        <f>IFERROR(__xludf.DUMMYFUNCTION("""COMPUTED_VALUE"""),0.25)</f>
        <v>0.25</v>
      </c>
      <c r="I284" s="17">
        <f>IFERROR(__xludf.DUMMYFUNCTION("""COMPUTED_VALUE"""),0.304)</f>
        <v>0.304</v>
      </c>
      <c r="J284" s="17">
        <f>IFERROR(__xludf.DUMMYFUNCTION("""COMPUTED_VALUE"""),49.0)</f>
        <v>49</v>
      </c>
      <c r="K284" s="17">
        <f>IFERROR(__xludf.DUMMYFUNCTION("""COMPUTED_VALUE"""),9.0)</f>
        <v>9</v>
      </c>
      <c r="L284" s="17">
        <f>IFERROR(__xludf.DUMMYFUNCTION("""COMPUTED_VALUE"""),1.0)</f>
        <v>1</v>
      </c>
      <c r="M284" s="17">
        <f>IFERROR(__xludf.DUMMYFUNCTION("""COMPUTED_VALUE"""),14.0)</f>
        <v>14</v>
      </c>
      <c r="N284" s="17">
        <f>IFERROR(__xludf.DUMMYFUNCTION("""COMPUTED_VALUE"""),49.0)</f>
        <v>49</v>
      </c>
      <c r="O284" s="17">
        <f>IFERROR(__xludf.DUMMYFUNCTION("""COMPUTED_VALUE"""),0.406)</f>
        <v>0.406</v>
      </c>
      <c r="P284" s="17">
        <f>IFERROR(__xludf.DUMMYFUNCTION("""COMPUTED_VALUE"""),0.71)</f>
        <v>0.71</v>
      </c>
      <c r="Q284" s="34">
        <f>IFERROR(__xludf.DUMMYFUNCTION("""COMPUTED_VALUE"""),0.18)</f>
        <v>0.18</v>
      </c>
      <c r="R284" s="34">
        <f>IFERROR(__xludf.DUMMYFUNCTION("""COMPUTED_VALUE"""),0.3)</f>
        <v>0.3</v>
      </c>
      <c r="S284" s="34">
        <f>IFERROR(__xludf.DUMMYFUNCTION("""COMPUTED_VALUE"""),0.07)</f>
        <v>0.07</v>
      </c>
      <c r="T284" s="17" t="str">
        <f t="shared" si="1"/>
        <v>Noelvi Marte</v>
      </c>
    </row>
    <row r="285">
      <c r="A285" s="17">
        <f>IFERROR(__xludf.DUMMYFUNCTION("""COMPUTED_VALUE"""),285.0)</f>
        <v>285</v>
      </c>
      <c r="B285" s="17" t="str">
        <f>IFERROR(__xludf.DUMMYFUNCTION("""COMPUTED_VALUE"""),"Amed Rosario (NYY - 2B,3B)")</f>
        <v>Amed Rosario (NYY - 2B,3B)</v>
      </c>
      <c r="C285" s="17">
        <f>IFERROR(__xludf.DUMMYFUNCTION("""COMPUTED_VALUE"""),211.0)</f>
        <v>211</v>
      </c>
      <c r="D285" s="17">
        <f>IFERROR(__xludf.DUMMYFUNCTION("""COMPUTED_VALUE"""),26.0)</f>
        <v>26</v>
      </c>
      <c r="E285" s="17">
        <f>IFERROR(__xludf.DUMMYFUNCTION("""COMPUTED_VALUE"""),5.0)</f>
        <v>5</v>
      </c>
      <c r="F285" s="17">
        <f>IFERROR(__xludf.DUMMYFUNCTION("""COMPUTED_VALUE"""),26.0)</f>
        <v>26</v>
      </c>
      <c r="G285" s="17">
        <f>IFERROR(__xludf.DUMMYFUNCTION("""COMPUTED_VALUE"""),4.0)</f>
        <v>4</v>
      </c>
      <c r="H285" s="17">
        <f>IFERROR(__xludf.DUMMYFUNCTION("""COMPUTED_VALUE"""),0.265)</f>
        <v>0.265</v>
      </c>
      <c r="I285" s="17">
        <f>IFERROR(__xludf.DUMMYFUNCTION("""COMPUTED_VALUE"""),0.303)</f>
        <v>0.303</v>
      </c>
      <c r="J285" s="17">
        <f>IFERROR(__xludf.DUMMYFUNCTION("""COMPUTED_VALUE"""),56.0)</f>
        <v>56</v>
      </c>
      <c r="K285" s="17">
        <f>IFERROR(__xludf.DUMMYFUNCTION("""COMPUTED_VALUE"""),10.0)</f>
        <v>10</v>
      </c>
      <c r="L285" s="17">
        <f>IFERROR(__xludf.DUMMYFUNCTION("""COMPUTED_VALUE"""),1.0)</f>
        <v>1</v>
      </c>
      <c r="M285" s="17">
        <f>IFERROR(__xludf.DUMMYFUNCTION("""COMPUTED_VALUE"""),10.0)</f>
        <v>10</v>
      </c>
      <c r="N285" s="17">
        <f>IFERROR(__xludf.DUMMYFUNCTION("""COMPUTED_VALUE"""),40.0)</f>
        <v>40</v>
      </c>
      <c r="O285" s="17">
        <f>IFERROR(__xludf.DUMMYFUNCTION("""COMPUTED_VALUE"""),0.396)</f>
        <v>0.396</v>
      </c>
      <c r="P285" s="17">
        <f>IFERROR(__xludf.DUMMYFUNCTION("""COMPUTED_VALUE"""),0.699)</f>
        <v>0.699</v>
      </c>
      <c r="Q285" s="34">
        <f>IFERROR(__xludf.DUMMYFUNCTION("""COMPUTED_VALUE"""),0.02)</f>
        <v>0.02</v>
      </c>
      <c r="R285" s="34">
        <f>IFERROR(__xludf.DUMMYFUNCTION("""COMPUTED_VALUE"""),0.02)</f>
        <v>0.02</v>
      </c>
      <c r="S285" s="34">
        <f>IFERROR(__xludf.DUMMYFUNCTION("""COMPUTED_VALUE"""),0.02)</f>
        <v>0.02</v>
      </c>
      <c r="T285" s="17" t="str">
        <f t="shared" si="1"/>
        <v>Amed Rosario</v>
      </c>
    </row>
    <row r="286">
      <c r="A286" s="17">
        <f>IFERROR(__xludf.DUMMYFUNCTION("""COMPUTED_VALUE"""),286.0)</f>
        <v>286</v>
      </c>
      <c r="B286" s="17" t="str">
        <f>IFERROR(__xludf.DUMMYFUNCTION("""COMPUTED_VALUE"""),"George Valera (CLE - LF,RF,DH) MiLB")</f>
        <v>George Valera (CLE - LF,RF,DH) MiLB</v>
      </c>
      <c r="C286" s="17">
        <f>IFERROR(__xludf.DUMMYFUNCTION("""COMPUTED_VALUE"""),252.0)</f>
        <v>252</v>
      </c>
      <c r="D286" s="17">
        <f>IFERROR(__xludf.DUMMYFUNCTION("""COMPUTED_VALUE"""),31.0)</f>
        <v>31</v>
      </c>
      <c r="E286" s="17">
        <f>IFERROR(__xludf.DUMMYFUNCTION("""COMPUTED_VALUE"""),9.0)</f>
        <v>9</v>
      </c>
      <c r="F286" s="17">
        <f>IFERROR(__xludf.DUMMYFUNCTION("""COMPUTED_VALUE"""),32.0)</f>
        <v>32</v>
      </c>
      <c r="G286" s="17">
        <f>IFERROR(__xludf.DUMMYFUNCTION("""COMPUTED_VALUE"""),1.0)</f>
        <v>1</v>
      </c>
      <c r="H286" s="17">
        <f>IFERROR(__xludf.DUMMYFUNCTION("""COMPUTED_VALUE"""),0.23)</f>
        <v>0.23</v>
      </c>
      <c r="I286" s="17">
        <f>IFERROR(__xludf.DUMMYFUNCTION("""COMPUTED_VALUE"""),0.307)</f>
        <v>0.307</v>
      </c>
      <c r="J286" s="17">
        <f>IFERROR(__xludf.DUMMYFUNCTION("""COMPUTED_VALUE"""),58.0)</f>
        <v>58</v>
      </c>
      <c r="K286" s="17">
        <f>IFERROR(__xludf.DUMMYFUNCTION("""COMPUTED_VALUE"""),11.0)</f>
        <v>11</v>
      </c>
      <c r="L286" s="17">
        <f>IFERROR(__xludf.DUMMYFUNCTION("""COMPUTED_VALUE"""),1.0)</f>
        <v>1</v>
      </c>
      <c r="M286" s="17">
        <f>IFERROR(__xludf.DUMMYFUNCTION("""COMPUTED_VALUE"""),27.0)</f>
        <v>27</v>
      </c>
      <c r="N286" s="17">
        <f>IFERROR(__xludf.DUMMYFUNCTION("""COMPUTED_VALUE"""),73.0)</f>
        <v>73</v>
      </c>
      <c r="O286" s="17">
        <f>IFERROR(__xludf.DUMMYFUNCTION("""COMPUTED_VALUE"""),0.385)</f>
        <v>0.385</v>
      </c>
      <c r="P286" s="17">
        <f>IFERROR(__xludf.DUMMYFUNCTION("""COMPUTED_VALUE"""),0.692)</f>
        <v>0.692</v>
      </c>
      <c r="Q286" s="34">
        <f>IFERROR(__xludf.DUMMYFUNCTION("""COMPUTED_VALUE"""),0.0)</f>
        <v>0</v>
      </c>
      <c r="R286" s="34">
        <f>IFERROR(__xludf.DUMMYFUNCTION("""COMPUTED_VALUE"""),0.0)</f>
        <v>0</v>
      </c>
      <c r="S286" s="34">
        <f>IFERROR(__xludf.DUMMYFUNCTION("""COMPUTED_VALUE"""),0.0)</f>
        <v>0</v>
      </c>
      <c r="T286" s="17" t="str">
        <f t="shared" si="1"/>
        <v>George Valera</v>
      </c>
    </row>
    <row r="287">
      <c r="A287" s="17">
        <f>IFERROR(__xludf.DUMMYFUNCTION("""COMPUTED_VALUE"""),287.0)</f>
        <v>287</v>
      </c>
      <c r="B287" s="17" t="str">
        <f>IFERROR(__xludf.DUMMYFUNCTION("""COMPUTED_VALUE"""),"Kody Clemens (MIN - 1B,2B,LF,RF)")</f>
        <v>Kody Clemens (MIN - 1B,2B,LF,RF)</v>
      </c>
      <c r="C287" s="17">
        <f>IFERROR(__xludf.DUMMYFUNCTION("""COMPUTED_VALUE"""),212.0)</f>
        <v>212</v>
      </c>
      <c r="D287" s="17">
        <f>IFERROR(__xludf.DUMMYFUNCTION("""COMPUTED_VALUE"""),28.0)</f>
        <v>28</v>
      </c>
      <c r="E287" s="17">
        <f>IFERROR(__xludf.DUMMYFUNCTION("""COMPUTED_VALUE"""),9.0)</f>
        <v>9</v>
      </c>
      <c r="F287" s="17">
        <f>IFERROR(__xludf.DUMMYFUNCTION("""COMPUTED_VALUE"""),30.0)</f>
        <v>30</v>
      </c>
      <c r="G287" s="17">
        <f>IFERROR(__xludf.DUMMYFUNCTION("""COMPUTED_VALUE"""),4.0)</f>
        <v>4</v>
      </c>
      <c r="H287" s="17">
        <f>IFERROR(__xludf.DUMMYFUNCTION("""COMPUTED_VALUE"""),0.226)</f>
        <v>0.226</v>
      </c>
      <c r="I287" s="17">
        <f>IFERROR(__xludf.DUMMYFUNCTION("""COMPUTED_VALUE"""),0.291)</f>
        <v>0.291</v>
      </c>
      <c r="J287" s="17">
        <f>IFERROR(__xludf.DUMMYFUNCTION("""COMPUTED_VALUE"""),48.0)</f>
        <v>48</v>
      </c>
      <c r="K287" s="17">
        <f>IFERROR(__xludf.DUMMYFUNCTION("""COMPUTED_VALUE"""),9.0)</f>
        <v>9</v>
      </c>
      <c r="L287" s="17">
        <f>IFERROR(__xludf.DUMMYFUNCTION("""COMPUTED_VALUE"""),2.0)</f>
        <v>2</v>
      </c>
      <c r="M287" s="17">
        <f>IFERROR(__xludf.DUMMYFUNCTION("""COMPUTED_VALUE"""),18.0)</f>
        <v>18</v>
      </c>
      <c r="N287" s="17">
        <f>IFERROR(__xludf.DUMMYFUNCTION("""COMPUTED_VALUE"""),58.0)</f>
        <v>58</v>
      </c>
      <c r="O287" s="17">
        <f>IFERROR(__xludf.DUMMYFUNCTION("""COMPUTED_VALUE"""),0.416)</f>
        <v>0.416</v>
      </c>
      <c r="P287" s="17">
        <f>IFERROR(__xludf.DUMMYFUNCTION("""COMPUTED_VALUE"""),0.707)</f>
        <v>0.707</v>
      </c>
      <c r="Q287" s="34">
        <f>IFERROR(__xludf.DUMMYFUNCTION("""COMPUTED_VALUE"""),0.01)</f>
        <v>0.01</v>
      </c>
      <c r="R287" s="34">
        <f>IFERROR(__xludf.DUMMYFUNCTION("""COMPUTED_VALUE"""),0.01)</f>
        <v>0.01</v>
      </c>
      <c r="S287" s="34">
        <f>IFERROR(__xludf.DUMMYFUNCTION("""COMPUTED_VALUE"""),0.01)</f>
        <v>0.01</v>
      </c>
      <c r="T287" s="17" t="str">
        <f t="shared" si="1"/>
        <v>Kody Clemens</v>
      </c>
    </row>
    <row r="288">
      <c r="A288" s="17">
        <f>IFERROR(__xludf.DUMMYFUNCTION("""COMPUTED_VALUE"""),288.0)</f>
        <v>288</v>
      </c>
      <c r="B288" s="17" t="str">
        <f>IFERROR(__xludf.DUMMYFUNCTION("""COMPUTED_VALUE"""),"Carson Williams (TB - SS) MiLB")</f>
        <v>Carson Williams (TB - SS) MiLB</v>
      </c>
      <c r="C288" s="17">
        <f>IFERROR(__xludf.DUMMYFUNCTION("""COMPUTED_VALUE"""),244.0)</f>
        <v>244</v>
      </c>
      <c r="D288" s="17">
        <f>IFERROR(__xludf.DUMMYFUNCTION("""COMPUTED_VALUE"""),31.0)</f>
        <v>31</v>
      </c>
      <c r="E288" s="17">
        <f>IFERROR(__xludf.DUMMYFUNCTION("""COMPUTED_VALUE"""),9.0)</f>
        <v>9</v>
      </c>
      <c r="F288" s="17">
        <f>IFERROR(__xludf.DUMMYFUNCTION("""COMPUTED_VALUE"""),31.0)</f>
        <v>31</v>
      </c>
      <c r="G288" s="17">
        <f>IFERROR(__xludf.DUMMYFUNCTION("""COMPUTED_VALUE"""),7.0)</f>
        <v>7</v>
      </c>
      <c r="H288" s="17">
        <f>IFERROR(__xludf.DUMMYFUNCTION("""COMPUTED_VALUE"""),0.21)</f>
        <v>0.21</v>
      </c>
      <c r="I288" s="17">
        <f>IFERROR(__xludf.DUMMYFUNCTION("""COMPUTED_VALUE"""),0.278)</f>
        <v>0.278</v>
      </c>
      <c r="J288" s="17">
        <f>IFERROR(__xludf.DUMMYFUNCTION("""COMPUTED_VALUE"""),51.0)</f>
        <v>51</v>
      </c>
      <c r="K288" s="17">
        <f>IFERROR(__xludf.DUMMYFUNCTION("""COMPUTED_VALUE"""),10.0)</f>
        <v>10</v>
      </c>
      <c r="L288" s="17">
        <f>IFERROR(__xludf.DUMMYFUNCTION("""COMPUTED_VALUE"""),2.0)</f>
        <v>2</v>
      </c>
      <c r="M288" s="17">
        <f>IFERROR(__xludf.DUMMYFUNCTION("""COMPUTED_VALUE"""),22.0)</f>
        <v>22</v>
      </c>
      <c r="N288" s="17">
        <f>IFERROR(__xludf.DUMMYFUNCTION("""COMPUTED_VALUE"""),93.0)</f>
        <v>93</v>
      </c>
      <c r="O288" s="17">
        <f>IFERROR(__xludf.DUMMYFUNCTION("""COMPUTED_VALUE"""),0.371)</f>
        <v>0.371</v>
      </c>
      <c r="P288" s="17">
        <f>IFERROR(__xludf.DUMMYFUNCTION("""COMPUTED_VALUE"""),0.649)</f>
        <v>0.649</v>
      </c>
      <c r="Q288" s="34">
        <f>IFERROR(__xludf.DUMMYFUNCTION("""COMPUTED_VALUE"""),0.01)</f>
        <v>0.01</v>
      </c>
      <c r="R288" s="34">
        <f>IFERROR(__xludf.DUMMYFUNCTION("""COMPUTED_VALUE"""),0.01)</f>
        <v>0.01</v>
      </c>
      <c r="S288" s="34">
        <f>IFERROR(__xludf.DUMMYFUNCTION("""COMPUTED_VALUE"""),0.01)</f>
        <v>0.01</v>
      </c>
      <c r="T288" s="17" t="str">
        <f t="shared" si="1"/>
        <v>Carson Williams</v>
      </c>
    </row>
    <row r="289">
      <c r="A289" s="17">
        <f>IFERROR(__xludf.DUMMYFUNCTION("""COMPUTED_VALUE"""),289.0)</f>
        <v>289</v>
      </c>
      <c r="B289" s="17" t="str">
        <f>IFERROR(__xludf.DUMMYFUNCTION("""COMPUTED_VALUE"""),"Luis Campusano (SD - C,DH)")</f>
        <v>Luis Campusano (SD - C,DH)</v>
      </c>
      <c r="C289" s="17">
        <f>IFERROR(__xludf.DUMMYFUNCTION("""COMPUTED_VALUE"""),217.0)</f>
        <v>217</v>
      </c>
      <c r="D289" s="17">
        <f>IFERROR(__xludf.DUMMYFUNCTION("""COMPUTED_VALUE"""),29.0)</f>
        <v>29</v>
      </c>
      <c r="E289" s="17">
        <f>IFERROR(__xludf.DUMMYFUNCTION("""COMPUTED_VALUE"""),8.0)</f>
        <v>8</v>
      </c>
      <c r="F289" s="17">
        <f>IFERROR(__xludf.DUMMYFUNCTION("""COMPUTED_VALUE"""),29.0)</f>
        <v>29</v>
      </c>
      <c r="G289" s="17">
        <f>IFERROR(__xludf.DUMMYFUNCTION("""COMPUTED_VALUE"""),1.0)</f>
        <v>1</v>
      </c>
      <c r="H289" s="17">
        <f>IFERROR(__xludf.DUMMYFUNCTION("""COMPUTED_VALUE"""),0.245)</f>
        <v>0.245</v>
      </c>
      <c r="I289" s="17">
        <f>IFERROR(__xludf.DUMMYFUNCTION("""COMPUTED_VALUE"""),0.318)</f>
        <v>0.318</v>
      </c>
      <c r="J289" s="17">
        <f>IFERROR(__xludf.DUMMYFUNCTION("""COMPUTED_VALUE"""),53.0)</f>
        <v>53</v>
      </c>
      <c r="K289" s="17">
        <f>IFERROR(__xludf.DUMMYFUNCTION("""COMPUTED_VALUE"""),10.0)</f>
        <v>10</v>
      </c>
      <c r="L289" s="17">
        <f>IFERROR(__xludf.DUMMYFUNCTION("""COMPUTED_VALUE"""),0.0)</f>
        <v>0</v>
      </c>
      <c r="M289" s="17">
        <f>IFERROR(__xludf.DUMMYFUNCTION("""COMPUTED_VALUE"""),22.0)</f>
        <v>22</v>
      </c>
      <c r="N289" s="17">
        <f>IFERROR(__xludf.DUMMYFUNCTION("""COMPUTED_VALUE"""),50.0)</f>
        <v>50</v>
      </c>
      <c r="O289" s="17">
        <f>IFERROR(__xludf.DUMMYFUNCTION("""COMPUTED_VALUE"""),0.402)</f>
        <v>0.402</v>
      </c>
      <c r="P289" s="17">
        <f>IFERROR(__xludf.DUMMYFUNCTION("""COMPUTED_VALUE"""),0.721)</f>
        <v>0.721</v>
      </c>
      <c r="Q289" s="34">
        <f>IFERROR(__xludf.DUMMYFUNCTION("""COMPUTED_VALUE"""),0.01)</f>
        <v>0.01</v>
      </c>
      <c r="R289" s="34">
        <f>IFERROR(__xludf.DUMMYFUNCTION("""COMPUTED_VALUE"""),0.01)</f>
        <v>0.01</v>
      </c>
      <c r="S289" s="34">
        <f>IFERROR(__xludf.DUMMYFUNCTION("""COMPUTED_VALUE"""),0.01)</f>
        <v>0.01</v>
      </c>
      <c r="T289" s="17" t="str">
        <f t="shared" si="1"/>
        <v>Luis Campusano</v>
      </c>
    </row>
    <row r="290">
      <c r="A290" s="17">
        <f>IFERROR(__xludf.DUMMYFUNCTION("""COMPUTED_VALUE"""),290.0)</f>
        <v>290</v>
      </c>
      <c r="B290" s="17" t="str">
        <f>IFERROR(__xludf.DUMMYFUNCTION("""COMPUTED_VALUE"""),"Gabriel Arias (CLE - 2B,SS) IL10")</f>
        <v>Gabriel Arias (CLE - 2B,SS) IL10</v>
      </c>
      <c r="C290" s="17">
        <f>IFERROR(__xludf.DUMMYFUNCTION("""COMPUTED_VALUE"""),247.0)</f>
        <v>247</v>
      </c>
      <c r="D290" s="17">
        <f>IFERROR(__xludf.DUMMYFUNCTION("""COMPUTED_VALUE"""),29.0)</f>
        <v>29</v>
      </c>
      <c r="E290" s="17">
        <f>IFERROR(__xludf.DUMMYFUNCTION("""COMPUTED_VALUE"""),8.0)</f>
        <v>8</v>
      </c>
      <c r="F290" s="17">
        <f>IFERROR(__xludf.DUMMYFUNCTION("""COMPUTED_VALUE"""),29.0)</f>
        <v>29</v>
      </c>
      <c r="G290" s="17">
        <f>IFERROR(__xludf.DUMMYFUNCTION("""COMPUTED_VALUE"""),5.0)</f>
        <v>5</v>
      </c>
      <c r="H290" s="17">
        <f>IFERROR(__xludf.DUMMYFUNCTION("""COMPUTED_VALUE"""),0.229)</f>
        <v>0.229</v>
      </c>
      <c r="I290" s="17">
        <f>IFERROR(__xludf.DUMMYFUNCTION("""COMPUTED_VALUE"""),0.287)</f>
        <v>0.287</v>
      </c>
      <c r="J290" s="17">
        <f>IFERROR(__xludf.DUMMYFUNCTION("""COMPUTED_VALUE"""),57.0)</f>
        <v>57</v>
      </c>
      <c r="K290" s="17">
        <f>IFERROR(__xludf.DUMMYFUNCTION("""COMPUTED_VALUE"""),12.0)</f>
        <v>12</v>
      </c>
      <c r="L290" s="17">
        <f>IFERROR(__xludf.DUMMYFUNCTION("""COMPUTED_VALUE"""),1.0)</f>
        <v>1</v>
      </c>
      <c r="M290" s="17">
        <f>IFERROR(__xludf.DUMMYFUNCTION("""COMPUTED_VALUE"""),18.0)</f>
        <v>18</v>
      </c>
      <c r="N290" s="17">
        <f>IFERROR(__xludf.DUMMYFUNCTION("""COMPUTED_VALUE"""),84.0)</f>
        <v>84</v>
      </c>
      <c r="O290" s="17">
        <f>IFERROR(__xludf.DUMMYFUNCTION("""COMPUTED_VALUE"""),0.376)</f>
        <v>0.376</v>
      </c>
      <c r="P290" s="17">
        <f>IFERROR(__xludf.DUMMYFUNCTION("""COMPUTED_VALUE"""),0.663)</f>
        <v>0.663</v>
      </c>
      <c r="Q290" s="34">
        <f>IFERROR(__xludf.DUMMYFUNCTION("""COMPUTED_VALUE"""),0.01)</f>
        <v>0.01</v>
      </c>
      <c r="R290" s="34">
        <f>IFERROR(__xludf.DUMMYFUNCTION("""COMPUTED_VALUE"""),0.01)</f>
        <v>0.01</v>
      </c>
      <c r="S290" s="34">
        <f>IFERROR(__xludf.DUMMYFUNCTION("""COMPUTED_VALUE"""),0.0)</f>
        <v>0</v>
      </c>
      <c r="T290" s="17" t="str">
        <f t="shared" si="1"/>
        <v>Gabriel Arias</v>
      </c>
    </row>
    <row r="291">
      <c r="A291" s="17">
        <f>IFERROR(__xludf.DUMMYFUNCTION("""COMPUTED_VALUE"""),291.0)</f>
        <v>291</v>
      </c>
      <c r="B291" s="17" t="str">
        <f>IFERROR(__xludf.DUMMYFUNCTION("""COMPUTED_VALUE"""),"Bryce Eldridge (SF - 1B,DH) MiLB")</f>
        <v>Bryce Eldridge (SF - 1B,DH) MiLB</v>
      </c>
      <c r="C291" s="17">
        <f>IFERROR(__xludf.DUMMYFUNCTION("""COMPUTED_VALUE"""),233.0)</f>
        <v>233</v>
      </c>
      <c r="D291" s="17">
        <f>IFERROR(__xludf.DUMMYFUNCTION("""COMPUTED_VALUE"""),28.0)</f>
        <v>28</v>
      </c>
      <c r="E291" s="17">
        <f>IFERROR(__xludf.DUMMYFUNCTION("""COMPUTED_VALUE"""),9.0)</f>
        <v>9</v>
      </c>
      <c r="F291" s="17">
        <f>IFERROR(__xludf.DUMMYFUNCTION("""COMPUTED_VALUE"""),33.0)</f>
        <v>33</v>
      </c>
      <c r="G291" s="17">
        <f>IFERROR(__xludf.DUMMYFUNCTION("""COMPUTED_VALUE"""),1.0)</f>
        <v>1</v>
      </c>
      <c r="H291" s="17">
        <f>IFERROR(__xludf.DUMMYFUNCTION("""COMPUTED_VALUE"""),0.232)</f>
        <v>0.232</v>
      </c>
      <c r="I291" s="17">
        <f>IFERROR(__xludf.DUMMYFUNCTION("""COMPUTED_VALUE"""),0.308)</f>
        <v>0.308</v>
      </c>
      <c r="J291" s="17">
        <f>IFERROR(__xludf.DUMMYFUNCTION("""COMPUTED_VALUE"""),54.0)</f>
        <v>54</v>
      </c>
      <c r="K291" s="17">
        <f>IFERROR(__xludf.DUMMYFUNCTION("""COMPUTED_VALUE"""),12.0)</f>
        <v>12</v>
      </c>
      <c r="L291" s="17">
        <f>IFERROR(__xludf.DUMMYFUNCTION("""COMPUTED_VALUE"""),0.0)</f>
        <v>0</v>
      </c>
      <c r="M291" s="17">
        <f>IFERROR(__xludf.DUMMYFUNCTION("""COMPUTED_VALUE"""),23.0)</f>
        <v>23</v>
      </c>
      <c r="N291" s="17">
        <f>IFERROR(__xludf.DUMMYFUNCTION("""COMPUTED_VALUE"""),79.0)</f>
        <v>79</v>
      </c>
      <c r="O291" s="17">
        <f>IFERROR(__xludf.DUMMYFUNCTION("""COMPUTED_VALUE"""),0.406)</f>
        <v>0.406</v>
      </c>
      <c r="P291" s="17">
        <f>IFERROR(__xludf.DUMMYFUNCTION("""COMPUTED_VALUE"""),0.714)</f>
        <v>0.714</v>
      </c>
      <c r="Q291" s="34">
        <f>IFERROR(__xludf.DUMMYFUNCTION("""COMPUTED_VALUE"""),0.06)</f>
        <v>0.06</v>
      </c>
      <c r="R291" s="34">
        <f>IFERROR(__xludf.DUMMYFUNCTION("""COMPUTED_VALUE"""),0.1)</f>
        <v>0.1</v>
      </c>
      <c r="S291" s="34">
        <f>IFERROR(__xludf.DUMMYFUNCTION("""COMPUTED_VALUE"""),0.02)</f>
        <v>0.02</v>
      </c>
      <c r="T291" s="17" t="str">
        <f t="shared" si="1"/>
        <v>Bryce Eldridge</v>
      </c>
    </row>
    <row r="292">
      <c r="A292" s="17">
        <f>IFERROR(__xludf.DUMMYFUNCTION("""COMPUTED_VALUE"""),292.0)</f>
        <v>292</v>
      </c>
      <c r="B292" s="17" t="str">
        <f>IFERROR(__xludf.DUMMYFUNCTION("""COMPUTED_VALUE"""),"Patrick Bailey (SF - C)")</f>
        <v>Patrick Bailey (SF - C)</v>
      </c>
      <c r="C292" s="17">
        <f>IFERROR(__xludf.DUMMYFUNCTION("""COMPUTED_VALUE"""),330.0)</f>
        <v>330</v>
      </c>
      <c r="D292" s="17">
        <f>IFERROR(__xludf.DUMMYFUNCTION("""COMPUTED_VALUE"""),36.0)</f>
        <v>36</v>
      </c>
      <c r="E292" s="17">
        <f>IFERROR(__xludf.DUMMYFUNCTION("""COMPUTED_VALUE"""),7.0)</f>
        <v>7</v>
      </c>
      <c r="F292" s="17">
        <f>IFERROR(__xludf.DUMMYFUNCTION("""COMPUTED_VALUE"""),36.0)</f>
        <v>36</v>
      </c>
      <c r="G292" s="17">
        <f>IFERROR(__xludf.DUMMYFUNCTION("""COMPUTED_VALUE"""),3.0)</f>
        <v>3</v>
      </c>
      <c r="H292" s="17">
        <f>IFERROR(__xludf.DUMMYFUNCTION("""COMPUTED_VALUE"""),0.22)</f>
        <v>0.22</v>
      </c>
      <c r="I292" s="17">
        <f>IFERROR(__xludf.DUMMYFUNCTION("""COMPUTED_VALUE"""),0.284)</f>
        <v>0.284</v>
      </c>
      <c r="J292" s="17">
        <f>IFERROR(__xludf.DUMMYFUNCTION("""COMPUTED_VALUE"""),72.0)</f>
        <v>72</v>
      </c>
      <c r="K292" s="17">
        <f>IFERROR(__xludf.DUMMYFUNCTION("""COMPUTED_VALUE"""),14.0)</f>
        <v>14</v>
      </c>
      <c r="L292" s="17">
        <f>IFERROR(__xludf.DUMMYFUNCTION("""COMPUTED_VALUE"""),1.0)</f>
        <v>1</v>
      </c>
      <c r="M292" s="17">
        <f>IFERROR(__xludf.DUMMYFUNCTION("""COMPUTED_VALUE"""),29.0)</f>
        <v>29</v>
      </c>
      <c r="N292" s="17">
        <f>IFERROR(__xludf.DUMMYFUNCTION("""COMPUTED_VALUE"""),94.0)</f>
        <v>94</v>
      </c>
      <c r="O292" s="17">
        <f>IFERROR(__xludf.DUMMYFUNCTION("""COMPUTED_VALUE"""),0.335)</f>
        <v>0.335</v>
      </c>
      <c r="P292" s="17">
        <f>IFERROR(__xludf.DUMMYFUNCTION("""COMPUTED_VALUE"""),0.619)</f>
        <v>0.619</v>
      </c>
      <c r="Q292" s="34">
        <f>IFERROR(__xludf.DUMMYFUNCTION("""COMPUTED_VALUE"""),0.01)</f>
        <v>0.01</v>
      </c>
      <c r="R292" s="34">
        <f>IFERROR(__xludf.DUMMYFUNCTION("""COMPUTED_VALUE"""),0.01)</f>
        <v>0.01</v>
      </c>
      <c r="S292" s="34">
        <f>IFERROR(__xludf.DUMMYFUNCTION("""COMPUTED_VALUE"""),0.01)</f>
        <v>0.01</v>
      </c>
      <c r="T292" s="17" t="str">
        <f t="shared" si="1"/>
        <v>Patrick Bailey</v>
      </c>
    </row>
    <row r="293">
      <c r="A293" s="17">
        <f>IFERROR(__xludf.DUMMYFUNCTION("""COMPUTED_VALUE"""),293.0)</f>
        <v>293</v>
      </c>
      <c r="B293" s="17" t="str">
        <f>IFERROR(__xludf.DUMMYFUNCTION("""COMPUTED_VALUE"""),"Zack Gelof (ATH - 2B,CF)")</f>
        <v>Zack Gelof (ATH - 2B,CF)</v>
      </c>
      <c r="C293" s="17">
        <f>IFERROR(__xludf.DUMMYFUNCTION("""COMPUTED_VALUE"""),192.0)</f>
        <v>192</v>
      </c>
      <c r="D293" s="17">
        <f>IFERROR(__xludf.DUMMYFUNCTION("""COMPUTED_VALUE"""),27.0)</f>
        <v>27</v>
      </c>
      <c r="E293" s="17">
        <f>IFERROR(__xludf.DUMMYFUNCTION("""COMPUTED_VALUE"""),8.0)</f>
        <v>8</v>
      </c>
      <c r="F293" s="17">
        <f>IFERROR(__xludf.DUMMYFUNCTION("""COMPUTED_VALUE"""),25.0)</f>
        <v>25</v>
      </c>
      <c r="G293" s="17">
        <f>IFERROR(__xludf.DUMMYFUNCTION("""COMPUTED_VALUE"""),7.0)</f>
        <v>7</v>
      </c>
      <c r="H293" s="17">
        <f>IFERROR(__xludf.DUMMYFUNCTION("""COMPUTED_VALUE"""),0.228)</f>
        <v>0.228</v>
      </c>
      <c r="I293" s="17">
        <f>IFERROR(__xludf.DUMMYFUNCTION("""COMPUTED_VALUE"""),0.298)</f>
        <v>0.298</v>
      </c>
      <c r="J293" s="17">
        <f>IFERROR(__xludf.DUMMYFUNCTION("""COMPUTED_VALUE"""),44.0)</f>
        <v>44</v>
      </c>
      <c r="K293" s="17">
        <f>IFERROR(__xludf.DUMMYFUNCTION("""COMPUTED_VALUE"""),9.0)</f>
        <v>9</v>
      </c>
      <c r="L293" s="17">
        <f>IFERROR(__xludf.DUMMYFUNCTION("""COMPUTED_VALUE"""),0.0)</f>
        <v>0</v>
      </c>
      <c r="M293" s="17">
        <f>IFERROR(__xludf.DUMMYFUNCTION("""COMPUTED_VALUE"""),19.0)</f>
        <v>19</v>
      </c>
      <c r="N293" s="17">
        <f>IFERROR(__xludf.DUMMYFUNCTION("""COMPUTED_VALUE"""),67.0)</f>
        <v>67</v>
      </c>
      <c r="O293" s="17">
        <f>IFERROR(__xludf.DUMMYFUNCTION("""COMPUTED_VALUE"""),0.396)</f>
        <v>0.396</v>
      </c>
      <c r="P293" s="17">
        <f>IFERROR(__xludf.DUMMYFUNCTION("""COMPUTED_VALUE"""),0.694)</f>
        <v>0.694</v>
      </c>
      <c r="Q293" s="34">
        <f>IFERROR(__xludf.DUMMYFUNCTION("""COMPUTED_VALUE"""),0.0)</f>
        <v>0</v>
      </c>
      <c r="R293" s="34">
        <f>IFERROR(__xludf.DUMMYFUNCTION("""COMPUTED_VALUE"""),0.0)</f>
        <v>0</v>
      </c>
      <c r="S293" s="34">
        <f>IFERROR(__xludf.DUMMYFUNCTION("""COMPUTED_VALUE"""),0.0)</f>
        <v>0</v>
      </c>
      <c r="T293" s="17" t="str">
        <f t="shared" si="1"/>
        <v>Zack Gelof</v>
      </c>
    </row>
    <row r="294">
      <c r="A294" s="17">
        <f>IFERROR(__xludf.DUMMYFUNCTION("""COMPUTED_VALUE"""),294.0)</f>
        <v>294</v>
      </c>
      <c r="B294" s="17" t="str">
        <f>IFERROR(__xludf.DUMMYFUNCTION("""COMPUTED_VALUE"""),"Ildemaro Vargas (ARI - 1B,2B)")</f>
        <v>Ildemaro Vargas (ARI - 1B,2B)</v>
      </c>
      <c r="C294" s="17">
        <f>IFERROR(__xludf.DUMMYFUNCTION("""COMPUTED_VALUE"""),250.0)</f>
        <v>250</v>
      </c>
      <c r="D294" s="17">
        <f>IFERROR(__xludf.DUMMYFUNCTION("""COMPUTED_VALUE"""),28.0)</f>
        <v>28</v>
      </c>
      <c r="E294" s="17">
        <f>IFERROR(__xludf.DUMMYFUNCTION("""COMPUTED_VALUE"""),4.0)</f>
        <v>4</v>
      </c>
      <c r="F294" s="17">
        <f>IFERROR(__xludf.DUMMYFUNCTION("""COMPUTED_VALUE"""),30.0)</f>
        <v>30</v>
      </c>
      <c r="G294" s="17">
        <f>IFERROR(__xludf.DUMMYFUNCTION("""COMPUTED_VALUE"""),2.0)</f>
        <v>2</v>
      </c>
      <c r="H294" s="17">
        <f>IFERROR(__xludf.DUMMYFUNCTION("""COMPUTED_VALUE"""),0.256)</f>
        <v>0.256</v>
      </c>
      <c r="I294" s="17">
        <f>IFERROR(__xludf.DUMMYFUNCTION("""COMPUTED_VALUE"""),0.299)</f>
        <v>0.299</v>
      </c>
      <c r="J294" s="17">
        <f>IFERROR(__xludf.DUMMYFUNCTION("""COMPUTED_VALUE"""),64.0)</f>
        <v>64</v>
      </c>
      <c r="K294" s="17">
        <f>IFERROR(__xludf.DUMMYFUNCTION("""COMPUTED_VALUE"""),12.0)</f>
        <v>12</v>
      </c>
      <c r="L294" s="17">
        <f>IFERROR(__xludf.DUMMYFUNCTION("""COMPUTED_VALUE"""),2.0)</f>
        <v>2</v>
      </c>
      <c r="M294" s="17">
        <f>IFERROR(__xludf.DUMMYFUNCTION("""COMPUTED_VALUE"""),15.0)</f>
        <v>15</v>
      </c>
      <c r="N294" s="17">
        <f>IFERROR(__xludf.DUMMYFUNCTION("""COMPUTED_VALUE"""),33.0)</f>
        <v>33</v>
      </c>
      <c r="O294" s="17">
        <f>IFERROR(__xludf.DUMMYFUNCTION("""COMPUTED_VALUE"""),0.373)</f>
        <v>0.373</v>
      </c>
      <c r="P294" s="17">
        <f>IFERROR(__xludf.DUMMYFUNCTION("""COMPUTED_VALUE"""),0.672)</f>
        <v>0.672</v>
      </c>
      <c r="Q294" s="34">
        <f>IFERROR(__xludf.DUMMYFUNCTION("""COMPUTED_VALUE"""),0.63)</f>
        <v>0.63</v>
      </c>
      <c r="R294" s="34">
        <f>IFERROR(__xludf.DUMMYFUNCTION("""COMPUTED_VALUE"""),0.61)</f>
        <v>0.61</v>
      </c>
      <c r="S294" s="34">
        <f>IFERROR(__xludf.DUMMYFUNCTION("""COMPUTED_VALUE"""),0.65)</f>
        <v>0.65</v>
      </c>
      <c r="T294" s="17" t="str">
        <f t="shared" si="1"/>
        <v>Ildemaro Vargas</v>
      </c>
    </row>
    <row r="295">
      <c r="A295" s="17">
        <f>IFERROR(__xludf.DUMMYFUNCTION("""COMPUTED_VALUE"""),295.0)</f>
        <v>295</v>
      </c>
      <c r="B295" s="17" t="str">
        <f>IFERROR(__xludf.DUMMYFUNCTION("""COMPUTED_VALUE"""),"Sam Haggerty (TEX - LF,CF)")</f>
        <v>Sam Haggerty (TEX - LF,CF)</v>
      </c>
      <c r="C295" s="17">
        <f>IFERROR(__xludf.DUMMYFUNCTION("""COMPUTED_VALUE"""),209.0)</f>
        <v>209</v>
      </c>
      <c r="D295" s="17">
        <f>IFERROR(__xludf.DUMMYFUNCTION("""COMPUTED_VALUE"""),29.0)</f>
        <v>29</v>
      </c>
      <c r="E295" s="17">
        <f>IFERROR(__xludf.DUMMYFUNCTION("""COMPUTED_VALUE"""),3.0)</f>
        <v>3</v>
      </c>
      <c r="F295" s="17">
        <f>IFERROR(__xludf.DUMMYFUNCTION("""COMPUTED_VALUE"""),21.0)</f>
        <v>21</v>
      </c>
      <c r="G295" s="17">
        <f>IFERROR(__xludf.DUMMYFUNCTION("""COMPUTED_VALUE"""),12.0)</f>
        <v>12</v>
      </c>
      <c r="H295" s="17">
        <f>IFERROR(__xludf.DUMMYFUNCTION("""COMPUTED_VALUE"""),0.24)</f>
        <v>0.24</v>
      </c>
      <c r="I295" s="17">
        <f>IFERROR(__xludf.DUMMYFUNCTION("""COMPUTED_VALUE"""),0.314)</f>
        <v>0.314</v>
      </c>
      <c r="J295" s="17">
        <f>IFERROR(__xludf.DUMMYFUNCTION("""COMPUTED_VALUE"""),50.0)</f>
        <v>50</v>
      </c>
      <c r="K295" s="17">
        <f>IFERROR(__xludf.DUMMYFUNCTION("""COMPUTED_VALUE"""),9.0)</f>
        <v>9</v>
      </c>
      <c r="L295" s="17">
        <f>IFERROR(__xludf.DUMMYFUNCTION("""COMPUTED_VALUE"""),2.0)</f>
        <v>2</v>
      </c>
      <c r="M295" s="17">
        <f>IFERROR(__xludf.DUMMYFUNCTION("""COMPUTED_VALUE"""),20.0)</f>
        <v>20</v>
      </c>
      <c r="N295" s="17">
        <f>IFERROR(__xludf.DUMMYFUNCTION("""COMPUTED_VALUE"""),53.0)</f>
        <v>53</v>
      </c>
      <c r="O295" s="17">
        <f>IFERROR(__xludf.DUMMYFUNCTION("""COMPUTED_VALUE"""),0.349)</f>
        <v>0.349</v>
      </c>
      <c r="P295" s="17">
        <f>IFERROR(__xludf.DUMMYFUNCTION("""COMPUTED_VALUE"""),0.663)</f>
        <v>0.663</v>
      </c>
      <c r="Q295" s="34">
        <f>IFERROR(__xludf.DUMMYFUNCTION("""COMPUTED_VALUE"""),0.0)</f>
        <v>0</v>
      </c>
      <c r="R295" s="34">
        <f>IFERROR(__xludf.DUMMYFUNCTION("""COMPUTED_VALUE"""),0.0)</f>
        <v>0</v>
      </c>
      <c r="S295" s="34">
        <f>IFERROR(__xludf.DUMMYFUNCTION("""COMPUTED_VALUE"""),0.0)</f>
        <v>0</v>
      </c>
      <c r="T295" s="17" t="str">
        <f t="shared" si="1"/>
        <v>Sam Haggerty</v>
      </c>
    </row>
    <row r="296">
      <c r="A296" s="17">
        <f>IFERROR(__xludf.DUMMYFUNCTION("""COMPUTED_VALUE"""),296.0)</f>
        <v>296</v>
      </c>
      <c r="B296" s="17" t="str">
        <f>IFERROR(__xludf.DUMMYFUNCTION("""COMPUTED_VALUE"""),"Ramon Urias (STL - 2B,3B)")</f>
        <v>Ramon Urias (STL - 2B,3B)</v>
      </c>
      <c r="C296" s="17">
        <f>IFERROR(__xludf.DUMMYFUNCTION("""COMPUTED_VALUE"""),233.0)</f>
        <v>233</v>
      </c>
      <c r="D296" s="17">
        <f>IFERROR(__xludf.DUMMYFUNCTION("""COMPUTED_VALUE"""),28.0)</f>
        <v>28</v>
      </c>
      <c r="E296" s="17">
        <f>IFERROR(__xludf.DUMMYFUNCTION("""COMPUTED_VALUE"""),7.0)</f>
        <v>7</v>
      </c>
      <c r="F296" s="17">
        <f>IFERROR(__xludf.DUMMYFUNCTION("""COMPUTED_VALUE"""),28.0)</f>
        <v>28</v>
      </c>
      <c r="G296" s="17">
        <f>IFERROR(__xludf.DUMMYFUNCTION("""COMPUTED_VALUE"""),2.0)</f>
        <v>2</v>
      </c>
      <c r="H296" s="17">
        <f>IFERROR(__xludf.DUMMYFUNCTION("""COMPUTED_VALUE"""),0.244)</f>
        <v>0.244</v>
      </c>
      <c r="I296" s="17">
        <f>IFERROR(__xludf.DUMMYFUNCTION("""COMPUTED_VALUE"""),0.309)</f>
        <v>0.309</v>
      </c>
      <c r="J296" s="17">
        <f>IFERROR(__xludf.DUMMYFUNCTION("""COMPUTED_VALUE"""),57.0)</f>
        <v>57</v>
      </c>
      <c r="K296" s="17">
        <f>IFERROR(__xludf.DUMMYFUNCTION("""COMPUTED_VALUE"""),11.0)</f>
        <v>11</v>
      </c>
      <c r="L296" s="17">
        <f>IFERROR(__xludf.DUMMYFUNCTION("""COMPUTED_VALUE"""),1.0)</f>
        <v>1</v>
      </c>
      <c r="M296" s="17">
        <f>IFERROR(__xludf.DUMMYFUNCTION("""COMPUTED_VALUE"""),20.0)</f>
        <v>20</v>
      </c>
      <c r="N296" s="17">
        <f>IFERROR(__xludf.DUMMYFUNCTION("""COMPUTED_VALUE"""),56.0)</f>
        <v>56</v>
      </c>
      <c r="O296" s="17">
        <f>IFERROR(__xludf.DUMMYFUNCTION("""COMPUTED_VALUE"""),0.387)</f>
        <v>0.387</v>
      </c>
      <c r="P296" s="17">
        <f>IFERROR(__xludf.DUMMYFUNCTION("""COMPUTED_VALUE"""),0.696)</f>
        <v>0.696</v>
      </c>
      <c r="Q296" s="34">
        <f>IFERROR(__xludf.DUMMYFUNCTION("""COMPUTED_VALUE"""),0.0)</f>
        <v>0</v>
      </c>
      <c r="R296" s="34">
        <f>IFERROR(__xludf.DUMMYFUNCTION("""COMPUTED_VALUE"""),0.0)</f>
        <v>0</v>
      </c>
      <c r="S296" s="34">
        <f>IFERROR(__xludf.DUMMYFUNCTION("""COMPUTED_VALUE"""),0.0)</f>
        <v>0</v>
      </c>
      <c r="T296" s="17" t="str">
        <f t="shared" si="1"/>
        <v>Ramon Urias</v>
      </c>
    </row>
    <row r="297">
      <c r="A297" s="17">
        <f>IFERROR(__xludf.DUMMYFUNCTION("""COMPUTED_VALUE"""),297.0)</f>
        <v>297</v>
      </c>
      <c r="B297" s="17" t="str">
        <f>IFERROR(__xludf.DUMMYFUNCTION("""COMPUTED_VALUE"""),"Gavin Lux (TB - 2B,3B,LF,DH) IL10")</f>
        <v>Gavin Lux (TB - 2B,3B,LF,DH) IL10</v>
      </c>
      <c r="C297" s="17">
        <f>IFERROR(__xludf.DUMMYFUNCTION("""COMPUTED_VALUE"""),268.0)</f>
        <v>268</v>
      </c>
      <c r="D297" s="17">
        <f>IFERROR(__xludf.DUMMYFUNCTION("""COMPUTED_VALUE"""),33.0)</f>
        <v>33</v>
      </c>
      <c r="E297" s="17">
        <f>IFERROR(__xludf.DUMMYFUNCTION("""COMPUTED_VALUE"""),4.0)</f>
        <v>4</v>
      </c>
      <c r="F297" s="17">
        <f>IFERROR(__xludf.DUMMYFUNCTION("""COMPUTED_VALUE"""),28.0)</f>
        <v>28</v>
      </c>
      <c r="G297" s="17">
        <f>IFERROR(__xludf.DUMMYFUNCTION("""COMPUTED_VALUE"""),2.0)</f>
        <v>2</v>
      </c>
      <c r="H297" s="17">
        <f>IFERROR(__xludf.DUMMYFUNCTION("""COMPUTED_VALUE"""),0.246)</f>
        <v>0.246</v>
      </c>
      <c r="I297" s="17">
        <f>IFERROR(__xludf.DUMMYFUNCTION("""COMPUTED_VALUE"""),0.33)</f>
        <v>0.33</v>
      </c>
      <c r="J297" s="17">
        <f>IFERROR(__xludf.DUMMYFUNCTION("""COMPUTED_VALUE"""),66.0)</f>
        <v>66</v>
      </c>
      <c r="K297" s="17">
        <f>IFERROR(__xludf.DUMMYFUNCTION("""COMPUTED_VALUE"""),14.0)</f>
        <v>14</v>
      </c>
      <c r="L297" s="17">
        <f>IFERROR(__xludf.DUMMYFUNCTION("""COMPUTED_VALUE"""),1.0)</f>
        <v>1</v>
      </c>
      <c r="M297" s="17">
        <f>IFERROR(__xludf.DUMMYFUNCTION("""COMPUTED_VALUE"""),33.0)</f>
        <v>33</v>
      </c>
      <c r="N297" s="17">
        <f>IFERROR(__xludf.DUMMYFUNCTION("""COMPUTED_VALUE"""),68.0)</f>
        <v>68</v>
      </c>
      <c r="O297" s="17">
        <f>IFERROR(__xludf.DUMMYFUNCTION("""COMPUTED_VALUE"""),0.358)</f>
        <v>0.358</v>
      </c>
      <c r="P297" s="17">
        <f>IFERROR(__xludf.DUMMYFUNCTION("""COMPUTED_VALUE"""),0.688)</f>
        <v>0.688</v>
      </c>
      <c r="Q297" s="34">
        <f>IFERROR(__xludf.DUMMYFUNCTION("""COMPUTED_VALUE"""),0.01)</f>
        <v>0.01</v>
      </c>
      <c r="R297" s="34">
        <f>IFERROR(__xludf.DUMMYFUNCTION("""COMPUTED_VALUE"""),0.01)</f>
        <v>0.01</v>
      </c>
      <c r="S297" s="34">
        <f>IFERROR(__xludf.DUMMYFUNCTION("""COMPUTED_VALUE"""),0.01)</f>
        <v>0.01</v>
      </c>
      <c r="T297" s="17" t="str">
        <f t="shared" si="1"/>
        <v>Gavin Lux</v>
      </c>
    </row>
    <row r="298">
      <c r="A298" s="17">
        <f>IFERROR(__xludf.DUMMYFUNCTION("""COMPUTED_VALUE"""),298.0)</f>
        <v>298</v>
      </c>
      <c r="B298" s="17" t="str">
        <f>IFERROR(__xludf.DUMMYFUNCTION("""COMPUTED_VALUE"""),"Austin Martin (MIN - 2B,LF,CF,RF)")</f>
        <v>Austin Martin (MIN - 2B,LF,CF,RF)</v>
      </c>
      <c r="C298" s="17">
        <f>IFERROR(__xludf.DUMMYFUNCTION("""COMPUTED_VALUE"""),215.0)</f>
        <v>215</v>
      </c>
      <c r="D298" s="17">
        <f>IFERROR(__xludf.DUMMYFUNCTION("""COMPUTED_VALUE"""),30.0)</f>
        <v>30</v>
      </c>
      <c r="E298" s="17">
        <f>IFERROR(__xludf.DUMMYFUNCTION("""COMPUTED_VALUE"""),2.0)</f>
        <v>2</v>
      </c>
      <c r="F298" s="17">
        <f>IFERROR(__xludf.DUMMYFUNCTION("""COMPUTED_VALUE"""),20.0)</f>
        <v>20</v>
      </c>
      <c r="G298" s="17">
        <f>IFERROR(__xludf.DUMMYFUNCTION("""COMPUTED_VALUE"""),9.0)</f>
        <v>9</v>
      </c>
      <c r="H298" s="17">
        <f>IFERROR(__xludf.DUMMYFUNCTION("""COMPUTED_VALUE"""),0.256)</f>
        <v>0.256</v>
      </c>
      <c r="I298" s="17">
        <f>IFERROR(__xludf.DUMMYFUNCTION("""COMPUTED_VALUE"""),0.355)</f>
        <v>0.355</v>
      </c>
      <c r="J298" s="17">
        <f>IFERROR(__xludf.DUMMYFUNCTION("""COMPUTED_VALUE"""),55.0)</f>
        <v>55</v>
      </c>
      <c r="K298" s="17">
        <f>IFERROR(__xludf.DUMMYFUNCTION("""COMPUTED_VALUE"""),11.0)</f>
        <v>11</v>
      </c>
      <c r="L298" s="17">
        <f>IFERROR(__xludf.DUMMYFUNCTION("""COMPUTED_VALUE"""),1.0)</f>
        <v>1</v>
      </c>
      <c r="M298" s="17">
        <f>IFERROR(__xludf.DUMMYFUNCTION("""COMPUTED_VALUE"""),30.0)</f>
        <v>30</v>
      </c>
      <c r="N298" s="17">
        <f>IFERROR(__xludf.DUMMYFUNCTION("""COMPUTED_VALUE"""),43.0)</f>
        <v>43</v>
      </c>
      <c r="O298" s="17">
        <f>IFERROR(__xludf.DUMMYFUNCTION("""COMPUTED_VALUE"""),0.351)</f>
        <v>0.351</v>
      </c>
      <c r="P298" s="17">
        <f>IFERROR(__xludf.DUMMYFUNCTION("""COMPUTED_VALUE"""),0.705)</f>
        <v>0.705</v>
      </c>
      <c r="Q298" s="34">
        <f>IFERROR(__xludf.DUMMYFUNCTION("""COMPUTED_VALUE"""),0.02)</f>
        <v>0.02</v>
      </c>
      <c r="R298" s="34">
        <f>IFERROR(__xludf.DUMMYFUNCTION("""COMPUTED_VALUE"""),0.03)</f>
        <v>0.03</v>
      </c>
      <c r="S298" s="34">
        <f>IFERROR(__xludf.DUMMYFUNCTION("""COMPUTED_VALUE"""),0.01)</f>
        <v>0.01</v>
      </c>
      <c r="T298" s="17" t="str">
        <f t="shared" si="1"/>
        <v>Austin Martin</v>
      </c>
    </row>
    <row r="299">
      <c r="A299" s="17">
        <f>IFERROR(__xludf.DUMMYFUNCTION("""COMPUTED_VALUE"""),299.0)</f>
        <v>299</v>
      </c>
      <c r="B299" s="17" t="str">
        <f>IFERROR(__xludf.DUMMYFUNCTION("""COMPUTED_VALUE"""),"Daniel Schneemann (CLE - 2B,3B,SS,CF,RF)")</f>
        <v>Daniel Schneemann (CLE - 2B,3B,SS,CF,RF)</v>
      </c>
      <c r="C299" s="17">
        <f>IFERROR(__xludf.DUMMYFUNCTION("""COMPUTED_VALUE"""),240.0)</f>
        <v>240</v>
      </c>
      <c r="D299" s="17">
        <f>IFERROR(__xludf.DUMMYFUNCTION("""COMPUTED_VALUE"""),31.0)</f>
        <v>31</v>
      </c>
      <c r="E299" s="17">
        <f>IFERROR(__xludf.DUMMYFUNCTION("""COMPUTED_VALUE"""),7.0)</f>
        <v>7</v>
      </c>
      <c r="F299" s="17">
        <f>IFERROR(__xludf.DUMMYFUNCTION("""COMPUTED_VALUE"""),28.0)</f>
        <v>28</v>
      </c>
      <c r="G299" s="17">
        <f>IFERROR(__xludf.DUMMYFUNCTION("""COMPUTED_VALUE"""),5.0)</f>
        <v>5</v>
      </c>
      <c r="H299" s="17">
        <f>IFERROR(__xludf.DUMMYFUNCTION("""COMPUTED_VALUE"""),0.224)</f>
        <v>0.224</v>
      </c>
      <c r="I299" s="17">
        <f>IFERROR(__xludf.DUMMYFUNCTION("""COMPUTED_VALUE"""),0.303)</f>
        <v>0.303</v>
      </c>
      <c r="J299" s="17">
        <f>IFERROR(__xludf.DUMMYFUNCTION("""COMPUTED_VALUE"""),54.0)</f>
        <v>54</v>
      </c>
      <c r="K299" s="17">
        <f>IFERROR(__xludf.DUMMYFUNCTION("""COMPUTED_VALUE"""),12.0)</f>
        <v>12</v>
      </c>
      <c r="L299" s="17">
        <f>IFERROR(__xludf.DUMMYFUNCTION("""COMPUTED_VALUE"""),1.0)</f>
        <v>1</v>
      </c>
      <c r="M299" s="17">
        <f>IFERROR(__xludf.DUMMYFUNCTION("""COMPUTED_VALUE"""),27.0)</f>
        <v>27</v>
      </c>
      <c r="N299" s="17">
        <f>IFERROR(__xludf.DUMMYFUNCTION("""COMPUTED_VALUE"""),74.0)</f>
        <v>74</v>
      </c>
      <c r="O299" s="17">
        <f>IFERROR(__xludf.DUMMYFUNCTION("""COMPUTED_VALUE"""),0.369)</f>
        <v>0.369</v>
      </c>
      <c r="P299" s="17">
        <f>IFERROR(__xludf.DUMMYFUNCTION("""COMPUTED_VALUE"""),0.672)</f>
        <v>0.672</v>
      </c>
      <c r="Q299" s="34">
        <f>IFERROR(__xludf.DUMMYFUNCTION("""COMPUTED_VALUE"""),0.2)</f>
        <v>0.2</v>
      </c>
      <c r="R299" s="34">
        <f>IFERROR(__xludf.DUMMYFUNCTION("""COMPUTED_VALUE"""),0.28)</f>
        <v>0.28</v>
      </c>
      <c r="S299" s="34">
        <f>IFERROR(__xludf.DUMMYFUNCTION("""COMPUTED_VALUE"""),0.12)</f>
        <v>0.12</v>
      </c>
      <c r="T299" s="17" t="str">
        <f t="shared" si="1"/>
        <v>Daniel Schneemann</v>
      </c>
    </row>
    <row r="300">
      <c r="A300" s="17">
        <f>IFERROR(__xludf.DUMMYFUNCTION("""COMPUTED_VALUE"""),300.0)</f>
        <v>300</v>
      </c>
      <c r="B300" s="17" t="str">
        <f>IFERROR(__xludf.DUMMYFUNCTION("""COMPUTED_VALUE"""),"Ben Williamson (TB - 2B,3B,SS)")</f>
        <v>Ben Williamson (TB - 2B,3B,SS)</v>
      </c>
      <c r="C300" s="17">
        <f>IFERROR(__xludf.DUMMYFUNCTION("""COMPUTED_VALUE"""),248.0)</f>
        <v>248</v>
      </c>
      <c r="D300" s="17">
        <f>IFERROR(__xludf.DUMMYFUNCTION("""COMPUTED_VALUE"""),29.0)</f>
        <v>29</v>
      </c>
      <c r="E300" s="17">
        <f>IFERROR(__xludf.DUMMYFUNCTION("""COMPUTED_VALUE"""),3.0)</f>
        <v>3</v>
      </c>
      <c r="F300" s="17">
        <f>IFERROR(__xludf.DUMMYFUNCTION("""COMPUTED_VALUE"""),25.0)</f>
        <v>25</v>
      </c>
      <c r="G300" s="17">
        <f>IFERROR(__xludf.DUMMYFUNCTION("""COMPUTED_VALUE"""),5.0)</f>
        <v>5</v>
      </c>
      <c r="H300" s="17">
        <f>IFERROR(__xludf.DUMMYFUNCTION("""COMPUTED_VALUE"""),0.256)</f>
        <v>0.256</v>
      </c>
      <c r="I300" s="17">
        <f>IFERROR(__xludf.DUMMYFUNCTION("""COMPUTED_VALUE"""),0.314)</f>
        <v>0.314</v>
      </c>
      <c r="J300" s="17">
        <f>IFERROR(__xludf.DUMMYFUNCTION("""COMPUTED_VALUE"""),63.0)</f>
        <v>63</v>
      </c>
      <c r="K300" s="17">
        <f>IFERROR(__xludf.DUMMYFUNCTION("""COMPUTED_VALUE"""),13.0)</f>
        <v>13</v>
      </c>
      <c r="L300" s="17">
        <f>IFERROR(__xludf.DUMMYFUNCTION("""COMPUTED_VALUE"""),1.0)</f>
        <v>1</v>
      </c>
      <c r="M300" s="17">
        <f>IFERROR(__xludf.DUMMYFUNCTION("""COMPUTED_VALUE"""),19.0)</f>
        <v>19</v>
      </c>
      <c r="N300" s="17">
        <f>IFERROR(__xludf.DUMMYFUNCTION("""COMPUTED_VALUE"""),57.0)</f>
        <v>57</v>
      </c>
      <c r="O300" s="17">
        <f>IFERROR(__xludf.DUMMYFUNCTION("""COMPUTED_VALUE"""),0.351)</f>
        <v>0.351</v>
      </c>
      <c r="P300" s="17">
        <f>IFERROR(__xludf.DUMMYFUNCTION("""COMPUTED_VALUE"""),0.665)</f>
        <v>0.665</v>
      </c>
      <c r="Q300" s="34">
        <f>IFERROR(__xludf.DUMMYFUNCTION("""COMPUTED_VALUE"""),0.01)</f>
        <v>0.01</v>
      </c>
      <c r="R300" s="34">
        <f>IFERROR(__xludf.DUMMYFUNCTION("""COMPUTED_VALUE"""),0.01)</f>
        <v>0.01</v>
      </c>
      <c r="S300" s="34">
        <f>IFERROR(__xludf.DUMMYFUNCTION("""COMPUTED_VALUE"""),0.0)</f>
        <v>0</v>
      </c>
      <c r="T300" s="17" t="str">
        <f t="shared" si="1"/>
        <v>Ben Williamson</v>
      </c>
    </row>
    <row r="301">
      <c r="A301" s="17">
        <f>IFERROR(__xludf.DUMMYFUNCTION("""COMPUTED_VALUE"""),301.0)</f>
        <v>301</v>
      </c>
      <c r="B301" s="17" t="str">
        <f>IFERROR(__xludf.DUMMYFUNCTION("""COMPUTED_VALUE"""),"Davis Schneider (TOR - 2B,LF)")</f>
        <v>Davis Schneider (TOR - 2B,LF)</v>
      </c>
      <c r="C301" s="17">
        <f>IFERROR(__xludf.DUMMYFUNCTION("""COMPUTED_VALUE"""),212.0)</f>
        <v>212</v>
      </c>
      <c r="D301" s="17">
        <f>IFERROR(__xludf.DUMMYFUNCTION("""COMPUTED_VALUE"""),31.0)</f>
        <v>31</v>
      </c>
      <c r="E301" s="17">
        <f>IFERROR(__xludf.DUMMYFUNCTION("""COMPUTED_VALUE"""),9.0)</f>
        <v>9</v>
      </c>
      <c r="F301" s="17">
        <f>IFERROR(__xludf.DUMMYFUNCTION("""COMPUTED_VALUE"""),29.0)</f>
        <v>29</v>
      </c>
      <c r="G301" s="17">
        <f>IFERROR(__xludf.DUMMYFUNCTION("""COMPUTED_VALUE"""),3.0)</f>
        <v>3</v>
      </c>
      <c r="H301" s="17">
        <f>IFERROR(__xludf.DUMMYFUNCTION("""COMPUTED_VALUE"""),0.213)</f>
        <v>0.213</v>
      </c>
      <c r="I301" s="17">
        <f>IFERROR(__xludf.DUMMYFUNCTION("""COMPUTED_VALUE"""),0.325)</f>
        <v>0.325</v>
      </c>
      <c r="J301" s="17">
        <f>IFERROR(__xludf.DUMMYFUNCTION("""COMPUTED_VALUE"""),45.0)</f>
        <v>45</v>
      </c>
      <c r="K301" s="17">
        <f>IFERROR(__xludf.DUMMYFUNCTION("""COMPUTED_VALUE"""),10.0)</f>
        <v>10</v>
      </c>
      <c r="L301" s="17">
        <f>IFERROR(__xludf.DUMMYFUNCTION("""COMPUTED_VALUE"""),1.0)</f>
        <v>1</v>
      </c>
      <c r="M301" s="17">
        <f>IFERROR(__xludf.DUMMYFUNCTION("""COMPUTED_VALUE"""),33.0)</f>
        <v>33</v>
      </c>
      <c r="N301" s="17">
        <f>IFERROR(__xludf.DUMMYFUNCTION("""COMPUTED_VALUE"""),71.0)</f>
        <v>71</v>
      </c>
      <c r="O301" s="17">
        <f>IFERROR(__xludf.DUMMYFUNCTION("""COMPUTED_VALUE"""),0.394)</f>
        <v>0.394</v>
      </c>
      <c r="P301" s="17">
        <f>IFERROR(__xludf.DUMMYFUNCTION("""COMPUTED_VALUE"""),0.719)</f>
        <v>0.719</v>
      </c>
      <c r="Q301" s="34">
        <f>IFERROR(__xludf.DUMMYFUNCTION("""COMPUTED_VALUE"""),0.01)</f>
        <v>0.01</v>
      </c>
      <c r="R301" s="34">
        <f>IFERROR(__xludf.DUMMYFUNCTION("""COMPUTED_VALUE"""),0.01)</f>
        <v>0.01</v>
      </c>
      <c r="S301" s="34">
        <f>IFERROR(__xludf.DUMMYFUNCTION("""COMPUTED_VALUE"""),0.01)</f>
        <v>0.01</v>
      </c>
      <c r="T301" s="17" t="str">
        <f t="shared" si="1"/>
        <v>Davis Schneider</v>
      </c>
    </row>
    <row r="302">
      <c r="A302" s="17">
        <f>IFERROR(__xludf.DUMMYFUNCTION("""COMPUTED_VALUE"""),302.0)</f>
        <v>302</v>
      </c>
      <c r="B302" s="17" t="str">
        <f>IFERROR(__xludf.DUMMYFUNCTION("""COMPUTED_VALUE"""),"Matt Vierling (DET - LF,CF)")</f>
        <v>Matt Vierling (DET - LF,CF)</v>
      </c>
      <c r="C302" s="17">
        <f>IFERROR(__xludf.DUMMYFUNCTION("""COMPUTED_VALUE"""),222.0)</f>
        <v>222</v>
      </c>
      <c r="D302" s="17">
        <f>IFERROR(__xludf.DUMMYFUNCTION("""COMPUTED_VALUE"""),28.0)</f>
        <v>28</v>
      </c>
      <c r="E302" s="17">
        <f>IFERROR(__xludf.DUMMYFUNCTION("""COMPUTED_VALUE"""),6.0)</f>
        <v>6</v>
      </c>
      <c r="F302" s="17">
        <f>IFERROR(__xludf.DUMMYFUNCTION("""COMPUTED_VALUE"""),26.0)</f>
        <v>26</v>
      </c>
      <c r="G302" s="17">
        <f>IFERROR(__xludf.DUMMYFUNCTION("""COMPUTED_VALUE"""),3.0)</f>
        <v>3</v>
      </c>
      <c r="H302" s="17">
        <f>IFERROR(__xludf.DUMMYFUNCTION("""COMPUTED_VALUE"""),0.243)</f>
        <v>0.243</v>
      </c>
      <c r="I302" s="17">
        <f>IFERROR(__xludf.DUMMYFUNCTION("""COMPUTED_VALUE"""),0.31)</f>
        <v>0.31</v>
      </c>
      <c r="J302" s="17">
        <f>IFERROR(__xludf.DUMMYFUNCTION("""COMPUTED_VALUE"""),54.0)</f>
        <v>54</v>
      </c>
      <c r="K302" s="17">
        <f>IFERROR(__xludf.DUMMYFUNCTION("""COMPUTED_VALUE"""),11.0)</f>
        <v>11</v>
      </c>
      <c r="L302" s="17">
        <f>IFERROR(__xludf.DUMMYFUNCTION("""COMPUTED_VALUE"""),1.0)</f>
        <v>1</v>
      </c>
      <c r="M302" s="17">
        <f>IFERROR(__xludf.DUMMYFUNCTION("""COMPUTED_VALUE"""),20.0)</f>
        <v>20</v>
      </c>
      <c r="N302" s="17">
        <f>IFERROR(__xludf.DUMMYFUNCTION("""COMPUTED_VALUE"""),54.0)</f>
        <v>54</v>
      </c>
      <c r="O302" s="17">
        <f>IFERROR(__xludf.DUMMYFUNCTION("""COMPUTED_VALUE"""),0.378)</f>
        <v>0.378</v>
      </c>
      <c r="P302" s="17">
        <f>IFERROR(__xludf.DUMMYFUNCTION("""COMPUTED_VALUE"""),0.688)</f>
        <v>0.688</v>
      </c>
      <c r="Q302" s="34">
        <f>IFERROR(__xludf.DUMMYFUNCTION("""COMPUTED_VALUE"""),0.0)</f>
        <v>0</v>
      </c>
      <c r="R302" s="34">
        <f>IFERROR(__xludf.DUMMYFUNCTION("""COMPUTED_VALUE"""),0.0)</f>
        <v>0</v>
      </c>
      <c r="S302" s="34">
        <f>IFERROR(__xludf.DUMMYFUNCTION("""COMPUTED_VALUE"""),0.0)</f>
        <v>0</v>
      </c>
      <c r="T302" s="17" t="str">
        <f t="shared" si="1"/>
        <v>Matt Vierling</v>
      </c>
    </row>
    <row r="303">
      <c r="A303" s="17">
        <f>IFERROR(__xludf.DUMMYFUNCTION("""COMPUTED_VALUE"""),303.0)</f>
        <v>303</v>
      </c>
      <c r="B303" s="17" t="str">
        <f>IFERROR(__xludf.DUMMYFUNCTION("""COMPUTED_VALUE"""),"Denzel Clarke (ATH - CF) IL10")</f>
        <v>Denzel Clarke (ATH - CF) IL10</v>
      </c>
      <c r="C303" s="17">
        <f>IFERROR(__xludf.DUMMYFUNCTION("""COMPUTED_VALUE"""),239.0)</f>
        <v>239</v>
      </c>
      <c r="D303" s="17">
        <f>IFERROR(__xludf.DUMMYFUNCTION("""COMPUTED_VALUE"""),31.0)</f>
        <v>31</v>
      </c>
      <c r="E303" s="17">
        <f>IFERROR(__xludf.DUMMYFUNCTION("""COMPUTED_VALUE"""),5.0)</f>
        <v>5</v>
      </c>
      <c r="F303" s="17">
        <f>IFERROR(__xludf.DUMMYFUNCTION("""COMPUTED_VALUE"""),26.0)</f>
        <v>26</v>
      </c>
      <c r="G303" s="17">
        <f>IFERROR(__xludf.DUMMYFUNCTION("""COMPUTED_VALUE"""),8.0)</f>
        <v>8</v>
      </c>
      <c r="H303" s="17">
        <f>IFERROR(__xludf.DUMMYFUNCTION("""COMPUTED_VALUE"""),0.224)</f>
        <v>0.224</v>
      </c>
      <c r="I303" s="17">
        <f>IFERROR(__xludf.DUMMYFUNCTION("""COMPUTED_VALUE"""),0.292)</f>
        <v>0.292</v>
      </c>
      <c r="J303" s="17">
        <f>IFERROR(__xludf.DUMMYFUNCTION("""COMPUTED_VALUE"""),53.0)</f>
        <v>53</v>
      </c>
      <c r="K303" s="17">
        <f>IFERROR(__xludf.DUMMYFUNCTION("""COMPUTED_VALUE"""),11.0)</f>
        <v>11</v>
      </c>
      <c r="L303" s="17">
        <f>IFERROR(__xludf.DUMMYFUNCTION("""COMPUTED_VALUE"""),2.0)</f>
        <v>2</v>
      </c>
      <c r="M303" s="17">
        <f>IFERROR(__xludf.DUMMYFUNCTION("""COMPUTED_VALUE"""),20.0)</f>
        <v>20</v>
      </c>
      <c r="N303" s="17">
        <f>IFERROR(__xludf.DUMMYFUNCTION("""COMPUTED_VALUE"""),89.0)</f>
        <v>89</v>
      </c>
      <c r="O303" s="17">
        <f>IFERROR(__xludf.DUMMYFUNCTION("""COMPUTED_VALUE"""),0.355)</f>
        <v>0.355</v>
      </c>
      <c r="P303" s="17">
        <f>IFERROR(__xludf.DUMMYFUNCTION("""COMPUTED_VALUE"""),0.647)</f>
        <v>0.647</v>
      </c>
      <c r="Q303" s="34">
        <f>IFERROR(__xludf.DUMMYFUNCTION("""COMPUTED_VALUE"""),0.0)</f>
        <v>0</v>
      </c>
      <c r="R303" s="34">
        <f>IFERROR(__xludf.DUMMYFUNCTION("""COMPUTED_VALUE"""),0.0)</f>
        <v>0</v>
      </c>
      <c r="S303" s="34">
        <f>IFERROR(__xludf.DUMMYFUNCTION("""COMPUTED_VALUE"""),0.0)</f>
        <v>0</v>
      </c>
      <c r="T303" s="17" t="str">
        <f t="shared" si="1"/>
        <v>Denzel Clarke</v>
      </c>
    </row>
    <row r="304">
      <c r="A304" s="17">
        <f>IFERROR(__xludf.DUMMYFUNCTION("""COMPUTED_VALUE"""),304.0)</f>
        <v>304</v>
      </c>
      <c r="B304" s="17" t="str">
        <f>IFERROR(__xludf.DUMMYFUNCTION("""COMPUTED_VALUE"""),"Javier Baez (DET - 2B,3B,SS,CF) IL10")</f>
        <v>Javier Baez (DET - 2B,3B,SS,CF) IL10</v>
      </c>
      <c r="C304" s="17">
        <f>IFERROR(__xludf.DUMMYFUNCTION("""COMPUTED_VALUE"""),244.0)</f>
        <v>244</v>
      </c>
      <c r="D304" s="17">
        <f>IFERROR(__xludf.DUMMYFUNCTION("""COMPUTED_VALUE"""),27.0)</f>
        <v>27</v>
      </c>
      <c r="E304" s="17">
        <f>IFERROR(__xludf.DUMMYFUNCTION("""COMPUTED_VALUE"""),6.0)</f>
        <v>6</v>
      </c>
      <c r="F304" s="17">
        <f>IFERROR(__xludf.DUMMYFUNCTION("""COMPUTED_VALUE"""),29.0)</f>
        <v>29</v>
      </c>
      <c r="G304" s="17">
        <f>IFERROR(__xludf.DUMMYFUNCTION("""COMPUTED_VALUE"""),4.0)</f>
        <v>4</v>
      </c>
      <c r="H304" s="17">
        <f>IFERROR(__xludf.DUMMYFUNCTION("""COMPUTED_VALUE"""),0.234)</f>
        <v>0.234</v>
      </c>
      <c r="I304" s="17">
        <f>IFERROR(__xludf.DUMMYFUNCTION("""COMPUTED_VALUE"""),0.27)</f>
        <v>0.27</v>
      </c>
      <c r="J304" s="17">
        <f>IFERROR(__xludf.DUMMYFUNCTION("""COMPUTED_VALUE"""),57.0)</f>
        <v>57</v>
      </c>
      <c r="K304" s="17">
        <f>IFERROR(__xludf.DUMMYFUNCTION("""COMPUTED_VALUE"""),11.0)</f>
        <v>11</v>
      </c>
      <c r="L304" s="17">
        <f>IFERROR(__xludf.DUMMYFUNCTION("""COMPUTED_VALUE"""),1.0)</f>
        <v>1</v>
      </c>
      <c r="M304" s="17">
        <f>IFERROR(__xludf.DUMMYFUNCTION("""COMPUTED_VALUE"""),10.0)</f>
        <v>10</v>
      </c>
      <c r="N304" s="17">
        <f>IFERROR(__xludf.DUMMYFUNCTION("""COMPUTED_VALUE"""),61.0)</f>
        <v>61</v>
      </c>
      <c r="O304" s="17">
        <f>IFERROR(__xludf.DUMMYFUNCTION("""COMPUTED_VALUE"""),0.363)</f>
        <v>0.363</v>
      </c>
      <c r="P304" s="17">
        <f>IFERROR(__xludf.DUMMYFUNCTION("""COMPUTED_VALUE"""),0.633)</f>
        <v>0.633</v>
      </c>
      <c r="Q304" s="34">
        <f>IFERROR(__xludf.DUMMYFUNCTION("""COMPUTED_VALUE"""),0.05)</f>
        <v>0.05</v>
      </c>
      <c r="R304" s="34">
        <f>IFERROR(__xludf.DUMMYFUNCTION("""COMPUTED_VALUE"""),0.06)</f>
        <v>0.06</v>
      </c>
      <c r="S304" s="34">
        <f>IFERROR(__xludf.DUMMYFUNCTION("""COMPUTED_VALUE"""),0.05)</f>
        <v>0.05</v>
      </c>
      <c r="T304" s="17" t="str">
        <f t="shared" si="1"/>
        <v>Javier Baez</v>
      </c>
    </row>
    <row r="305">
      <c r="A305" s="17">
        <f>IFERROR(__xludf.DUMMYFUNCTION("""COMPUTED_VALUE"""),305.0)</f>
        <v>305</v>
      </c>
      <c r="B305" s="17" t="str">
        <f>IFERROR(__xludf.DUMMYFUNCTION("""COMPUTED_VALUE"""),"Nick Castellanos (SD - RF,DH)")</f>
        <v>Nick Castellanos (SD - RF,DH)</v>
      </c>
      <c r="C305" s="17">
        <f>IFERROR(__xludf.DUMMYFUNCTION("""COMPUTED_VALUE"""),209.0)</f>
        <v>209</v>
      </c>
      <c r="D305" s="17">
        <f>IFERROR(__xludf.DUMMYFUNCTION("""COMPUTED_VALUE"""),25.0)</f>
        <v>25</v>
      </c>
      <c r="E305" s="17">
        <f>IFERROR(__xludf.DUMMYFUNCTION("""COMPUTED_VALUE"""),7.0)</f>
        <v>7</v>
      </c>
      <c r="F305" s="17">
        <f>IFERROR(__xludf.DUMMYFUNCTION("""COMPUTED_VALUE"""),27.0)</f>
        <v>27</v>
      </c>
      <c r="G305" s="17">
        <f>IFERROR(__xludf.DUMMYFUNCTION("""COMPUTED_VALUE"""),2.0)</f>
        <v>2</v>
      </c>
      <c r="H305" s="17">
        <f>IFERROR(__xludf.DUMMYFUNCTION("""COMPUTED_VALUE"""),0.246)</f>
        <v>0.246</v>
      </c>
      <c r="I305" s="17">
        <f>IFERROR(__xludf.DUMMYFUNCTION("""COMPUTED_VALUE"""),0.298)</f>
        <v>0.298</v>
      </c>
      <c r="J305" s="17">
        <f>IFERROR(__xludf.DUMMYFUNCTION("""COMPUTED_VALUE"""),51.0)</f>
        <v>51</v>
      </c>
      <c r="K305" s="17">
        <f>IFERROR(__xludf.DUMMYFUNCTION("""COMPUTED_VALUE"""),10.0)</f>
        <v>10</v>
      </c>
      <c r="L305" s="17">
        <f>IFERROR(__xludf.DUMMYFUNCTION("""COMPUTED_VALUE"""),1.0)</f>
        <v>1</v>
      </c>
      <c r="M305" s="17">
        <f>IFERROR(__xludf.DUMMYFUNCTION("""COMPUTED_VALUE"""),14.0)</f>
        <v>14</v>
      </c>
      <c r="N305" s="17">
        <f>IFERROR(__xludf.DUMMYFUNCTION("""COMPUTED_VALUE"""),53.0)</f>
        <v>53</v>
      </c>
      <c r="O305" s="17">
        <f>IFERROR(__xludf.DUMMYFUNCTION("""COMPUTED_VALUE"""),0.398)</f>
        <v>0.398</v>
      </c>
      <c r="P305" s="17">
        <f>IFERROR(__xludf.DUMMYFUNCTION("""COMPUTED_VALUE"""),0.695)</f>
        <v>0.695</v>
      </c>
      <c r="Q305" s="34">
        <f>IFERROR(__xludf.DUMMYFUNCTION("""COMPUTED_VALUE"""),0.01)</f>
        <v>0.01</v>
      </c>
      <c r="R305" s="34">
        <f>IFERROR(__xludf.DUMMYFUNCTION("""COMPUTED_VALUE"""),0.02)</f>
        <v>0.02</v>
      </c>
      <c r="S305" s="34">
        <f>IFERROR(__xludf.DUMMYFUNCTION("""COMPUTED_VALUE"""),0.01)</f>
        <v>0.01</v>
      </c>
      <c r="T305" s="17" t="str">
        <f t="shared" si="1"/>
        <v>Nick Castellanos</v>
      </c>
    </row>
    <row r="306">
      <c r="A306" s="17">
        <f>IFERROR(__xludf.DUMMYFUNCTION("""COMPUTED_VALUE"""),306.0)</f>
        <v>306</v>
      </c>
      <c r="B306" s="17" t="str">
        <f>IFERROR(__xludf.DUMMYFUNCTION("""COMPUTED_VALUE"""),"Pedro Pages (STL - C)")</f>
        <v>Pedro Pages (STL - C)</v>
      </c>
      <c r="C306" s="17">
        <f>IFERROR(__xludf.DUMMYFUNCTION("""COMPUTED_VALUE"""),254.0)</f>
        <v>254</v>
      </c>
      <c r="D306" s="17">
        <f>IFERROR(__xludf.DUMMYFUNCTION("""COMPUTED_VALUE"""),28.0)</f>
        <v>28</v>
      </c>
      <c r="E306" s="17">
        <f>IFERROR(__xludf.DUMMYFUNCTION("""COMPUTED_VALUE"""),8.0)</f>
        <v>8</v>
      </c>
      <c r="F306" s="17">
        <f>IFERROR(__xludf.DUMMYFUNCTION("""COMPUTED_VALUE"""),31.0)</f>
        <v>31</v>
      </c>
      <c r="G306" s="17">
        <f>IFERROR(__xludf.DUMMYFUNCTION("""COMPUTED_VALUE"""),1.0)</f>
        <v>1</v>
      </c>
      <c r="H306" s="17">
        <f>IFERROR(__xludf.DUMMYFUNCTION("""COMPUTED_VALUE"""),0.228)</f>
        <v>0.228</v>
      </c>
      <c r="I306" s="17">
        <f>IFERROR(__xludf.DUMMYFUNCTION("""COMPUTED_VALUE"""),0.285)</f>
        <v>0.285</v>
      </c>
      <c r="J306" s="17">
        <f>IFERROR(__xludf.DUMMYFUNCTION("""COMPUTED_VALUE"""),58.0)</f>
        <v>58</v>
      </c>
      <c r="K306" s="17">
        <f>IFERROR(__xludf.DUMMYFUNCTION("""COMPUTED_VALUE"""),11.0)</f>
        <v>11</v>
      </c>
      <c r="L306" s="17">
        <f>IFERROR(__xludf.DUMMYFUNCTION("""COMPUTED_VALUE"""),1.0)</f>
        <v>1</v>
      </c>
      <c r="M306" s="17">
        <f>IFERROR(__xludf.DUMMYFUNCTION("""COMPUTED_VALUE"""),18.0)</f>
        <v>18</v>
      </c>
      <c r="N306" s="17">
        <f>IFERROR(__xludf.DUMMYFUNCTION("""COMPUTED_VALUE"""),71.0)</f>
        <v>71</v>
      </c>
      <c r="O306" s="17">
        <f>IFERROR(__xludf.DUMMYFUNCTION("""COMPUTED_VALUE"""),0.366)</f>
        <v>0.366</v>
      </c>
      <c r="P306" s="17">
        <f>IFERROR(__xludf.DUMMYFUNCTION("""COMPUTED_VALUE"""),0.651)</f>
        <v>0.651</v>
      </c>
      <c r="Q306" s="34">
        <f>IFERROR(__xludf.DUMMYFUNCTION("""COMPUTED_VALUE"""),0.01)</f>
        <v>0.01</v>
      </c>
      <c r="R306" s="34">
        <f>IFERROR(__xludf.DUMMYFUNCTION("""COMPUTED_VALUE"""),0.01)</f>
        <v>0.01</v>
      </c>
      <c r="S306" s="34">
        <f>IFERROR(__xludf.DUMMYFUNCTION("""COMPUTED_VALUE"""),0.01)</f>
        <v>0.01</v>
      </c>
      <c r="T306" s="17" t="str">
        <f t="shared" si="1"/>
        <v>Pedro Pages</v>
      </c>
    </row>
    <row r="307">
      <c r="A307" s="17">
        <f>IFERROR(__xludf.DUMMYFUNCTION("""COMPUTED_VALUE"""),307.0)</f>
        <v>307</v>
      </c>
      <c r="B307" s="17" t="str">
        <f>IFERROR(__xludf.DUMMYFUNCTION("""COMPUTED_VALUE"""),"Christopher Morel (MIA - LF)")</f>
        <v>Christopher Morel (MIA - LF)</v>
      </c>
      <c r="C307" s="17">
        <f>IFERROR(__xludf.DUMMYFUNCTION("""COMPUTED_VALUE"""),193.0)</f>
        <v>193</v>
      </c>
      <c r="D307" s="17">
        <f>IFERROR(__xludf.DUMMYFUNCTION("""COMPUTED_VALUE"""),26.0)</f>
        <v>26</v>
      </c>
      <c r="E307" s="17">
        <f>IFERROR(__xludf.DUMMYFUNCTION("""COMPUTED_VALUE"""),8.0)</f>
        <v>8</v>
      </c>
      <c r="F307" s="17">
        <f>IFERROR(__xludf.DUMMYFUNCTION("""COMPUTED_VALUE"""),27.0)</f>
        <v>27</v>
      </c>
      <c r="G307" s="17">
        <f>IFERROR(__xludf.DUMMYFUNCTION("""COMPUTED_VALUE"""),4.0)</f>
        <v>4</v>
      </c>
      <c r="H307" s="17">
        <f>IFERROR(__xludf.DUMMYFUNCTION("""COMPUTED_VALUE"""),0.223)</f>
        <v>0.223</v>
      </c>
      <c r="I307" s="17">
        <f>IFERROR(__xludf.DUMMYFUNCTION("""COMPUTED_VALUE"""),0.305)</f>
        <v>0.305</v>
      </c>
      <c r="J307" s="17">
        <f>IFERROR(__xludf.DUMMYFUNCTION("""COMPUTED_VALUE"""),43.0)</f>
        <v>43</v>
      </c>
      <c r="K307" s="17">
        <f>IFERROR(__xludf.DUMMYFUNCTION("""COMPUTED_VALUE"""),9.0)</f>
        <v>9</v>
      </c>
      <c r="L307" s="17">
        <f>IFERROR(__xludf.DUMMYFUNCTION("""COMPUTED_VALUE"""),1.0)</f>
        <v>1</v>
      </c>
      <c r="M307" s="17">
        <f>IFERROR(__xludf.DUMMYFUNCTION("""COMPUTED_VALUE"""),21.0)</f>
        <v>21</v>
      </c>
      <c r="N307" s="17">
        <f>IFERROR(__xludf.DUMMYFUNCTION("""COMPUTED_VALUE"""),65.0)</f>
        <v>65</v>
      </c>
      <c r="O307" s="17">
        <f>IFERROR(__xludf.DUMMYFUNCTION("""COMPUTED_VALUE"""),0.406)</f>
        <v>0.406</v>
      </c>
      <c r="P307" s="17">
        <f>IFERROR(__xludf.DUMMYFUNCTION("""COMPUTED_VALUE"""),0.711)</f>
        <v>0.711</v>
      </c>
      <c r="Q307" s="34">
        <f>IFERROR(__xludf.DUMMYFUNCTION("""COMPUTED_VALUE"""),0.0)</f>
        <v>0</v>
      </c>
      <c r="R307" s="34">
        <f>IFERROR(__xludf.DUMMYFUNCTION("""COMPUTED_VALUE"""),0.0)</f>
        <v>0</v>
      </c>
      <c r="S307" s="34">
        <f>IFERROR(__xludf.DUMMYFUNCTION("""COMPUTED_VALUE"""),0.0)</f>
        <v>0</v>
      </c>
      <c r="T307" s="17" t="str">
        <f t="shared" si="1"/>
        <v>Christopher Morel</v>
      </c>
    </row>
    <row r="308">
      <c r="A308" s="17">
        <f>IFERROR(__xludf.DUMMYFUNCTION("""COMPUTED_VALUE"""),308.0)</f>
        <v>308</v>
      </c>
      <c r="B308" s="17" t="str">
        <f>IFERROR(__xludf.DUMMYFUNCTION("""COMPUTED_VALUE"""),"Kyle Higashioka (TEX - C,DH)")</f>
        <v>Kyle Higashioka (TEX - C,DH)</v>
      </c>
      <c r="C308" s="17">
        <f>IFERROR(__xludf.DUMMYFUNCTION("""COMPUTED_VALUE"""),220.0)</f>
        <v>220</v>
      </c>
      <c r="D308" s="17">
        <f>IFERROR(__xludf.DUMMYFUNCTION("""COMPUTED_VALUE"""),25.0)</f>
        <v>25</v>
      </c>
      <c r="E308" s="17">
        <f>IFERROR(__xludf.DUMMYFUNCTION("""COMPUTED_VALUE"""),9.0)</f>
        <v>9</v>
      </c>
      <c r="F308" s="17">
        <f>IFERROR(__xludf.DUMMYFUNCTION("""COMPUTED_VALUE"""),29.0)</f>
        <v>29</v>
      </c>
      <c r="G308" s="17">
        <f>IFERROR(__xludf.DUMMYFUNCTION("""COMPUTED_VALUE"""),2.0)</f>
        <v>2</v>
      </c>
      <c r="H308" s="17">
        <f>IFERROR(__xludf.DUMMYFUNCTION("""COMPUTED_VALUE"""),0.225)</f>
        <v>0.225</v>
      </c>
      <c r="I308" s="17">
        <f>IFERROR(__xludf.DUMMYFUNCTION("""COMPUTED_VALUE"""),0.277)</f>
        <v>0.277</v>
      </c>
      <c r="J308" s="17">
        <f>IFERROR(__xludf.DUMMYFUNCTION("""COMPUTED_VALUE"""),50.0)</f>
        <v>50</v>
      </c>
      <c r="K308" s="17">
        <f>IFERROR(__xludf.DUMMYFUNCTION("""COMPUTED_VALUE"""),10.0)</f>
        <v>10</v>
      </c>
      <c r="L308" s="17">
        <f>IFERROR(__xludf.DUMMYFUNCTION("""COMPUTED_VALUE"""),1.0)</f>
        <v>1</v>
      </c>
      <c r="M308" s="17">
        <f>IFERROR(__xludf.DUMMYFUNCTION("""COMPUTED_VALUE"""),16.0)</f>
        <v>16</v>
      </c>
      <c r="N308" s="17">
        <f>IFERROR(__xludf.DUMMYFUNCTION("""COMPUTED_VALUE"""),60.0)</f>
        <v>60</v>
      </c>
      <c r="O308" s="17">
        <f>IFERROR(__xludf.DUMMYFUNCTION("""COMPUTED_VALUE"""),0.397)</f>
        <v>0.397</v>
      </c>
      <c r="P308" s="17">
        <f>IFERROR(__xludf.DUMMYFUNCTION("""COMPUTED_VALUE"""),0.675)</f>
        <v>0.675</v>
      </c>
      <c r="Q308" s="34">
        <f>IFERROR(__xludf.DUMMYFUNCTION("""COMPUTED_VALUE"""),0.0)</f>
        <v>0</v>
      </c>
      <c r="R308" s="34">
        <f>IFERROR(__xludf.DUMMYFUNCTION("""COMPUTED_VALUE"""),0.0)</f>
        <v>0</v>
      </c>
      <c r="S308" s="34">
        <f>IFERROR(__xludf.DUMMYFUNCTION("""COMPUTED_VALUE"""),0.01)</f>
        <v>0.01</v>
      </c>
      <c r="T308" s="17" t="str">
        <f t="shared" si="1"/>
        <v>Kyle Higashioka</v>
      </c>
    </row>
    <row r="309">
      <c r="A309" s="17">
        <f>IFERROR(__xludf.DUMMYFUNCTION("""COMPUTED_VALUE"""),309.0)</f>
        <v>309</v>
      </c>
      <c r="B309" s="17" t="str">
        <f>IFERROR(__xludf.DUMMYFUNCTION("""COMPUTED_VALUE"""),"Danny Jansen (TEX - C)")</f>
        <v>Danny Jansen (TEX - C)</v>
      </c>
      <c r="C309" s="17">
        <f>IFERROR(__xludf.DUMMYFUNCTION("""COMPUTED_VALUE"""),234.0)</f>
        <v>234</v>
      </c>
      <c r="D309" s="17">
        <f>IFERROR(__xludf.DUMMYFUNCTION("""COMPUTED_VALUE"""),30.0)</f>
        <v>30</v>
      </c>
      <c r="E309" s="17">
        <f>IFERROR(__xludf.DUMMYFUNCTION("""COMPUTED_VALUE"""),10.0)</f>
        <v>10</v>
      </c>
      <c r="F309" s="17">
        <f>IFERROR(__xludf.DUMMYFUNCTION("""COMPUTED_VALUE"""),31.0)</f>
        <v>31</v>
      </c>
      <c r="G309" s="17">
        <f>IFERROR(__xludf.DUMMYFUNCTION("""COMPUTED_VALUE"""),1.0)</f>
        <v>1</v>
      </c>
      <c r="H309" s="17">
        <f>IFERROR(__xludf.DUMMYFUNCTION("""COMPUTED_VALUE"""),0.21)</f>
        <v>0.21</v>
      </c>
      <c r="I309" s="17">
        <f>IFERROR(__xludf.DUMMYFUNCTION("""COMPUTED_VALUE"""),0.307)</f>
        <v>0.307</v>
      </c>
      <c r="J309" s="17">
        <f>IFERROR(__xludf.DUMMYFUNCTION("""COMPUTED_VALUE"""),49.0)</f>
        <v>49</v>
      </c>
      <c r="K309" s="17">
        <f>IFERROR(__xludf.DUMMYFUNCTION("""COMPUTED_VALUE"""),10.0)</f>
        <v>10</v>
      </c>
      <c r="L309" s="17">
        <f>IFERROR(__xludf.DUMMYFUNCTION("""COMPUTED_VALUE"""),1.0)</f>
        <v>1</v>
      </c>
      <c r="M309" s="17">
        <f>IFERROR(__xludf.DUMMYFUNCTION("""COMPUTED_VALUE"""),30.0)</f>
        <v>30</v>
      </c>
      <c r="N309" s="17">
        <f>IFERROR(__xludf.DUMMYFUNCTION("""COMPUTED_VALUE"""),65.0)</f>
        <v>65</v>
      </c>
      <c r="O309" s="17">
        <f>IFERROR(__xludf.DUMMYFUNCTION("""COMPUTED_VALUE"""),0.383)</f>
        <v>0.383</v>
      </c>
      <c r="P309" s="17">
        <f>IFERROR(__xludf.DUMMYFUNCTION("""COMPUTED_VALUE"""),0.69)</f>
        <v>0.69</v>
      </c>
      <c r="Q309" s="34">
        <f>IFERROR(__xludf.DUMMYFUNCTION("""COMPUTED_VALUE"""),0.01)</f>
        <v>0.01</v>
      </c>
      <c r="R309" s="34">
        <f>IFERROR(__xludf.DUMMYFUNCTION("""COMPUTED_VALUE"""),0.01)</f>
        <v>0.01</v>
      </c>
      <c r="S309" s="34">
        <f>IFERROR(__xludf.DUMMYFUNCTION("""COMPUTED_VALUE"""),0.01)</f>
        <v>0.01</v>
      </c>
      <c r="T309" s="17" t="str">
        <f t="shared" si="1"/>
        <v>Danny Jansen</v>
      </c>
    </row>
    <row r="310">
      <c r="A310" s="17">
        <f>IFERROR(__xludf.DUMMYFUNCTION("""COMPUTED_VALUE"""),310.0)</f>
        <v>310</v>
      </c>
      <c r="B310" s="17" t="str">
        <f>IFERROR(__xludf.DUMMYFUNCTION("""COMPUTED_VALUE"""),"Ezequiel Duran (TEX - 1B,2B,3B,SS,LF)")</f>
        <v>Ezequiel Duran (TEX - 1B,2B,3B,SS,LF)</v>
      </c>
      <c r="C310" s="17">
        <f>IFERROR(__xludf.DUMMYFUNCTION("""COMPUTED_VALUE"""),205.0)</f>
        <v>205</v>
      </c>
      <c r="D310" s="17">
        <f>IFERROR(__xludf.DUMMYFUNCTION("""COMPUTED_VALUE"""),25.0)</f>
        <v>25</v>
      </c>
      <c r="E310" s="17">
        <f>IFERROR(__xludf.DUMMYFUNCTION("""COMPUTED_VALUE"""),5.0)</f>
        <v>5</v>
      </c>
      <c r="F310" s="17">
        <f>IFERROR(__xludf.DUMMYFUNCTION("""COMPUTED_VALUE"""),22.0)</f>
        <v>22</v>
      </c>
      <c r="G310" s="17">
        <f>IFERROR(__xludf.DUMMYFUNCTION("""COMPUTED_VALUE"""),7.0)</f>
        <v>7</v>
      </c>
      <c r="H310" s="17">
        <f>IFERROR(__xludf.DUMMYFUNCTION("""COMPUTED_VALUE"""),0.245)</f>
        <v>0.245</v>
      </c>
      <c r="I310" s="17">
        <f>IFERROR(__xludf.DUMMYFUNCTION("""COMPUTED_VALUE"""),0.292)</f>
        <v>0.292</v>
      </c>
      <c r="J310" s="17">
        <f>IFERROR(__xludf.DUMMYFUNCTION("""COMPUTED_VALUE"""),50.0)</f>
        <v>50</v>
      </c>
      <c r="K310" s="17">
        <f>IFERROR(__xludf.DUMMYFUNCTION("""COMPUTED_VALUE"""),11.0)</f>
        <v>11</v>
      </c>
      <c r="L310" s="17">
        <f>IFERROR(__xludf.DUMMYFUNCTION("""COMPUTED_VALUE"""),1.0)</f>
        <v>1</v>
      </c>
      <c r="M310" s="17">
        <f>IFERROR(__xludf.DUMMYFUNCTION("""COMPUTED_VALUE"""),12.0)</f>
        <v>12</v>
      </c>
      <c r="N310" s="17">
        <f>IFERROR(__xludf.DUMMYFUNCTION("""COMPUTED_VALUE"""),51.0)</f>
        <v>51</v>
      </c>
      <c r="O310" s="17">
        <f>IFERROR(__xludf.DUMMYFUNCTION("""COMPUTED_VALUE"""),0.379)</f>
        <v>0.379</v>
      </c>
      <c r="P310" s="17">
        <f>IFERROR(__xludf.DUMMYFUNCTION("""COMPUTED_VALUE"""),0.672)</f>
        <v>0.672</v>
      </c>
      <c r="Q310" s="34">
        <f>IFERROR(__xludf.DUMMYFUNCTION("""COMPUTED_VALUE"""),0.01)</f>
        <v>0.01</v>
      </c>
      <c r="R310" s="34">
        <f>IFERROR(__xludf.DUMMYFUNCTION("""COMPUTED_VALUE"""),0.01)</f>
        <v>0.01</v>
      </c>
      <c r="S310" s="34">
        <f>IFERROR(__xludf.DUMMYFUNCTION("""COMPUTED_VALUE"""),0.0)</f>
        <v>0</v>
      </c>
      <c r="T310" s="17" t="str">
        <f t="shared" si="1"/>
        <v>Ezequiel Duran</v>
      </c>
    </row>
    <row r="311">
      <c r="A311" s="17">
        <f>IFERROR(__xludf.DUMMYFUNCTION("""COMPUTED_VALUE"""),311.0)</f>
        <v>311</v>
      </c>
      <c r="B311" s="17" t="str">
        <f>IFERROR(__xludf.DUMMYFUNCTION("""COMPUTED_VALUE"""),"Freddy Fermin (SD - C)")</f>
        <v>Freddy Fermin (SD - C)</v>
      </c>
      <c r="C311" s="17">
        <f>IFERROR(__xludf.DUMMYFUNCTION("""COMPUTED_VALUE"""),255.0)</f>
        <v>255</v>
      </c>
      <c r="D311" s="17">
        <f>IFERROR(__xludf.DUMMYFUNCTION("""COMPUTED_VALUE"""),29.0)</f>
        <v>29</v>
      </c>
      <c r="E311" s="17">
        <f>IFERROR(__xludf.DUMMYFUNCTION("""COMPUTED_VALUE"""),6.0)</f>
        <v>6</v>
      </c>
      <c r="F311" s="17">
        <f>IFERROR(__xludf.DUMMYFUNCTION("""COMPUTED_VALUE"""),28.0)</f>
        <v>28</v>
      </c>
      <c r="G311" s="17">
        <f>IFERROR(__xludf.DUMMYFUNCTION("""COMPUTED_VALUE"""),2.0)</f>
        <v>2</v>
      </c>
      <c r="H311" s="17">
        <f>IFERROR(__xludf.DUMMYFUNCTION("""COMPUTED_VALUE"""),0.235)</f>
        <v>0.235</v>
      </c>
      <c r="I311" s="17">
        <f>IFERROR(__xludf.DUMMYFUNCTION("""COMPUTED_VALUE"""),0.295)</f>
        <v>0.295</v>
      </c>
      <c r="J311" s="17">
        <f>IFERROR(__xludf.DUMMYFUNCTION("""COMPUTED_VALUE"""),60.0)</f>
        <v>60</v>
      </c>
      <c r="K311" s="17">
        <f>IFERROR(__xludf.DUMMYFUNCTION("""COMPUTED_VALUE"""),11.0)</f>
        <v>11</v>
      </c>
      <c r="L311" s="17">
        <f>IFERROR(__xludf.DUMMYFUNCTION("""COMPUTED_VALUE"""),0.0)</f>
        <v>0</v>
      </c>
      <c r="M311" s="17">
        <f>IFERROR(__xludf.DUMMYFUNCTION("""COMPUTED_VALUE"""),20.0)</f>
        <v>20</v>
      </c>
      <c r="N311" s="17">
        <f>IFERROR(__xludf.DUMMYFUNCTION("""COMPUTED_VALUE"""),57.0)</f>
        <v>57</v>
      </c>
      <c r="O311" s="17">
        <f>IFERROR(__xludf.DUMMYFUNCTION("""COMPUTED_VALUE"""),0.349)</f>
        <v>0.349</v>
      </c>
      <c r="P311" s="17">
        <f>IFERROR(__xludf.DUMMYFUNCTION("""COMPUTED_VALUE"""),0.644)</f>
        <v>0.644</v>
      </c>
      <c r="Q311" s="34">
        <f>IFERROR(__xludf.DUMMYFUNCTION("""COMPUTED_VALUE"""),0.0)</f>
        <v>0</v>
      </c>
      <c r="R311" s="34">
        <f>IFERROR(__xludf.DUMMYFUNCTION("""COMPUTED_VALUE"""),0.0)</f>
        <v>0</v>
      </c>
      <c r="S311" s="34">
        <f>IFERROR(__xludf.DUMMYFUNCTION("""COMPUTED_VALUE"""),0.01)</f>
        <v>0.01</v>
      </c>
      <c r="T311" s="17" t="str">
        <f t="shared" si="1"/>
        <v>Freddy Fermin</v>
      </c>
    </row>
    <row r="312">
      <c r="A312" s="17">
        <f>IFERROR(__xludf.DUMMYFUNCTION("""COMPUTED_VALUE"""),312.0)</f>
        <v>312</v>
      </c>
      <c r="B312" s="17" t="str">
        <f>IFERROR(__xludf.DUMMYFUNCTION("""COMPUTED_VALUE"""),"Nathan Lukes (TOR - LF,CF,RF) IL10")</f>
        <v>Nathan Lukes (TOR - LF,CF,RF) IL10</v>
      </c>
      <c r="C312" s="17">
        <f>IFERROR(__xludf.DUMMYFUNCTION("""COMPUTED_VALUE"""),203.0)</f>
        <v>203</v>
      </c>
      <c r="D312" s="17">
        <f>IFERROR(__xludf.DUMMYFUNCTION("""COMPUTED_VALUE"""),26.0)</f>
        <v>26</v>
      </c>
      <c r="E312" s="17">
        <f>IFERROR(__xludf.DUMMYFUNCTION("""COMPUTED_VALUE"""),4.0)</f>
        <v>4</v>
      </c>
      <c r="F312" s="17">
        <f>IFERROR(__xludf.DUMMYFUNCTION("""COMPUTED_VALUE"""),24.0)</f>
        <v>24</v>
      </c>
      <c r="G312" s="17">
        <f>IFERROR(__xludf.DUMMYFUNCTION("""COMPUTED_VALUE"""),2.0)</f>
        <v>2</v>
      </c>
      <c r="H312" s="17">
        <f>IFERROR(__xludf.DUMMYFUNCTION("""COMPUTED_VALUE"""),0.264)</f>
        <v>0.264</v>
      </c>
      <c r="I312" s="17">
        <f>IFERROR(__xludf.DUMMYFUNCTION("""COMPUTED_VALUE"""),0.328)</f>
        <v>0.328</v>
      </c>
      <c r="J312" s="17">
        <f>IFERROR(__xludf.DUMMYFUNCTION("""COMPUTED_VALUE"""),53.0)</f>
        <v>53</v>
      </c>
      <c r="K312" s="17">
        <f>IFERROR(__xludf.DUMMYFUNCTION("""COMPUTED_VALUE"""),11.0)</f>
        <v>11</v>
      </c>
      <c r="L312" s="17">
        <f>IFERROR(__xludf.DUMMYFUNCTION("""COMPUTED_VALUE"""),1.0)</f>
        <v>1</v>
      </c>
      <c r="M312" s="17">
        <f>IFERROR(__xludf.DUMMYFUNCTION("""COMPUTED_VALUE"""),18.0)</f>
        <v>18</v>
      </c>
      <c r="N312" s="17">
        <f>IFERROR(__xludf.DUMMYFUNCTION("""COMPUTED_VALUE"""),35.0)</f>
        <v>35</v>
      </c>
      <c r="O312" s="17">
        <f>IFERROR(__xludf.DUMMYFUNCTION("""COMPUTED_VALUE"""),0.385)</f>
        <v>0.385</v>
      </c>
      <c r="P312" s="17">
        <f>IFERROR(__xludf.DUMMYFUNCTION("""COMPUTED_VALUE"""),0.713)</f>
        <v>0.713</v>
      </c>
      <c r="Q312" s="34">
        <f>IFERROR(__xludf.DUMMYFUNCTION("""COMPUTED_VALUE"""),0.01)</f>
        <v>0.01</v>
      </c>
      <c r="R312" s="34">
        <f>IFERROR(__xludf.DUMMYFUNCTION("""COMPUTED_VALUE"""),0.01)</f>
        <v>0.01</v>
      </c>
      <c r="S312" s="34">
        <f>IFERROR(__xludf.DUMMYFUNCTION("""COMPUTED_VALUE"""),0.0)</f>
        <v>0</v>
      </c>
      <c r="T312" s="17" t="str">
        <f t="shared" si="1"/>
        <v>Nathan Lukes</v>
      </c>
    </row>
    <row r="313">
      <c r="A313" s="17">
        <f>IFERROR(__xludf.DUMMYFUNCTION("""COMPUTED_VALUE"""),313.0)</f>
        <v>313</v>
      </c>
      <c r="B313" s="17" t="str">
        <f>IFERROR(__xludf.DUMMYFUNCTION("""COMPUTED_VALUE"""),"Dane Myers (CIN - LF,CF,RF)")</f>
        <v>Dane Myers (CIN - LF,CF,RF)</v>
      </c>
      <c r="C313" s="17">
        <f>IFERROR(__xludf.DUMMYFUNCTION("""COMPUTED_VALUE"""),181.0)</f>
        <v>181</v>
      </c>
      <c r="D313" s="17">
        <f>IFERROR(__xludf.DUMMYFUNCTION("""COMPUTED_VALUE"""),24.0)</f>
        <v>24</v>
      </c>
      <c r="E313" s="17">
        <f>IFERROR(__xludf.DUMMYFUNCTION("""COMPUTED_VALUE"""),5.0)</f>
        <v>5</v>
      </c>
      <c r="F313" s="17">
        <f>IFERROR(__xludf.DUMMYFUNCTION("""COMPUTED_VALUE"""),22.0)</f>
        <v>22</v>
      </c>
      <c r="G313" s="17">
        <f>IFERROR(__xludf.DUMMYFUNCTION("""COMPUTED_VALUE"""),7.0)</f>
        <v>7</v>
      </c>
      <c r="H313" s="17">
        <f>IFERROR(__xludf.DUMMYFUNCTION("""COMPUTED_VALUE"""),0.245)</f>
        <v>0.245</v>
      </c>
      <c r="I313" s="17">
        <f>IFERROR(__xludf.DUMMYFUNCTION("""COMPUTED_VALUE"""),0.311)</f>
        <v>0.311</v>
      </c>
      <c r="J313" s="17">
        <f>IFERROR(__xludf.DUMMYFUNCTION("""COMPUTED_VALUE"""),44.0)</f>
        <v>44</v>
      </c>
      <c r="K313" s="17">
        <f>IFERROR(__xludf.DUMMYFUNCTION("""COMPUTED_VALUE"""),7.0)</f>
        <v>7</v>
      </c>
      <c r="L313" s="17">
        <f>IFERROR(__xludf.DUMMYFUNCTION("""COMPUTED_VALUE"""),0.0)</f>
        <v>0</v>
      </c>
      <c r="M313" s="17">
        <f>IFERROR(__xludf.DUMMYFUNCTION("""COMPUTED_VALUE"""),16.0)</f>
        <v>16</v>
      </c>
      <c r="N313" s="17">
        <f>IFERROR(__xludf.DUMMYFUNCTION("""COMPUTED_VALUE"""),49.0)</f>
        <v>49</v>
      </c>
      <c r="O313" s="17">
        <f>IFERROR(__xludf.DUMMYFUNCTION("""COMPUTED_VALUE"""),0.372)</f>
        <v>0.372</v>
      </c>
      <c r="P313" s="17">
        <f>IFERROR(__xludf.DUMMYFUNCTION("""COMPUTED_VALUE"""),0.683)</f>
        <v>0.683</v>
      </c>
      <c r="Q313" s="34">
        <f>IFERROR(__xludf.DUMMYFUNCTION("""COMPUTED_VALUE"""),0.0)</f>
        <v>0</v>
      </c>
      <c r="R313" s="34">
        <f>IFERROR(__xludf.DUMMYFUNCTION("""COMPUTED_VALUE"""),0.0)</f>
        <v>0</v>
      </c>
      <c r="S313" s="34">
        <f>IFERROR(__xludf.DUMMYFUNCTION("""COMPUTED_VALUE"""),0.0)</f>
        <v>0</v>
      </c>
      <c r="T313" s="17" t="str">
        <f t="shared" si="1"/>
        <v>Dane Myers</v>
      </c>
    </row>
    <row r="314">
      <c r="A314" s="17">
        <f>IFERROR(__xludf.DUMMYFUNCTION("""COMPUTED_VALUE"""),314.0)</f>
        <v>314</v>
      </c>
      <c r="B314" s="17" t="str">
        <f>IFERROR(__xludf.DUMMYFUNCTION("""COMPUTED_VALUE"""),"Darell Hernaiz (ATH - 2B,3B,SS)")</f>
        <v>Darell Hernaiz (ATH - 2B,3B,SS)</v>
      </c>
      <c r="C314" s="17">
        <f>IFERROR(__xludf.DUMMYFUNCTION("""COMPUTED_VALUE"""),210.0)</f>
        <v>210</v>
      </c>
      <c r="D314" s="17">
        <f>IFERROR(__xludf.DUMMYFUNCTION("""COMPUTED_VALUE"""),26.0)</f>
        <v>26</v>
      </c>
      <c r="E314" s="17">
        <f>IFERROR(__xludf.DUMMYFUNCTION("""COMPUTED_VALUE"""),3.0)</f>
        <v>3</v>
      </c>
      <c r="F314" s="17">
        <f>IFERROR(__xludf.DUMMYFUNCTION("""COMPUTED_VALUE"""),23.0)</f>
        <v>23</v>
      </c>
      <c r="G314" s="17">
        <f>IFERROR(__xludf.DUMMYFUNCTION("""COMPUTED_VALUE"""),4.0)</f>
        <v>4</v>
      </c>
      <c r="H314" s="17">
        <f>IFERROR(__xludf.DUMMYFUNCTION("""COMPUTED_VALUE"""),0.258)</f>
        <v>0.258</v>
      </c>
      <c r="I314" s="17">
        <f>IFERROR(__xludf.DUMMYFUNCTION("""COMPUTED_VALUE"""),0.317)</f>
        <v>0.317</v>
      </c>
      <c r="J314" s="17">
        <f>IFERROR(__xludf.DUMMYFUNCTION("""COMPUTED_VALUE"""),54.0)</f>
        <v>54</v>
      </c>
      <c r="K314" s="17">
        <f>IFERROR(__xludf.DUMMYFUNCTION("""COMPUTED_VALUE"""),11.0)</f>
        <v>11</v>
      </c>
      <c r="L314" s="17">
        <f>IFERROR(__xludf.DUMMYFUNCTION("""COMPUTED_VALUE"""),1.0)</f>
        <v>1</v>
      </c>
      <c r="M314" s="17">
        <f>IFERROR(__xludf.DUMMYFUNCTION("""COMPUTED_VALUE"""),18.0)</f>
        <v>18</v>
      </c>
      <c r="N314" s="17">
        <f>IFERROR(__xludf.DUMMYFUNCTION("""COMPUTED_VALUE"""),34.0)</f>
        <v>34</v>
      </c>
      <c r="O314" s="17">
        <f>IFERROR(__xludf.DUMMYFUNCTION("""COMPUTED_VALUE"""),0.362)</f>
        <v>0.362</v>
      </c>
      <c r="P314" s="17">
        <f>IFERROR(__xludf.DUMMYFUNCTION("""COMPUTED_VALUE"""),0.68)</f>
        <v>0.68</v>
      </c>
      <c r="Q314" s="34">
        <f>IFERROR(__xludf.DUMMYFUNCTION("""COMPUTED_VALUE"""),0.0)</f>
        <v>0</v>
      </c>
      <c r="R314" s="34">
        <f>IFERROR(__xludf.DUMMYFUNCTION("""COMPUTED_VALUE"""),0.0)</f>
        <v>0</v>
      </c>
      <c r="S314" s="34">
        <f>IFERROR(__xludf.DUMMYFUNCTION("""COMPUTED_VALUE"""),0.0)</f>
        <v>0</v>
      </c>
      <c r="T314" s="17" t="str">
        <f t="shared" si="1"/>
        <v>Darell Hernaiz</v>
      </c>
    </row>
    <row r="315">
      <c r="A315" s="17">
        <f>IFERROR(__xludf.DUMMYFUNCTION("""COMPUTED_VALUE"""),315.0)</f>
        <v>315</v>
      </c>
      <c r="B315" s="17" t="str">
        <f>IFERROR(__xludf.DUMMYFUNCTION("""COMPUTED_VALUE"""),"Jared Triolo (PIT - 1B,2B,3B,SS) IL10")</f>
        <v>Jared Triolo (PIT - 1B,2B,3B,SS) IL10</v>
      </c>
      <c r="C315" s="17">
        <f>IFERROR(__xludf.DUMMYFUNCTION("""COMPUTED_VALUE"""),208.0)</f>
        <v>208</v>
      </c>
      <c r="D315" s="17">
        <f>IFERROR(__xludf.DUMMYFUNCTION("""COMPUTED_VALUE"""),27.0)</f>
        <v>27</v>
      </c>
      <c r="E315" s="17">
        <f>IFERROR(__xludf.DUMMYFUNCTION("""COMPUTED_VALUE"""),4.0)</f>
        <v>4</v>
      </c>
      <c r="F315" s="17">
        <f>IFERROR(__xludf.DUMMYFUNCTION("""COMPUTED_VALUE"""),22.0)</f>
        <v>22</v>
      </c>
      <c r="G315" s="17">
        <f>IFERROR(__xludf.DUMMYFUNCTION("""COMPUTED_VALUE"""),6.0)</f>
        <v>6</v>
      </c>
      <c r="H315" s="17">
        <f>IFERROR(__xludf.DUMMYFUNCTION("""COMPUTED_VALUE"""),0.242)</f>
        <v>0.242</v>
      </c>
      <c r="I315" s="17">
        <f>IFERROR(__xludf.DUMMYFUNCTION("""COMPUTED_VALUE"""),0.328)</f>
        <v>0.328</v>
      </c>
      <c r="J315" s="17">
        <f>IFERROR(__xludf.DUMMYFUNCTION("""COMPUTED_VALUE"""),50.0)</f>
        <v>50</v>
      </c>
      <c r="K315" s="17">
        <f>IFERROR(__xludf.DUMMYFUNCTION("""COMPUTED_VALUE"""),10.0)</f>
        <v>10</v>
      </c>
      <c r="L315" s="17">
        <f>IFERROR(__xludf.DUMMYFUNCTION("""COMPUTED_VALUE"""),1.0)</f>
        <v>1</v>
      </c>
      <c r="M315" s="17">
        <f>IFERROR(__xludf.DUMMYFUNCTION("""COMPUTED_VALUE"""),25.0)</f>
        <v>25</v>
      </c>
      <c r="N315" s="17">
        <f>IFERROR(__xludf.DUMMYFUNCTION("""COMPUTED_VALUE"""),53.0)</f>
        <v>53</v>
      </c>
      <c r="O315" s="17">
        <f>IFERROR(__xludf.DUMMYFUNCTION("""COMPUTED_VALUE"""),0.358)</f>
        <v>0.358</v>
      </c>
      <c r="P315" s="17">
        <f>IFERROR(__xludf.DUMMYFUNCTION("""COMPUTED_VALUE"""),0.686)</f>
        <v>0.686</v>
      </c>
      <c r="Q315" s="34">
        <f>IFERROR(__xludf.DUMMYFUNCTION("""COMPUTED_VALUE"""),0.01)</f>
        <v>0.01</v>
      </c>
      <c r="R315" s="34">
        <f>IFERROR(__xludf.DUMMYFUNCTION("""COMPUTED_VALUE"""),0.01)</f>
        <v>0.01</v>
      </c>
      <c r="S315" s="34">
        <f>IFERROR(__xludf.DUMMYFUNCTION("""COMPUTED_VALUE"""),0.0)</f>
        <v>0</v>
      </c>
      <c r="T315" s="17" t="str">
        <f t="shared" si="1"/>
        <v>Jared Triolo</v>
      </c>
    </row>
    <row r="316">
      <c r="A316" s="17">
        <f>IFERROR(__xludf.DUMMYFUNCTION("""COMPUTED_VALUE"""),316.0)</f>
        <v>316</v>
      </c>
      <c r="B316" s="17" t="str">
        <f>IFERROR(__xludf.DUMMYFUNCTION("""COMPUTED_VALUE"""),"Edmundo Sosa (PHI - 2B,3B,SS)")</f>
        <v>Edmundo Sosa (PHI - 2B,3B,SS)</v>
      </c>
      <c r="C316" s="17">
        <f>IFERROR(__xludf.DUMMYFUNCTION("""COMPUTED_VALUE"""),182.0)</f>
        <v>182</v>
      </c>
      <c r="D316" s="17">
        <f>IFERROR(__xludf.DUMMYFUNCTION("""COMPUTED_VALUE"""),23.0)</f>
        <v>23</v>
      </c>
      <c r="E316" s="17">
        <f>IFERROR(__xludf.DUMMYFUNCTION("""COMPUTED_VALUE"""),6.0)</f>
        <v>6</v>
      </c>
      <c r="F316" s="17">
        <f>IFERROR(__xludf.DUMMYFUNCTION("""COMPUTED_VALUE"""),24.0)</f>
        <v>24</v>
      </c>
      <c r="G316" s="17">
        <f>IFERROR(__xludf.DUMMYFUNCTION("""COMPUTED_VALUE"""),2.0)</f>
        <v>2</v>
      </c>
      <c r="H316" s="17">
        <f>IFERROR(__xludf.DUMMYFUNCTION("""COMPUTED_VALUE"""),0.25)</f>
        <v>0.25</v>
      </c>
      <c r="I316" s="17">
        <f>IFERROR(__xludf.DUMMYFUNCTION("""COMPUTED_VALUE"""),0.294)</f>
        <v>0.294</v>
      </c>
      <c r="J316" s="17">
        <f>IFERROR(__xludf.DUMMYFUNCTION("""COMPUTED_VALUE"""),46.0)</f>
        <v>46</v>
      </c>
      <c r="K316" s="17">
        <f>IFERROR(__xludf.DUMMYFUNCTION("""COMPUTED_VALUE"""),9.0)</f>
        <v>9</v>
      </c>
      <c r="L316" s="17">
        <f>IFERROR(__xludf.DUMMYFUNCTION("""COMPUTED_VALUE"""),1.0)</f>
        <v>1</v>
      </c>
      <c r="M316" s="17">
        <f>IFERROR(__xludf.DUMMYFUNCTION("""COMPUTED_VALUE"""),9.0)</f>
        <v>9</v>
      </c>
      <c r="N316" s="17">
        <f>IFERROR(__xludf.DUMMYFUNCTION("""COMPUTED_VALUE"""),44.0)</f>
        <v>44</v>
      </c>
      <c r="O316" s="17">
        <f>IFERROR(__xludf.DUMMYFUNCTION("""COMPUTED_VALUE"""),0.408)</f>
        <v>0.408</v>
      </c>
      <c r="P316" s="17">
        <f>IFERROR(__xludf.DUMMYFUNCTION("""COMPUTED_VALUE"""),0.702)</f>
        <v>0.702</v>
      </c>
      <c r="Q316" s="34">
        <f>IFERROR(__xludf.DUMMYFUNCTION("""COMPUTED_VALUE"""),0.01)</f>
        <v>0.01</v>
      </c>
      <c r="R316" s="34">
        <f>IFERROR(__xludf.DUMMYFUNCTION("""COMPUTED_VALUE"""),0.01)</f>
        <v>0.01</v>
      </c>
      <c r="S316" s="34">
        <f>IFERROR(__xludf.DUMMYFUNCTION("""COMPUTED_VALUE"""),0.0)</f>
        <v>0</v>
      </c>
      <c r="T316" s="17" t="str">
        <f t="shared" si="1"/>
        <v>Edmundo Sosa</v>
      </c>
    </row>
    <row r="317">
      <c r="A317" s="17">
        <f>IFERROR(__xludf.DUMMYFUNCTION("""COMPUTED_VALUE"""),317.0)</f>
        <v>317</v>
      </c>
      <c r="B317" s="17" t="str">
        <f>IFERROR(__xludf.DUMMYFUNCTION("""COMPUTED_VALUE"""),"Starling Marte (KC - LF,RF,DH)")</f>
        <v>Starling Marte (KC - LF,RF,DH)</v>
      </c>
      <c r="C317" s="17">
        <f>IFERROR(__xludf.DUMMYFUNCTION("""COMPUTED_VALUE"""),179.0)</f>
        <v>179</v>
      </c>
      <c r="D317" s="17">
        <f>IFERROR(__xludf.DUMMYFUNCTION("""COMPUTED_VALUE"""),23.0)</f>
        <v>23</v>
      </c>
      <c r="E317" s="17">
        <f>IFERROR(__xludf.DUMMYFUNCTION("""COMPUTED_VALUE"""),4.0)</f>
        <v>4</v>
      </c>
      <c r="F317" s="17">
        <f>IFERROR(__xludf.DUMMYFUNCTION("""COMPUTED_VALUE"""),20.0)</f>
        <v>20</v>
      </c>
      <c r="G317" s="17">
        <f>IFERROR(__xludf.DUMMYFUNCTION("""COMPUTED_VALUE"""),5.0)</f>
        <v>5</v>
      </c>
      <c r="H317" s="17">
        <f>IFERROR(__xludf.DUMMYFUNCTION("""COMPUTED_VALUE"""),0.264)</f>
        <v>0.264</v>
      </c>
      <c r="I317" s="17">
        <f>IFERROR(__xludf.DUMMYFUNCTION("""COMPUTED_VALUE"""),0.321)</f>
        <v>0.321</v>
      </c>
      <c r="J317" s="17">
        <f>IFERROR(__xludf.DUMMYFUNCTION("""COMPUTED_VALUE"""),47.0)</f>
        <v>47</v>
      </c>
      <c r="K317" s="17">
        <f>IFERROR(__xludf.DUMMYFUNCTION("""COMPUTED_VALUE"""),9.0)</f>
        <v>9</v>
      </c>
      <c r="L317" s="17">
        <f>IFERROR(__xludf.DUMMYFUNCTION("""COMPUTED_VALUE"""),1.0)</f>
        <v>1</v>
      </c>
      <c r="M317" s="17">
        <f>IFERROR(__xludf.DUMMYFUNCTION("""COMPUTED_VALUE"""),13.0)</f>
        <v>13</v>
      </c>
      <c r="N317" s="17">
        <f>IFERROR(__xludf.DUMMYFUNCTION("""COMPUTED_VALUE"""),42.0)</f>
        <v>42</v>
      </c>
      <c r="O317" s="17">
        <f>IFERROR(__xludf.DUMMYFUNCTION("""COMPUTED_VALUE"""),0.39)</f>
        <v>0.39</v>
      </c>
      <c r="P317" s="17">
        <f>IFERROR(__xludf.DUMMYFUNCTION("""COMPUTED_VALUE"""),0.711)</f>
        <v>0.711</v>
      </c>
      <c r="Q317" s="34">
        <f>IFERROR(__xludf.DUMMYFUNCTION("""COMPUTED_VALUE"""),0.0)</f>
        <v>0</v>
      </c>
      <c r="R317" s="34">
        <f>IFERROR(__xludf.DUMMYFUNCTION("""COMPUTED_VALUE"""),0.0)</f>
        <v>0</v>
      </c>
      <c r="S317" s="34">
        <f>IFERROR(__xludf.DUMMYFUNCTION("""COMPUTED_VALUE"""),0.01)</f>
        <v>0.01</v>
      </c>
      <c r="T317" s="17" t="str">
        <f t="shared" si="1"/>
        <v>Starling Marte</v>
      </c>
    </row>
    <row r="318">
      <c r="A318" s="17">
        <f>IFERROR(__xludf.DUMMYFUNCTION("""COMPUTED_VALUE"""),318.0)</f>
        <v>318</v>
      </c>
      <c r="B318" s="17" t="str">
        <f>IFERROR(__xludf.DUMMYFUNCTION("""COMPUTED_VALUE"""),"Romy Gonzalez (BOS - 1B,2B) IL60")</f>
        <v>Romy Gonzalez (BOS - 1B,2B) IL60</v>
      </c>
      <c r="C318" s="17">
        <f>IFERROR(__xludf.DUMMYFUNCTION("""COMPUTED_VALUE"""),149.0)</f>
        <v>149</v>
      </c>
      <c r="D318" s="17">
        <f>IFERROR(__xludf.DUMMYFUNCTION("""COMPUTED_VALUE"""),20.0)</f>
        <v>20</v>
      </c>
      <c r="E318" s="17">
        <f>IFERROR(__xludf.DUMMYFUNCTION("""COMPUTED_VALUE"""),5.0)</f>
        <v>5</v>
      </c>
      <c r="F318" s="17">
        <f>IFERROR(__xludf.DUMMYFUNCTION("""COMPUTED_VALUE"""),20.0)</f>
        <v>20</v>
      </c>
      <c r="G318" s="17">
        <f>IFERROR(__xludf.DUMMYFUNCTION("""COMPUTED_VALUE"""),4.0)</f>
        <v>4</v>
      </c>
      <c r="H318" s="17">
        <f>IFERROR(__xludf.DUMMYFUNCTION("""COMPUTED_VALUE"""),0.268)</f>
        <v>0.268</v>
      </c>
      <c r="I318" s="17">
        <f>IFERROR(__xludf.DUMMYFUNCTION("""COMPUTED_VALUE"""),0.315)</f>
        <v>0.315</v>
      </c>
      <c r="J318" s="17">
        <f>IFERROR(__xludf.DUMMYFUNCTION("""COMPUTED_VALUE"""),40.0)</f>
        <v>40</v>
      </c>
      <c r="K318" s="17">
        <f>IFERROR(__xludf.DUMMYFUNCTION("""COMPUTED_VALUE"""),8.0)</f>
        <v>8</v>
      </c>
      <c r="L318" s="17">
        <f>IFERROR(__xludf.DUMMYFUNCTION("""COMPUTED_VALUE"""),1.0)</f>
        <v>1</v>
      </c>
      <c r="M318" s="17">
        <f>IFERROR(__xludf.DUMMYFUNCTION("""COMPUTED_VALUE"""),9.0)</f>
        <v>9</v>
      </c>
      <c r="N318" s="17">
        <f>IFERROR(__xludf.DUMMYFUNCTION("""COMPUTED_VALUE"""),40.0)</f>
        <v>40</v>
      </c>
      <c r="O318" s="17">
        <f>IFERROR(__xludf.DUMMYFUNCTION("""COMPUTED_VALUE"""),0.435)</f>
        <v>0.435</v>
      </c>
      <c r="P318" s="17">
        <f>IFERROR(__xludf.DUMMYFUNCTION("""COMPUTED_VALUE"""),0.749)</f>
        <v>0.749</v>
      </c>
      <c r="Q318" s="34">
        <f>IFERROR(__xludf.DUMMYFUNCTION("""COMPUTED_VALUE"""),0.01)</f>
        <v>0.01</v>
      </c>
      <c r="R318" s="34">
        <f>IFERROR(__xludf.DUMMYFUNCTION("""COMPUTED_VALUE"""),0.02)</f>
        <v>0.02</v>
      </c>
      <c r="S318" s="34">
        <f>IFERROR(__xludf.DUMMYFUNCTION("""COMPUTED_VALUE"""),0.0)</f>
        <v>0</v>
      </c>
      <c r="T318" s="17" t="str">
        <f t="shared" si="1"/>
        <v>Romy Gonzalez</v>
      </c>
    </row>
    <row r="319">
      <c r="A319" s="17">
        <f>IFERROR(__xludf.DUMMYFUNCTION("""COMPUTED_VALUE"""),319.0)</f>
        <v>319</v>
      </c>
      <c r="B319" s="17" t="str">
        <f>IFERROR(__xludf.DUMMYFUNCTION("""COMPUTED_VALUE"""),"JJ Bleday (CIN - LF,CF,RF)")</f>
        <v>JJ Bleday (CIN - LF,CF,RF)</v>
      </c>
      <c r="C319" s="17">
        <f>IFERROR(__xludf.DUMMYFUNCTION("""COMPUTED_VALUE"""),163.0)</f>
        <v>163</v>
      </c>
      <c r="D319" s="17">
        <f>IFERROR(__xludf.DUMMYFUNCTION("""COMPUTED_VALUE"""),24.0)</f>
        <v>24</v>
      </c>
      <c r="E319" s="17">
        <f>IFERROR(__xludf.DUMMYFUNCTION("""COMPUTED_VALUE"""),8.0)</f>
        <v>8</v>
      </c>
      <c r="F319" s="17">
        <f>IFERROR(__xludf.DUMMYFUNCTION("""COMPUTED_VALUE"""),24.0)</f>
        <v>24</v>
      </c>
      <c r="G319" s="17">
        <f>IFERROR(__xludf.DUMMYFUNCTION("""COMPUTED_VALUE"""),1.0)</f>
        <v>1</v>
      </c>
      <c r="H319" s="17">
        <f>IFERROR(__xludf.DUMMYFUNCTION("""COMPUTED_VALUE"""),0.231)</f>
        <v>0.231</v>
      </c>
      <c r="I319" s="17">
        <f>IFERROR(__xludf.DUMMYFUNCTION("""COMPUTED_VALUE"""),0.323)</f>
        <v>0.323</v>
      </c>
      <c r="J319" s="17">
        <f>IFERROR(__xludf.DUMMYFUNCTION("""COMPUTED_VALUE"""),38.0)</f>
        <v>38</v>
      </c>
      <c r="K319" s="17">
        <f>IFERROR(__xludf.DUMMYFUNCTION("""COMPUTED_VALUE"""),8.0)</f>
        <v>8</v>
      </c>
      <c r="L319" s="17">
        <f>IFERROR(__xludf.DUMMYFUNCTION("""COMPUTED_VALUE"""),0.0)</f>
        <v>0</v>
      </c>
      <c r="M319" s="17">
        <f>IFERROR(__xludf.DUMMYFUNCTION("""COMPUTED_VALUE"""),21.0)</f>
        <v>21</v>
      </c>
      <c r="N319" s="17">
        <f>IFERROR(__xludf.DUMMYFUNCTION("""COMPUTED_VALUE"""),43.0)</f>
        <v>43</v>
      </c>
      <c r="O319" s="17">
        <f>IFERROR(__xludf.DUMMYFUNCTION("""COMPUTED_VALUE"""),0.434)</f>
        <v>0.434</v>
      </c>
      <c r="P319" s="17">
        <f>IFERROR(__xludf.DUMMYFUNCTION("""COMPUTED_VALUE"""),0.757)</f>
        <v>0.757</v>
      </c>
      <c r="Q319" s="34">
        <f>IFERROR(__xludf.DUMMYFUNCTION("""COMPUTED_VALUE"""),0.01)</f>
        <v>0.01</v>
      </c>
      <c r="R319" s="34">
        <f>IFERROR(__xludf.DUMMYFUNCTION("""COMPUTED_VALUE"""),0.01)</f>
        <v>0.01</v>
      </c>
      <c r="S319" s="34">
        <f>IFERROR(__xludf.DUMMYFUNCTION("""COMPUTED_VALUE"""),0.0)</f>
        <v>0</v>
      </c>
      <c r="T319" s="17" t="str">
        <f t="shared" si="1"/>
        <v>JJ Bleday</v>
      </c>
    </row>
    <row r="320">
      <c r="A320" s="17">
        <f>IFERROR(__xludf.DUMMYFUNCTION("""COMPUTED_VALUE"""),320.0)</f>
        <v>320</v>
      </c>
      <c r="B320" s="17" t="str">
        <f>IFERROR(__xludf.DUMMYFUNCTION("""COMPUTED_VALUE"""),"Ty France (SD - 1B)")</f>
        <v>Ty France (SD - 1B)</v>
      </c>
      <c r="C320" s="17">
        <f>IFERROR(__xludf.DUMMYFUNCTION("""COMPUTED_VALUE"""),198.0)</f>
        <v>198</v>
      </c>
      <c r="D320" s="17">
        <f>IFERROR(__xludf.DUMMYFUNCTION("""COMPUTED_VALUE"""),24.0)</f>
        <v>24</v>
      </c>
      <c r="E320" s="17">
        <f>IFERROR(__xludf.DUMMYFUNCTION("""COMPUTED_VALUE"""),5.0)</f>
        <v>5</v>
      </c>
      <c r="F320" s="17">
        <f>IFERROR(__xludf.DUMMYFUNCTION("""COMPUTED_VALUE"""),24.0)</f>
        <v>24</v>
      </c>
      <c r="G320" s="17">
        <f>IFERROR(__xludf.DUMMYFUNCTION("""COMPUTED_VALUE"""),1.0)</f>
        <v>1</v>
      </c>
      <c r="H320" s="17">
        <f>IFERROR(__xludf.DUMMYFUNCTION("""COMPUTED_VALUE"""),0.25)</f>
        <v>0.25</v>
      </c>
      <c r="I320" s="17">
        <f>IFERROR(__xludf.DUMMYFUNCTION("""COMPUTED_VALUE"""),0.321)</f>
        <v>0.321</v>
      </c>
      <c r="J320" s="17">
        <f>IFERROR(__xludf.DUMMYFUNCTION("""COMPUTED_VALUE"""),50.0)</f>
        <v>50</v>
      </c>
      <c r="K320" s="17">
        <f>IFERROR(__xludf.DUMMYFUNCTION("""COMPUTED_VALUE"""),9.0)</f>
        <v>9</v>
      </c>
      <c r="L320" s="17">
        <f>IFERROR(__xludf.DUMMYFUNCTION("""COMPUTED_VALUE"""),0.0)</f>
        <v>0</v>
      </c>
      <c r="M320" s="17">
        <f>IFERROR(__xludf.DUMMYFUNCTION("""COMPUTED_VALUE"""),14.0)</f>
        <v>14</v>
      </c>
      <c r="N320" s="17">
        <f>IFERROR(__xludf.DUMMYFUNCTION("""COMPUTED_VALUE"""),40.0)</f>
        <v>40</v>
      </c>
      <c r="O320" s="17">
        <f>IFERROR(__xludf.DUMMYFUNCTION("""COMPUTED_VALUE"""),0.378)</f>
        <v>0.378</v>
      </c>
      <c r="P320" s="17">
        <f>IFERROR(__xludf.DUMMYFUNCTION("""COMPUTED_VALUE"""),0.699)</f>
        <v>0.699</v>
      </c>
      <c r="Q320" s="34">
        <f>IFERROR(__xludf.DUMMYFUNCTION("""COMPUTED_VALUE"""),0.01)</f>
        <v>0.01</v>
      </c>
      <c r="R320" s="34">
        <f>IFERROR(__xludf.DUMMYFUNCTION("""COMPUTED_VALUE"""),0.01)</f>
        <v>0.01</v>
      </c>
      <c r="S320" s="34">
        <f>IFERROR(__xludf.DUMMYFUNCTION("""COMPUTED_VALUE"""),0.01)</f>
        <v>0.01</v>
      </c>
      <c r="T320" s="17" t="str">
        <f t="shared" si="1"/>
        <v>Ty France</v>
      </c>
    </row>
    <row r="321">
      <c r="A321" s="17">
        <f>IFERROR(__xludf.DUMMYFUNCTION("""COMPUTED_VALUE"""),321.0)</f>
        <v>321</v>
      </c>
      <c r="B321" s="17" t="str">
        <f>IFERROR(__xludf.DUMMYFUNCTION("""COMPUTED_VALUE"""),"Taylor Walls (TB - SS)")</f>
        <v>Taylor Walls (TB - SS)</v>
      </c>
      <c r="C321" s="17">
        <f>IFERROR(__xludf.DUMMYFUNCTION("""COMPUTED_VALUE"""),223.0)</f>
        <v>223</v>
      </c>
      <c r="D321" s="17">
        <f>IFERROR(__xludf.DUMMYFUNCTION("""COMPUTED_VALUE"""),29.0)</f>
        <v>29</v>
      </c>
      <c r="E321" s="17">
        <f>IFERROR(__xludf.DUMMYFUNCTION("""COMPUTED_VALUE"""),4.0)</f>
        <v>4</v>
      </c>
      <c r="F321" s="17">
        <f>IFERROR(__xludf.DUMMYFUNCTION("""COMPUTED_VALUE"""),21.0)</f>
        <v>21</v>
      </c>
      <c r="G321" s="17">
        <f>IFERROR(__xludf.DUMMYFUNCTION("""COMPUTED_VALUE"""),12.0)</f>
        <v>12</v>
      </c>
      <c r="H321" s="17">
        <f>IFERROR(__xludf.DUMMYFUNCTION("""COMPUTED_VALUE"""),0.208)</f>
        <v>0.208</v>
      </c>
      <c r="I321" s="17">
        <f>IFERROR(__xludf.DUMMYFUNCTION("""COMPUTED_VALUE"""),0.291)</f>
        <v>0.291</v>
      </c>
      <c r="J321" s="17">
        <f>IFERROR(__xludf.DUMMYFUNCTION("""COMPUTED_VALUE"""),46.0)</f>
        <v>46</v>
      </c>
      <c r="K321" s="17">
        <f>IFERROR(__xludf.DUMMYFUNCTION("""COMPUTED_VALUE"""),10.0)</f>
        <v>10</v>
      </c>
      <c r="L321" s="17">
        <f>IFERROR(__xludf.DUMMYFUNCTION("""COMPUTED_VALUE"""),1.0)</f>
        <v>1</v>
      </c>
      <c r="M321" s="17">
        <f>IFERROR(__xludf.DUMMYFUNCTION("""COMPUTED_VALUE"""),26.0)</f>
        <v>26</v>
      </c>
      <c r="N321" s="17">
        <f>IFERROR(__xludf.DUMMYFUNCTION("""COMPUTED_VALUE"""),62.0)</f>
        <v>62</v>
      </c>
      <c r="O321" s="17">
        <f>IFERROR(__xludf.DUMMYFUNCTION("""COMPUTED_VALUE"""),0.315)</f>
        <v>0.315</v>
      </c>
      <c r="P321" s="17">
        <f>IFERROR(__xludf.DUMMYFUNCTION("""COMPUTED_VALUE"""),0.606)</f>
        <v>0.606</v>
      </c>
      <c r="Q321" s="34">
        <f>IFERROR(__xludf.DUMMYFUNCTION("""COMPUTED_VALUE"""),0.0)</f>
        <v>0</v>
      </c>
      <c r="R321" s="34">
        <f>IFERROR(__xludf.DUMMYFUNCTION("""COMPUTED_VALUE"""),0.0)</f>
        <v>0</v>
      </c>
      <c r="S321" s="34">
        <f>IFERROR(__xludf.DUMMYFUNCTION("""COMPUTED_VALUE"""),0.0)</f>
        <v>0</v>
      </c>
      <c r="T321" s="17" t="str">
        <f t="shared" si="1"/>
        <v>Taylor Walls</v>
      </c>
    </row>
    <row r="322">
      <c r="A322" s="17">
        <f>IFERROR(__xludf.DUMMYFUNCTION("""COMPUTED_VALUE"""),322.0)</f>
        <v>322</v>
      </c>
      <c r="B322" s="17" t="str">
        <f>IFERROR(__xludf.DUMMYFUNCTION("""COMPUTED_VALUE"""),"Dalton Rushing (LAD - C)")</f>
        <v>Dalton Rushing (LAD - C)</v>
      </c>
      <c r="C322" s="17">
        <f>IFERROR(__xludf.DUMMYFUNCTION("""COMPUTED_VALUE"""),156.0)</f>
        <v>156</v>
      </c>
      <c r="D322" s="17">
        <f>IFERROR(__xludf.DUMMYFUNCTION("""COMPUTED_VALUE"""),23.0)</f>
        <v>23</v>
      </c>
      <c r="E322" s="17">
        <f>IFERROR(__xludf.DUMMYFUNCTION("""COMPUTED_VALUE"""),8.0)</f>
        <v>8</v>
      </c>
      <c r="F322" s="17">
        <f>IFERROR(__xludf.DUMMYFUNCTION("""COMPUTED_VALUE"""),24.0)</f>
        <v>24</v>
      </c>
      <c r="G322" s="17">
        <f>IFERROR(__xludf.DUMMYFUNCTION("""COMPUTED_VALUE"""),1.0)</f>
        <v>1</v>
      </c>
      <c r="H322" s="17">
        <f>IFERROR(__xludf.DUMMYFUNCTION("""COMPUTED_VALUE"""),0.23)</f>
        <v>0.23</v>
      </c>
      <c r="I322" s="17">
        <f>IFERROR(__xludf.DUMMYFUNCTION("""COMPUTED_VALUE"""),0.322)</f>
        <v>0.322</v>
      </c>
      <c r="J322" s="17">
        <f>IFERROR(__xludf.DUMMYFUNCTION("""COMPUTED_VALUE"""),36.0)</f>
        <v>36</v>
      </c>
      <c r="K322" s="17">
        <f>IFERROR(__xludf.DUMMYFUNCTION("""COMPUTED_VALUE"""),7.0)</f>
        <v>7</v>
      </c>
      <c r="L322" s="17">
        <f>IFERROR(__xludf.DUMMYFUNCTION("""COMPUTED_VALUE"""),0.0)</f>
        <v>0</v>
      </c>
      <c r="M322" s="17">
        <f>IFERROR(__xludf.DUMMYFUNCTION("""COMPUTED_VALUE"""),18.0)</f>
        <v>18</v>
      </c>
      <c r="N322" s="17">
        <f>IFERROR(__xludf.DUMMYFUNCTION("""COMPUTED_VALUE"""),50.0)</f>
        <v>50</v>
      </c>
      <c r="O322" s="17">
        <f>IFERROR(__xludf.DUMMYFUNCTION("""COMPUTED_VALUE"""),0.425)</f>
        <v>0.425</v>
      </c>
      <c r="P322" s="17">
        <f>IFERROR(__xludf.DUMMYFUNCTION("""COMPUTED_VALUE"""),0.746)</f>
        <v>0.746</v>
      </c>
      <c r="Q322" s="34">
        <f>IFERROR(__xludf.DUMMYFUNCTION("""COMPUTED_VALUE"""),0.25)</f>
        <v>0.25</v>
      </c>
      <c r="R322" s="34">
        <f>IFERROR(__xludf.DUMMYFUNCTION("""COMPUTED_VALUE"""),0.29)</f>
        <v>0.29</v>
      </c>
      <c r="S322" s="34">
        <f>IFERROR(__xludf.DUMMYFUNCTION("""COMPUTED_VALUE"""),0.22)</f>
        <v>0.22</v>
      </c>
      <c r="T322" s="17" t="str">
        <f t="shared" si="1"/>
        <v>Dalton Rushing</v>
      </c>
    </row>
    <row r="323">
      <c r="A323" s="17">
        <f>IFERROR(__xludf.DUMMYFUNCTION("""COMPUTED_VALUE"""),323.0)</f>
        <v>323</v>
      </c>
      <c r="B323" s="17" t="str">
        <f>IFERROR(__xludf.DUMMYFUNCTION("""COMPUTED_VALUE"""),"Jasson Dominguez (NYY - LF,CF)")</f>
        <v>Jasson Dominguez (NYY - LF,CF)</v>
      </c>
      <c r="C323" s="17">
        <f>IFERROR(__xludf.DUMMYFUNCTION("""COMPUTED_VALUE"""),142.0)</f>
        <v>142</v>
      </c>
      <c r="D323" s="17">
        <f>IFERROR(__xludf.DUMMYFUNCTION("""COMPUTED_VALUE"""),21.0)</f>
        <v>21</v>
      </c>
      <c r="E323" s="17">
        <f>IFERROR(__xludf.DUMMYFUNCTION("""COMPUTED_VALUE"""),5.0)</f>
        <v>5</v>
      </c>
      <c r="F323" s="17">
        <f>IFERROR(__xludf.DUMMYFUNCTION("""COMPUTED_VALUE"""),18.0)</f>
        <v>18</v>
      </c>
      <c r="G323" s="17">
        <f>IFERROR(__xludf.DUMMYFUNCTION("""COMPUTED_VALUE"""),7.0)</f>
        <v>7</v>
      </c>
      <c r="H323" s="17">
        <f>IFERROR(__xludf.DUMMYFUNCTION("""COMPUTED_VALUE"""),0.248)</f>
        <v>0.248</v>
      </c>
      <c r="I323" s="17">
        <f>IFERROR(__xludf.DUMMYFUNCTION("""COMPUTED_VALUE"""),0.325)</f>
        <v>0.325</v>
      </c>
      <c r="J323" s="17">
        <f>IFERROR(__xludf.DUMMYFUNCTION("""COMPUTED_VALUE"""),35.0)</f>
        <v>35</v>
      </c>
      <c r="K323" s="17">
        <f>IFERROR(__xludf.DUMMYFUNCTION("""COMPUTED_VALUE"""),7.0)</f>
        <v>7</v>
      </c>
      <c r="L323" s="17">
        <f>IFERROR(__xludf.DUMMYFUNCTION("""COMPUTED_VALUE"""),1.0)</f>
        <v>1</v>
      </c>
      <c r="M323" s="17">
        <f>IFERROR(__xludf.DUMMYFUNCTION("""COMPUTED_VALUE"""),15.0)</f>
        <v>15</v>
      </c>
      <c r="N323" s="17">
        <f>IFERROR(__xludf.DUMMYFUNCTION("""COMPUTED_VALUE"""),39.0)</f>
        <v>39</v>
      </c>
      <c r="O323" s="17">
        <f>IFERROR(__xludf.DUMMYFUNCTION("""COMPUTED_VALUE"""),0.407)</f>
        <v>0.407</v>
      </c>
      <c r="P323" s="17">
        <f>IFERROR(__xludf.DUMMYFUNCTION("""COMPUTED_VALUE"""),0.732)</f>
        <v>0.732</v>
      </c>
      <c r="Q323" s="34">
        <f>IFERROR(__xludf.DUMMYFUNCTION("""COMPUTED_VALUE"""),0.11)</f>
        <v>0.11</v>
      </c>
      <c r="R323" s="34">
        <f>IFERROR(__xludf.DUMMYFUNCTION("""COMPUTED_VALUE"""),0.16)</f>
        <v>0.16</v>
      </c>
      <c r="S323" s="34">
        <f>IFERROR(__xludf.DUMMYFUNCTION("""COMPUTED_VALUE"""),0.06)</f>
        <v>0.06</v>
      </c>
      <c r="T323" s="17" t="str">
        <f t="shared" si="1"/>
        <v>Jasson Dominguez</v>
      </c>
    </row>
    <row r="324">
      <c r="A324" s="17">
        <f>IFERROR(__xludf.DUMMYFUNCTION("""COMPUTED_VALUE"""),324.0)</f>
        <v>324</v>
      </c>
      <c r="B324" s="17" t="str">
        <f>IFERROR(__xludf.DUMMYFUNCTION("""COMPUTED_VALUE"""),"Nick Fortes (TB - C)")</f>
        <v>Nick Fortes (TB - C)</v>
      </c>
      <c r="C324" s="17">
        <f>IFERROR(__xludf.DUMMYFUNCTION("""COMPUTED_VALUE"""),244.0)</f>
        <v>244</v>
      </c>
      <c r="D324" s="17">
        <f>IFERROR(__xludf.DUMMYFUNCTION("""COMPUTED_VALUE"""),26.0)</f>
        <v>26</v>
      </c>
      <c r="E324" s="17">
        <f>IFERROR(__xludf.DUMMYFUNCTION("""COMPUTED_VALUE"""),6.0)</f>
        <v>6</v>
      </c>
      <c r="F324" s="17">
        <f>IFERROR(__xludf.DUMMYFUNCTION("""COMPUTED_VALUE"""),27.0)</f>
        <v>27</v>
      </c>
      <c r="G324" s="17">
        <f>IFERROR(__xludf.DUMMYFUNCTION("""COMPUTED_VALUE"""),2.0)</f>
        <v>2</v>
      </c>
      <c r="H324" s="17">
        <f>IFERROR(__xludf.DUMMYFUNCTION("""COMPUTED_VALUE"""),0.23)</f>
        <v>0.23</v>
      </c>
      <c r="I324" s="17">
        <f>IFERROR(__xludf.DUMMYFUNCTION("""COMPUTED_VALUE"""),0.285)</f>
        <v>0.285</v>
      </c>
      <c r="J324" s="17">
        <f>IFERROR(__xludf.DUMMYFUNCTION("""COMPUTED_VALUE"""),56.0)</f>
        <v>56</v>
      </c>
      <c r="K324" s="17">
        <f>IFERROR(__xludf.DUMMYFUNCTION("""COMPUTED_VALUE"""),10.0)</f>
        <v>10</v>
      </c>
      <c r="L324" s="17">
        <f>IFERROR(__xludf.DUMMYFUNCTION("""COMPUTED_VALUE"""),0.0)</f>
        <v>0</v>
      </c>
      <c r="M324" s="17">
        <f>IFERROR(__xludf.DUMMYFUNCTION("""COMPUTED_VALUE"""),16.0)</f>
        <v>16</v>
      </c>
      <c r="N324" s="17">
        <f>IFERROR(__xludf.DUMMYFUNCTION("""COMPUTED_VALUE"""),46.0)</f>
        <v>46</v>
      </c>
      <c r="O324" s="17">
        <f>IFERROR(__xludf.DUMMYFUNCTION("""COMPUTED_VALUE"""),0.351)</f>
        <v>0.351</v>
      </c>
      <c r="P324" s="17">
        <f>IFERROR(__xludf.DUMMYFUNCTION("""COMPUTED_VALUE"""),0.636)</f>
        <v>0.636</v>
      </c>
      <c r="Q324" s="34">
        <f>IFERROR(__xludf.DUMMYFUNCTION("""COMPUTED_VALUE"""),0.03)</f>
        <v>0.03</v>
      </c>
      <c r="R324" s="34">
        <f>IFERROR(__xludf.DUMMYFUNCTION("""COMPUTED_VALUE"""),0.02)</f>
        <v>0.02</v>
      </c>
      <c r="S324" s="34">
        <f>IFERROR(__xludf.DUMMYFUNCTION("""COMPUTED_VALUE"""),0.03)</f>
        <v>0.03</v>
      </c>
      <c r="T324" s="17" t="str">
        <f t="shared" si="1"/>
        <v>Nick Fortes</v>
      </c>
    </row>
    <row r="325">
      <c r="A325" s="17">
        <f>IFERROR(__xludf.DUMMYFUNCTION("""COMPUTED_VALUE"""),325.0)</f>
        <v>325</v>
      </c>
      <c r="B325" s="17" t="str">
        <f>IFERROR(__xludf.DUMMYFUNCTION("""COMPUTED_VALUE"""),"Javier Sanoja (MIA - 2B,3B,SS,LF,CF)")</f>
        <v>Javier Sanoja (MIA - 2B,3B,SS,LF,CF)</v>
      </c>
      <c r="C325" s="17">
        <f>IFERROR(__xludf.DUMMYFUNCTION("""COMPUTED_VALUE"""),179.0)</f>
        <v>179</v>
      </c>
      <c r="D325" s="17">
        <f>IFERROR(__xludf.DUMMYFUNCTION("""COMPUTED_VALUE"""),21.0)</f>
        <v>21</v>
      </c>
      <c r="E325" s="17">
        <f>IFERROR(__xludf.DUMMYFUNCTION("""COMPUTED_VALUE"""),3.0)</f>
        <v>3</v>
      </c>
      <c r="F325" s="17">
        <f>IFERROR(__xludf.DUMMYFUNCTION("""COMPUTED_VALUE"""),20.0)</f>
        <v>20</v>
      </c>
      <c r="G325" s="17">
        <f>IFERROR(__xludf.DUMMYFUNCTION("""COMPUTED_VALUE"""),5.0)</f>
        <v>5</v>
      </c>
      <c r="H325" s="17">
        <f>IFERROR(__xludf.DUMMYFUNCTION("""COMPUTED_VALUE"""),0.266)</f>
        <v>0.266</v>
      </c>
      <c r="I325" s="17">
        <f>IFERROR(__xludf.DUMMYFUNCTION("""COMPUTED_VALUE"""),0.312)</f>
        <v>0.312</v>
      </c>
      <c r="J325" s="17">
        <f>IFERROR(__xludf.DUMMYFUNCTION("""COMPUTED_VALUE"""),47.0)</f>
        <v>47</v>
      </c>
      <c r="K325" s="17">
        <f>IFERROR(__xludf.DUMMYFUNCTION("""COMPUTED_VALUE"""),10.0)</f>
        <v>10</v>
      </c>
      <c r="L325" s="17">
        <f>IFERROR(__xludf.DUMMYFUNCTION("""COMPUTED_VALUE"""),2.0)</f>
        <v>2</v>
      </c>
      <c r="M325" s="17">
        <f>IFERROR(__xludf.DUMMYFUNCTION("""COMPUTED_VALUE"""),12.0)</f>
        <v>12</v>
      </c>
      <c r="N325" s="17">
        <f>IFERROR(__xludf.DUMMYFUNCTION("""COMPUTED_VALUE"""),20.0)</f>
        <v>20</v>
      </c>
      <c r="O325" s="17">
        <f>IFERROR(__xludf.DUMMYFUNCTION("""COMPUTED_VALUE"""),0.384)</f>
        <v>0.384</v>
      </c>
      <c r="P325" s="17">
        <f>IFERROR(__xludf.DUMMYFUNCTION("""COMPUTED_VALUE"""),0.696)</f>
        <v>0.696</v>
      </c>
      <c r="Q325" s="34">
        <f>IFERROR(__xludf.DUMMYFUNCTION("""COMPUTED_VALUE"""),0.04)</f>
        <v>0.04</v>
      </c>
      <c r="R325" s="34">
        <f>IFERROR(__xludf.DUMMYFUNCTION("""COMPUTED_VALUE"""),0.02)</f>
        <v>0.02</v>
      </c>
      <c r="S325" s="34">
        <f>IFERROR(__xludf.DUMMYFUNCTION("""COMPUTED_VALUE"""),0.05)</f>
        <v>0.05</v>
      </c>
      <c r="T325" s="17" t="str">
        <f t="shared" si="1"/>
        <v>Javier Sanoja</v>
      </c>
    </row>
    <row r="326">
      <c r="A326" s="17">
        <f>IFERROR(__xludf.DUMMYFUNCTION("""COMPUTED_VALUE"""),326.0)</f>
        <v>326</v>
      </c>
      <c r="B326" s="17" t="str">
        <f>IFERROR(__xludf.DUMMYFUNCTION("""COMPUTED_VALUE"""),"Leody Taveras (BAL - CF,RF)")</f>
        <v>Leody Taveras (BAL - CF,RF)</v>
      </c>
      <c r="C326" s="17">
        <f>IFERROR(__xludf.DUMMYFUNCTION("""COMPUTED_VALUE"""),165.0)</f>
        <v>165</v>
      </c>
      <c r="D326" s="17">
        <f>IFERROR(__xludf.DUMMYFUNCTION("""COMPUTED_VALUE"""),21.0)</f>
        <v>21</v>
      </c>
      <c r="E326" s="17">
        <f>IFERROR(__xludf.DUMMYFUNCTION("""COMPUTED_VALUE"""),5.0)</f>
        <v>5</v>
      </c>
      <c r="F326" s="17">
        <f>IFERROR(__xludf.DUMMYFUNCTION("""COMPUTED_VALUE"""),19.0)</f>
        <v>19</v>
      </c>
      <c r="G326" s="17">
        <f>IFERROR(__xludf.DUMMYFUNCTION("""COMPUTED_VALUE"""),7.0)</f>
        <v>7</v>
      </c>
      <c r="H326" s="17">
        <f>IFERROR(__xludf.DUMMYFUNCTION("""COMPUTED_VALUE"""),0.244)</f>
        <v>0.244</v>
      </c>
      <c r="I326" s="17">
        <f>IFERROR(__xludf.DUMMYFUNCTION("""COMPUTED_VALUE"""),0.3)</f>
        <v>0.3</v>
      </c>
      <c r="J326" s="17">
        <f>IFERROR(__xludf.DUMMYFUNCTION("""COMPUTED_VALUE"""),40.0)</f>
        <v>40</v>
      </c>
      <c r="K326" s="17">
        <f>IFERROR(__xludf.DUMMYFUNCTION("""COMPUTED_VALUE"""),7.0)</f>
        <v>7</v>
      </c>
      <c r="L326" s="17">
        <f>IFERROR(__xludf.DUMMYFUNCTION("""COMPUTED_VALUE"""),1.0)</f>
        <v>1</v>
      </c>
      <c r="M326" s="17">
        <f>IFERROR(__xludf.DUMMYFUNCTION("""COMPUTED_VALUE"""),14.0)</f>
        <v>14</v>
      </c>
      <c r="N326" s="17">
        <f>IFERROR(__xludf.DUMMYFUNCTION("""COMPUTED_VALUE"""),38.0)</f>
        <v>38</v>
      </c>
      <c r="O326" s="17">
        <f>IFERROR(__xludf.DUMMYFUNCTION("""COMPUTED_VALUE"""),0.382)</f>
        <v>0.382</v>
      </c>
      <c r="P326" s="17">
        <f>IFERROR(__xludf.DUMMYFUNCTION("""COMPUTED_VALUE"""),0.682)</f>
        <v>0.682</v>
      </c>
      <c r="Q326" s="34">
        <f>IFERROR(__xludf.DUMMYFUNCTION("""COMPUTED_VALUE"""),0.03)</f>
        <v>0.03</v>
      </c>
      <c r="R326" s="34">
        <f>IFERROR(__xludf.DUMMYFUNCTION("""COMPUTED_VALUE"""),0.03)</f>
        <v>0.03</v>
      </c>
      <c r="S326" s="34">
        <f>IFERROR(__xludf.DUMMYFUNCTION("""COMPUTED_VALUE"""),0.02)</f>
        <v>0.02</v>
      </c>
      <c r="T326" s="17" t="str">
        <f t="shared" si="1"/>
        <v>Leody Taveras</v>
      </c>
    </row>
    <row r="327">
      <c r="A327" s="17">
        <f>IFERROR(__xludf.DUMMYFUNCTION("""COMPUTED_VALUE"""),327.0)</f>
        <v>327</v>
      </c>
      <c r="B327" s="17" t="str">
        <f>IFERROR(__xludf.DUMMYFUNCTION("""COMPUTED_VALUE"""),"Thomas Saggese (STL - 2B,3B,SS,LF)")</f>
        <v>Thomas Saggese (STL - 2B,3B,SS,LF)</v>
      </c>
      <c r="C327" s="17">
        <f>IFERROR(__xludf.DUMMYFUNCTION("""COMPUTED_VALUE"""),207.0)</f>
        <v>207</v>
      </c>
      <c r="D327" s="17">
        <f>IFERROR(__xludf.DUMMYFUNCTION("""COMPUTED_VALUE"""),24.0)</f>
        <v>24</v>
      </c>
      <c r="E327" s="17">
        <f>IFERROR(__xludf.DUMMYFUNCTION("""COMPUTED_VALUE"""),4.0)</f>
        <v>4</v>
      </c>
      <c r="F327" s="17">
        <f>IFERROR(__xludf.DUMMYFUNCTION("""COMPUTED_VALUE"""),23.0)</f>
        <v>23</v>
      </c>
      <c r="G327" s="17">
        <f>IFERROR(__xludf.DUMMYFUNCTION("""COMPUTED_VALUE"""),3.0)</f>
        <v>3</v>
      </c>
      <c r="H327" s="17">
        <f>IFERROR(__xludf.DUMMYFUNCTION("""COMPUTED_VALUE"""),0.245)</f>
        <v>0.245</v>
      </c>
      <c r="I327" s="17">
        <f>IFERROR(__xludf.DUMMYFUNCTION("""COMPUTED_VALUE"""),0.299)</f>
        <v>0.299</v>
      </c>
      <c r="J327" s="17">
        <f>IFERROR(__xludf.DUMMYFUNCTION("""COMPUTED_VALUE"""),51.0)</f>
        <v>51</v>
      </c>
      <c r="K327" s="17">
        <f>IFERROR(__xludf.DUMMYFUNCTION("""COMPUTED_VALUE"""),10.0)</f>
        <v>10</v>
      </c>
      <c r="L327" s="17">
        <f>IFERROR(__xludf.DUMMYFUNCTION("""COMPUTED_VALUE"""),1.0)</f>
        <v>1</v>
      </c>
      <c r="M327" s="17">
        <f>IFERROR(__xludf.DUMMYFUNCTION("""COMPUTED_VALUE"""),14.0)</f>
        <v>14</v>
      </c>
      <c r="N327" s="17">
        <f>IFERROR(__xludf.DUMMYFUNCTION("""COMPUTED_VALUE"""),59.0)</f>
        <v>59</v>
      </c>
      <c r="O327" s="17">
        <f>IFERROR(__xludf.DUMMYFUNCTION("""COMPUTED_VALUE"""),0.367)</f>
        <v>0.367</v>
      </c>
      <c r="P327" s="17">
        <f>IFERROR(__xludf.DUMMYFUNCTION("""COMPUTED_VALUE"""),0.665)</f>
        <v>0.665</v>
      </c>
      <c r="Q327" s="34">
        <f>IFERROR(__xludf.DUMMYFUNCTION("""COMPUTED_VALUE"""),0.0)</f>
        <v>0</v>
      </c>
      <c r="R327" s="34">
        <f>IFERROR(__xludf.DUMMYFUNCTION("""COMPUTED_VALUE"""),0.0)</f>
        <v>0</v>
      </c>
      <c r="S327" s="34">
        <f>IFERROR(__xludf.DUMMYFUNCTION("""COMPUTED_VALUE"""),0.0)</f>
        <v>0</v>
      </c>
      <c r="T327" s="17" t="str">
        <f t="shared" si="1"/>
        <v>Thomas Saggese</v>
      </c>
    </row>
    <row r="328">
      <c r="A328" s="17">
        <f>IFERROR(__xludf.DUMMYFUNCTION("""COMPUTED_VALUE"""),328.0)</f>
        <v>328</v>
      </c>
      <c r="B328" s="17" t="str">
        <f>IFERROR(__xludf.DUMMYFUNCTION("""COMPUTED_VALUE"""),"Gary Sanchez (MIL - C,1B,DH)")</f>
        <v>Gary Sanchez (MIL - C,1B,DH)</v>
      </c>
      <c r="C328" s="17">
        <f>IFERROR(__xludf.DUMMYFUNCTION("""COMPUTED_VALUE"""),163.0)</f>
        <v>163</v>
      </c>
      <c r="D328" s="17">
        <f>IFERROR(__xludf.DUMMYFUNCTION("""COMPUTED_VALUE"""),21.0)</f>
        <v>21</v>
      </c>
      <c r="E328" s="17">
        <f>IFERROR(__xludf.DUMMYFUNCTION("""COMPUTED_VALUE"""),9.0)</f>
        <v>9</v>
      </c>
      <c r="F328" s="17">
        <f>IFERROR(__xludf.DUMMYFUNCTION("""COMPUTED_VALUE"""),27.0)</f>
        <v>27</v>
      </c>
      <c r="G328" s="17">
        <f>IFERROR(__xludf.DUMMYFUNCTION("""COMPUTED_VALUE"""),0.0)</f>
        <v>0</v>
      </c>
      <c r="H328" s="17">
        <f>IFERROR(__xludf.DUMMYFUNCTION("""COMPUTED_VALUE"""),0.218)</f>
        <v>0.218</v>
      </c>
      <c r="I328" s="17">
        <f>IFERROR(__xludf.DUMMYFUNCTION("""COMPUTED_VALUE"""),0.305)</f>
        <v>0.305</v>
      </c>
      <c r="J328" s="17">
        <f>IFERROR(__xludf.DUMMYFUNCTION("""COMPUTED_VALUE"""),36.0)</f>
        <v>36</v>
      </c>
      <c r="K328" s="17">
        <f>IFERROR(__xludf.DUMMYFUNCTION("""COMPUTED_VALUE"""),6.0)</f>
        <v>6</v>
      </c>
      <c r="L328" s="17">
        <f>IFERROR(__xludf.DUMMYFUNCTION("""COMPUTED_VALUE"""),0.0)</f>
        <v>0</v>
      </c>
      <c r="M328" s="17">
        <f>IFERROR(__xludf.DUMMYFUNCTION("""COMPUTED_VALUE"""),17.0)</f>
        <v>17</v>
      </c>
      <c r="N328" s="17">
        <f>IFERROR(__xludf.DUMMYFUNCTION("""COMPUTED_VALUE"""),50.0)</f>
        <v>50</v>
      </c>
      <c r="O328" s="17">
        <f>IFERROR(__xludf.DUMMYFUNCTION("""COMPUTED_VALUE"""),0.419)</f>
        <v>0.419</v>
      </c>
      <c r="P328" s="17">
        <f>IFERROR(__xludf.DUMMYFUNCTION("""COMPUTED_VALUE"""),0.724)</f>
        <v>0.724</v>
      </c>
      <c r="Q328" s="34">
        <f>IFERROR(__xludf.DUMMYFUNCTION("""COMPUTED_VALUE"""),0.06)</f>
        <v>0.06</v>
      </c>
      <c r="R328" s="34">
        <f>IFERROR(__xludf.DUMMYFUNCTION("""COMPUTED_VALUE"""),0.05)</f>
        <v>0.05</v>
      </c>
      <c r="S328" s="34">
        <f>IFERROR(__xludf.DUMMYFUNCTION("""COMPUTED_VALUE"""),0.06)</f>
        <v>0.06</v>
      </c>
      <c r="T328" s="17" t="str">
        <f t="shared" si="1"/>
        <v>Gary Sanchez</v>
      </c>
    </row>
    <row r="329">
      <c r="A329" s="17">
        <f>IFERROR(__xludf.DUMMYFUNCTION("""COMPUTED_VALUE"""),329.0)</f>
        <v>329</v>
      </c>
      <c r="B329" s="17" t="str">
        <f>IFERROR(__xludf.DUMMYFUNCTION("""COMPUTED_VALUE"""),"Graham Pauley (MIA - 3B)")</f>
        <v>Graham Pauley (MIA - 3B)</v>
      </c>
      <c r="C329" s="17">
        <f>IFERROR(__xludf.DUMMYFUNCTION("""COMPUTED_VALUE"""),209.0)</f>
        <v>209</v>
      </c>
      <c r="D329" s="17">
        <f>IFERROR(__xludf.DUMMYFUNCTION("""COMPUTED_VALUE"""),25.0)</f>
        <v>25</v>
      </c>
      <c r="E329" s="17">
        <f>IFERROR(__xludf.DUMMYFUNCTION("""COMPUTED_VALUE"""),6.0)</f>
        <v>6</v>
      </c>
      <c r="F329" s="17">
        <f>IFERROR(__xludf.DUMMYFUNCTION("""COMPUTED_VALUE"""),25.0)</f>
        <v>25</v>
      </c>
      <c r="G329" s="17">
        <f>IFERROR(__xludf.DUMMYFUNCTION("""COMPUTED_VALUE"""),3.0)</f>
        <v>3</v>
      </c>
      <c r="H329" s="17">
        <f>IFERROR(__xludf.DUMMYFUNCTION("""COMPUTED_VALUE"""),0.225)</f>
        <v>0.225</v>
      </c>
      <c r="I329" s="17">
        <f>IFERROR(__xludf.DUMMYFUNCTION("""COMPUTED_VALUE"""),0.296)</f>
        <v>0.296</v>
      </c>
      <c r="J329" s="17">
        <f>IFERROR(__xludf.DUMMYFUNCTION("""COMPUTED_VALUE"""),47.0)</f>
        <v>47</v>
      </c>
      <c r="K329" s="17">
        <f>IFERROR(__xludf.DUMMYFUNCTION("""COMPUTED_VALUE"""),11.0)</f>
        <v>11</v>
      </c>
      <c r="L329" s="17">
        <f>IFERROR(__xludf.DUMMYFUNCTION("""COMPUTED_VALUE"""),1.0)</f>
        <v>1</v>
      </c>
      <c r="M329" s="17">
        <f>IFERROR(__xludf.DUMMYFUNCTION("""COMPUTED_VALUE"""),20.0)</f>
        <v>20</v>
      </c>
      <c r="N329" s="17">
        <f>IFERROR(__xludf.DUMMYFUNCTION("""COMPUTED_VALUE"""),49.0)</f>
        <v>49</v>
      </c>
      <c r="O329" s="17">
        <f>IFERROR(__xludf.DUMMYFUNCTION("""COMPUTED_VALUE"""),0.37)</f>
        <v>0.37</v>
      </c>
      <c r="P329" s="17">
        <f>IFERROR(__xludf.DUMMYFUNCTION("""COMPUTED_VALUE"""),0.666)</f>
        <v>0.666</v>
      </c>
      <c r="Q329" s="34">
        <f>IFERROR(__xludf.DUMMYFUNCTION("""COMPUTED_VALUE"""),0.0)</f>
        <v>0</v>
      </c>
      <c r="R329" s="34">
        <f>IFERROR(__xludf.DUMMYFUNCTION("""COMPUTED_VALUE"""),0.0)</f>
        <v>0</v>
      </c>
      <c r="S329" s="34">
        <f>IFERROR(__xludf.DUMMYFUNCTION("""COMPUTED_VALUE"""),0.0)</f>
        <v>0</v>
      </c>
      <c r="T329" s="17" t="str">
        <f t="shared" si="1"/>
        <v>Graham Pauley</v>
      </c>
    </row>
    <row r="330">
      <c r="A330" s="17">
        <f>IFERROR(__xludf.DUMMYFUNCTION("""COMPUTED_VALUE"""),330.0)</f>
        <v>330</v>
      </c>
      <c r="B330" s="17" t="str">
        <f>IFERROR(__xludf.DUMMYFUNCTION("""COMPUTED_VALUE"""),"Miguel Amaya (CHC - C,DH)")</f>
        <v>Miguel Amaya (CHC - C,DH)</v>
      </c>
      <c r="C330" s="17">
        <f>IFERROR(__xludf.DUMMYFUNCTION("""COMPUTED_VALUE"""),198.0)</f>
        <v>198</v>
      </c>
      <c r="D330" s="17">
        <f>IFERROR(__xludf.DUMMYFUNCTION("""COMPUTED_VALUE"""),24.0)</f>
        <v>24</v>
      </c>
      <c r="E330" s="17">
        <f>IFERROR(__xludf.DUMMYFUNCTION("""COMPUTED_VALUE"""),6.0)</f>
        <v>6</v>
      </c>
      <c r="F330" s="17">
        <f>IFERROR(__xludf.DUMMYFUNCTION("""COMPUTED_VALUE"""),26.0)</f>
        <v>26</v>
      </c>
      <c r="G330" s="17">
        <f>IFERROR(__xludf.DUMMYFUNCTION("""COMPUTED_VALUE"""),1.0)</f>
        <v>1</v>
      </c>
      <c r="H330" s="17">
        <f>IFERROR(__xludf.DUMMYFUNCTION("""COMPUTED_VALUE"""),0.233)</f>
        <v>0.233</v>
      </c>
      <c r="I330" s="17">
        <f>IFERROR(__xludf.DUMMYFUNCTION("""COMPUTED_VALUE"""),0.303)</f>
        <v>0.303</v>
      </c>
      <c r="J330" s="17">
        <f>IFERROR(__xludf.DUMMYFUNCTION("""COMPUTED_VALUE"""),46.0)</f>
        <v>46</v>
      </c>
      <c r="K330" s="17">
        <f>IFERROR(__xludf.DUMMYFUNCTION("""COMPUTED_VALUE"""),9.0)</f>
        <v>9</v>
      </c>
      <c r="L330" s="17">
        <f>IFERROR(__xludf.DUMMYFUNCTION("""COMPUTED_VALUE"""),1.0)</f>
        <v>1</v>
      </c>
      <c r="M330" s="17">
        <f>IFERROR(__xludf.DUMMYFUNCTION("""COMPUTED_VALUE"""),17.0)</f>
        <v>17</v>
      </c>
      <c r="N330" s="17">
        <f>IFERROR(__xludf.DUMMYFUNCTION("""COMPUTED_VALUE"""),47.0)</f>
        <v>47</v>
      </c>
      <c r="O330" s="17">
        <f>IFERROR(__xludf.DUMMYFUNCTION("""COMPUTED_VALUE"""),0.377)</f>
        <v>0.377</v>
      </c>
      <c r="P330" s="17">
        <f>IFERROR(__xludf.DUMMYFUNCTION("""COMPUTED_VALUE"""),0.68)</f>
        <v>0.68</v>
      </c>
      <c r="Q330" s="34">
        <f>IFERROR(__xludf.DUMMYFUNCTION("""COMPUTED_VALUE"""),0.01)</f>
        <v>0.01</v>
      </c>
      <c r="R330" s="34">
        <f>IFERROR(__xludf.DUMMYFUNCTION("""COMPUTED_VALUE"""),0.01)</f>
        <v>0.01</v>
      </c>
      <c r="S330" s="34">
        <f>IFERROR(__xludf.DUMMYFUNCTION("""COMPUTED_VALUE"""),0.01)</f>
        <v>0.01</v>
      </c>
      <c r="T330" s="17" t="str">
        <f t="shared" si="1"/>
        <v>Miguel Amaya</v>
      </c>
    </row>
    <row r="331">
      <c r="A331" s="17">
        <f>IFERROR(__xludf.DUMMYFUNCTION("""COMPUTED_VALUE"""),331.0)</f>
        <v>331</v>
      </c>
      <c r="B331" s="17" t="str">
        <f>IFERROR(__xludf.DUMMYFUNCTION("""COMPUTED_VALUE"""),"Tyrone Taylor (NYM - LF,CF,RF)")</f>
        <v>Tyrone Taylor (NYM - LF,CF,RF)</v>
      </c>
      <c r="C331" s="17">
        <f>IFERROR(__xludf.DUMMYFUNCTION("""COMPUTED_VALUE"""),195.0)</f>
        <v>195</v>
      </c>
      <c r="D331" s="17">
        <f>IFERROR(__xludf.DUMMYFUNCTION("""COMPUTED_VALUE"""),24.0)</f>
        <v>24</v>
      </c>
      <c r="E331" s="17">
        <f>IFERROR(__xludf.DUMMYFUNCTION("""COMPUTED_VALUE"""),5.0)</f>
        <v>5</v>
      </c>
      <c r="F331" s="17">
        <f>IFERROR(__xludf.DUMMYFUNCTION("""COMPUTED_VALUE"""),22.0)</f>
        <v>22</v>
      </c>
      <c r="G331" s="17">
        <f>IFERROR(__xludf.DUMMYFUNCTION("""COMPUTED_VALUE"""),5.0)</f>
        <v>5</v>
      </c>
      <c r="H331" s="17">
        <f>IFERROR(__xludf.DUMMYFUNCTION("""COMPUTED_VALUE"""),0.23)</f>
        <v>0.23</v>
      </c>
      <c r="I331" s="17">
        <f>IFERROR(__xludf.DUMMYFUNCTION("""COMPUTED_VALUE"""),0.283)</f>
        <v>0.283</v>
      </c>
      <c r="J331" s="17">
        <f>IFERROR(__xludf.DUMMYFUNCTION("""COMPUTED_VALUE"""),45.0)</f>
        <v>45</v>
      </c>
      <c r="K331" s="17">
        <f>IFERROR(__xludf.DUMMYFUNCTION("""COMPUTED_VALUE"""),10.0)</f>
        <v>10</v>
      </c>
      <c r="L331" s="17">
        <f>IFERROR(__xludf.DUMMYFUNCTION("""COMPUTED_VALUE"""),2.0)</f>
        <v>2</v>
      </c>
      <c r="M331" s="17">
        <f>IFERROR(__xludf.DUMMYFUNCTION("""COMPUTED_VALUE"""),11.0)</f>
        <v>11</v>
      </c>
      <c r="N331" s="17">
        <f>IFERROR(__xludf.DUMMYFUNCTION("""COMPUTED_VALUE"""),48.0)</f>
        <v>48</v>
      </c>
      <c r="O331" s="17">
        <f>IFERROR(__xludf.DUMMYFUNCTION("""COMPUTED_VALUE"""),0.375)</f>
        <v>0.375</v>
      </c>
      <c r="P331" s="17">
        <f>IFERROR(__xludf.DUMMYFUNCTION("""COMPUTED_VALUE"""),0.658)</f>
        <v>0.658</v>
      </c>
      <c r="Q331" s="34">
        <f>IFERROR(__xludf.DUMMYFUNCTION("""COMPUTED_VALUE"""),0.0)</f>
        <v>0</v>
      </c>
      <c r="R331" s="34">
        <f>IFERROR(__xludf.DUMMYFUNCTION("""COMPUTED_VALUE"""),0.0)</f>
        <v>0</v>
      </c>
      <c r="S331" s="34">
        <f>IFERROR(__xludf.DUMMYFUNCTION("""COMPUTED_VALUE"""),0.0)</f>
        <v>0</v>
      </c>
      <c r="T331" s="17" t="str">
        <f t="shared" si="1"/>
        <v>Tyrone Taylor</v>
      </c>
    </row>
    <row r="332">
      <c r="A332" s="17">
        <f>IFERROR(__xludf.DUMMYFUNCTION("""COMPUTED_VALUE"""),332.0)</f>
        <v>332</v>
      </c>
      <c r="B332" s="17" t="str">
        <f>IFERROR(__xludf.DUMMYFUNCTION("""COMPUTED_VALUE"""),"Keibert Ruiz (WSH - C)")</f>
        <v>Keibert Ruiz (WSH - C)</v>
      </c>
      <c r="C332" s="17">
        <f>IFERROR(__xludf.DUMMYFUNCTION("""COMPUTED_VALUE"""),207.0)</f>
        <v>207</v>
      </c>
      <c r="D332" s="17">
        <f>IFERROR(__xludf.DUMMYFUNCTION("""COMPUTED_VALUE"""),22.0)</f>
        <v>22</v>
      </c>
      <c r="E332" s="17">
        <f>IFERROR(__xludf.DUMMYFUNCTION("""COMPUTED_VALUE"""),6.0)</f>
        <v>6</v>
      </c>
      <c r="F332" s="17">
        <f>IFERROR(__xludf.DUMMYFUNCTION("""COMPUTED_VALUE"""),25.0)</f>
        <v>25</v>
      </c>
      <c r="G332" s="17">
        <f>IFERROR(__xludf.DUMMYFUNCTION("""COMPUTED_VALUE"""),1.0)</f>
        <v>1</v>
      </c>
      <c r="H332" s="17">
        <f>IFERROR(__xludf.DUMMYFUNCTION("""COMPUTED_VALUE"""),0.243)</f>
        <v>0.243</v>
      </c>
      <c r="I332" s="17">
        <f>IFERROR(__xludf.DUMMYFUNCTION("""COMPUTED_VALUE"""),0.288)</f>
        <v>0.288</v>
      </c>
      <c r="J332" s="17">
        <f>IFERROR(__xludf.DUMMYFUNCTION("""COMPUTED_VALUE"""),50.0)</f>
        <v>50</v>
      </c>
      <c r="K332" s="17">
        <f>IFERROR(__xludf.DUMMYFUNCTION("""COMPUTED_VALUE"""),10.0)</f>
        <v>10</v>
      </c>
      <c r="L332" s="17">
        <f>IFERROR(__xludf.DUMMYFUNCTION("""COMPUTED_VALUE"""),0.0)</f>
        <v>0</v>
      </c>
      <c r="M332" s="17">
        <f>IFERROR(__xludf.DUMMYFUNCTION("""COMPUTED_VALUE"""),11.0)</f>
        <v>11</v>
      </c>
      <c r="N332" s="17">
        <f>IFERROR(__xludf.DUMMYFUNCTION("""COMPUTED_VALUE"""),26.0)</f>
        <v>26</v>
      </c>
      <c r="O332" s="17">
        <f>IFERROR(__xludf.DUMMYFUNCTION("""COMPUTED_VALUE"""),0.374)</f>
        <v>0.374</v>
      </c>
      <c r="P332" s="17">
        <f>IFERROR(__xludf.DUMMYFUNCTION("""COMPUTED_VALUE"""),0.662)</f>
        <v>0.662</v>
      </c>
      <c r="Q332" s="34">
        <f>IFERROR(__xludf.DUMMYFUNCTION("""COMPUTED_VALUE"""),0.01)</f>
        <v>0.01</v>
      </c>
      <c r="R332" s="34">
        <f>IFERROR(__xludf.DUMMYFUNCTION("""COMPUTED_VALUE"""),0.0)</f>
        <v>0</v>
      </c>
      <c r="S332" s="34">
        <f>IFERROR(__xludf.DUMMYFUNCTION("""COMPUTED_VALUE"""),0.01)</f>
        <v>0.01</v>
      </c>
      <c r="T332" s="17" t="str">
        <f t="shared" si="1"/>
        <v>Keibert Ruiz</v>
      </c>
    </row>
    <row r="333">
      <c r="A333" s="17">
        <f>IFERROR(__xludf.DUMMYFUNCTION("""COMPUTED_VALUE"""),333.0)</f>
        <v>333</v>
      </c>
      <c r="B333" s="17" t="str">
        <f>IFERROR(__xludf.DUMMYFUNCTION("""COMPUTED_VALUE"""),"Henry Davis (PIT - C)")</f>
        <v>Henry Davis (PIT - C)</v>
      </c>
      <c r="C333" s="17">
        <f>IFERROR(__xludf.DUMMYFUNCTION("""COMPUTED_VALUE"""),207.0)</f>
        <v>207</v>
      </c>
      <c r="D333" s="17">
        <f>IFERROR(__xludf.DUMMYFUNCTION("""COMPUTED_VALUE"""),26.0)</f>
        <v>26</v>
      </c>
      <c r="E333" s="17">
        <f>IFERROR(__xludf.DUMMYFUNCTION("""COMPUTED_VALUE"""),6.0)</f>
        <v>6</v>
      </c>
      <c r="F333" s="17">
        <f>IFERROR(__xludf.DUMMYFUNCTION("""COMPUTED_VALUE"""),24.0)</f>
        <v>24</v>
      </c>
      <c r="G333" s="17">
        <f>IFERROR(__xludf.DUMMYFUNCTION("""COMPUTED_VALUE"""),3.0)</f>
        <v>3</v>
      </c>
      <c r="H333" s="17">
        <f>IFERROR(__xludf.DUMMYFUNCTION("""COMPUTED_VALUE"""),0.22)</f>
        <v>0.22</v>
      </c>
      <c r="I333" s="17">
        <f>IFERROR(__xludf.DUMMYFUNCTION("""COMPUTED_VALUE"""),0.3)</f>
        <v>0.3</v>
      </c>
      <c r="J333" s="17">
        <f>IFERROR(__xludf.DUMMYFUNCTION("""COMPUTED_VALUE"""),46.0)</f>
        <v>46</v>
      </c>
      <c r="K333" s="17">
        <f>IFERROR(__xludf.DUMMYFUNCTION("""COMPUTED_VALUE"""),10.0)</f>
        <v>10</v>
      </c>
      <c r="L333" s="17">
        <f>IFERROR(__xludf.DUMMYFUNCTION("""COMPUTED_VALUE"""),0.0)</f>
        <v>0</v>
      </c>
      <c r="M333" s="17">
        <f>IFERROR(__xludf.DUMMYFUNCTION("""COMPUTED_VALUE"""),19.0)</f>
        <v>19</v>
      </c>
      <c r="N333" s="17">
        <f>IFERROR(__xludf.DUMMYFUNCTION("""COMPUTED_VALUE"""),58.0)</f>
        <v>58</v>
      </c>
      <c r="O333" s="17">
        <f>IFERROR(__xludf.DUMMYFUNCTION("""COMPUTED_VALUE"""),0.36)</f>
        <v>0.36</v>
      </c>
      <c r="P333" s="17">
        <f>IFERROR(__xludf.DUMMYFUNCTION("""COMPUTED_VALUE"""),0.66)</f>
        <v>0.66</v>
      </c>
      <c r="Q333" s="34">
        <f>IFERROR(__xludf.DUMMYFUNCTION("""COMPUTED_VALUE"""),0.0)</f>
        <v>0</v>
      </c>
      <c r="R333" s="34">
        <f>IFERROR(__xludf.DUMMYFUNCTION("""COMPUTED_VALUE"""),0.0)</f>
        <v>0</v>
      </c>
      <c r="S333" s="34">
        <f>IFERROR(__xludf.DUMMYFUNCTION("""COMPUTED_VALUE"""),0.01)</f>
        <v>0.01</v>
      </c>
      <c r="T333" s="17" t="str">
        <f t="shared" si="1"/>
        <v>Henry Davis</v>
      </c>
    </row>
    <row r="334">
      <c r="A334" s="17">
        <f>IFERROR(__xludf.DUMMYFUNCTION("""COMPUTED_VALUE"""),334.0)</f>
        <v>334</v>
      </c>
      <c r="B334" s="17" t="str">
        <f>IFERROR(__xludf.DUMMYFUNCTION("""COMPUTED_VALUE"""),"Rob Refsnyder (SEA - LF,CF,RF,DH)")</f>
        <v>Rob Refsnyder (SEA - LF,CF,RF,DH)</v>
      </c>
      <c r="C334" s="17">
        <f>IFERROR(__xludf.DUMMYFUNCTION("""COMPUTED_VALUE"""),166.0)</f>
        <v>166</v>
      </c>
      <c r="D334" s="17">
        <f>IFERROR(__xludf.DUMMYFUNCTION("""COMPUTED_VALUE"""),23.0)</f>
        <v>23</v>
      </c>
      <c r="E334" s="17">
        <f>IFERROR(__xludf.DUMMYFUNCTION("""COMPUTED_VALUE"""),6.0)</f>
        <v>6</v>
      </c>
      <c r="F334" s="17">
        <f>IFERROR(__xludf.DUMMYFUNCTION("""COMPUTED_VALUE"""),22.0)</f>
        <v>22</v>
      </c>
      <c r="G334" s="17">
        <f>IFERROR(__xludf.DUMMYFUNCTION("""COMPUTED_VALUE"""),2.0)</f>
        <v>2</v>
      </c>
      <c r="H334" s="17">
        <f>IFERROR(__xludf.DUMMYFUNCTION("""COMPUTED_VALUE"""),0.235)</f>
        <v>0.235</v>
      </c>
      <c r="I334" s="17">
        <f>IFERROR(__xludf.DUMMYFUNCTION("""COMPUTED_VALUE"""),0.329)</f>
        <v>0.329</v>
      </c>
      <c r="J334" s="17">
        <f>IFERROR(__xludf.DUMMYFUNCTION("""COMPUTED_VALUE"""),39.0)</f>
        <v>39</v>
      </c>
      <c r="K334" s="17">
        <f>IFERROR(__xludf.DUMMYFUNCTION("""COMPUTED_VALUE"""),8.0)</f>
        <v>8</v>
      </c>
      <c r="L334" s="17">
        <f>IFERROR(__xludf.DUMMYFUNCTION("""COMPUTED_VALUE"""),0.0)</f>
        <v>0</v>
      </c>
      <c r="M334" s="17">
        <f>IFERROR(__xludf.DUMMYFUNCTION("""COMPUTED_VALUE"""),20.0)</f>
        <v>20</v>
      </c>
      <c r="N334" s="17">
        <f>IFERROR(__xludf.DUMMYFUNCTION("""COMPUTED_VALUE"""),50.0)</f>
        <v>50</v>
      </c>
      <c r="O334" s="17">
        <f>IFERROR(__xludf.DUMMYFUNCTION("""COMPUTED_VALUE"""),0.394)</f>
        <v>0.394</v>
      </c>
      <c r="P334" s="17">
        <f>IFERROR(__xludf.DUMMYFUNCTION("""COMPUTED_VALUE"""),0.723)</f>
        <v>0.723</v>
      </c>
      <c r="Q334" s="34">
        <f>IFERROR(__xludf.DUMMYFUNCTION("""COMPUTED_VALUE"""),0.0)</f>
        <v>0</v>
      </c>
      <c r="R334" s="34">
        <f>IFERROR(__xludf.DUMMYFUNCTION("""COMPUTED_VALUE"""),0.0)</f>
        <v>0</v>
      </c>
      <c r="S334" s="34">
        <f>IFERROR(__xludf.DUMMYFUNCTION("""COMPUTED_VALUE"""),0.0)</f>
        <v>0</v>
      </c>
      <c r="T334" s="17" t="str">
        <f t="shared" si="1"/>
        <v>Rob Refsnyder</v>
      </c>
    </row>
    <row r="335">
      <c r="A335" s="17">
        <f>IFERROR(__xludf.DUMMYFUNCTION("""COMPUTED_VALUE"""),335.0)</f>
        <v>335</v>
      </c>
      <c r="B335" s="17" t="str">
        <f>IFERROR(__xludf.DUMMYFUNCTION("""COMPUTED_VALUE"""),"Nathaniel Lowe (CIN - 1B,DH)")</f>
        <v>Nathaniel Lowe (CIN - 1B,DH)</v>
      </c>
      <c r="C335" s="17">
        <f>IFERROR(__xludf.DUMMYFUNCTION("""COMPUTED_VALUE"""),146.0)</f>
        <v>146</v>
      </c>
      <c r="D335" s="17">
        <f>IFERROR(__xludf.DUMMYFUNCTION("""COMPUTED_VALUE"""),20.0)</f>
        <v>20</v>
      </c>
      <c r="E335" s="17">
        <f>IFERROR(__xludf.DUMMYFUNCTION("""COMPUTED_VALUE"""),6.0)</f>
        <v>6</v>
      </c>
      <c r="F335" s="17">
        <f>IFERROR(__xludf.DUMMYFUNCTION("""COMPUTED_VALUE"""),21.0)</f>
        <v>21</v>
      </c>
      <c r="G335" s="17">
        <f>IFERROR(__xludf.DUMMYFUNCTION("""COMPUTED_VALUE"""),0.0)</f>
        <v>0</v>
      </c>
      <c r="H335" s="17">
        <f>IFERROR(__xludf.DUMMYFUNCTION("""COMPUTED_VALUE"""),0.254)</f>
        <v>0.254</v>
      </c>
      <c r="I335" s="17">
        <f>IFERROR(__xludf.DUMMYFUNCTION("""COMPUTED_VALUE"""),0.342)</f>
        <v>0.342</v>
      </c>
      <c r="J335" s="17">
        <f>IFERROR(__xludf.DUMMYFUNCTION("""COMPUTED_VALUE"""),37.0)</f>
        <v>37</v>
      </c>
      <c r="K335" s="17">
        <f>IFERROR(__xludf.DUMMYFUNCTION("""COMPUTED_VALUE"""),6.0)</f>
        <v>6</v>
      </c>
      <c r="L335" s="17">
        <f>IFERROR(__xludf.DUMMYFUNCTION("""COMPUTED_VALUE"""),1.0)</f>
        <v>1</v>
      </c>
      <c r="M335" s="17">
        <f>IFERROR(__xludf.DUMMYFUNCTION("""COMPUTED_VALUE"""),19.0)</f>
        <v>19</v>
      </c>
      <c r="N335" s="17">
        <f>IFERROR(__xludf.DUMMYFUNCTION("""COMPUTED_VALUE"""),39.0)</f>
        <v>39</v>
      </c>
      <c r="O335" s="17">
        <f>IFERROR(__xludf.DUMMYFUNCTION("""COMPUTED_VALUE"""),0.423)</f>
        <v>0.423</v>
      </c>
      <c r="P335" s="17">
        <f>IFERROR(__xludf.DUMMYFUNCTION("""COMPUTED_VALUE"""),0.765)</f>
        <v>0.765</v>
      </c>
      <c r="Q335" s="34">
        <f>IFERROR(__xludf.DUMMYFUNCTION("""COMPUTED_VALUE"""),0.04)</f>
        <v>0.04</v>
      </c>
      <c r="R335" s="34">
        <f>IFERROR(__xludf.DUMMYFUNCTION("""COMPUTED_VALUE"""),0.04)</f>
        <v>0.04</v>
      </c>
      <c r="S335" s="34">
        <f>IFERROR(__xludf.DUMMYFUNCTION("""COMPUTED_VALUE"""),0.03)</f>
        <v>0.03</v>
      </c>
      <c r="T335" s="17" t="str">
        <f t="shared" si="1"/>
        <v>Nathaniel Lowe</v>
      </c>
    </row>
    <row r="336">
      <c r="A336" s="17">
        <f>IFERROR(__xludf.DUMMYFUNCTION("""COMPUTED_VALUE"""),336.0)</f>
        <v>336</v>
      </c>
      <c r="B336" s="17" t="str">
        <f>IFERROR(__xludf.DUMMYFUNCTION("""COMPUTED_VALUE"""),"CJ Kayfus (CLE - 1B,LF,RF) MiLB")</f>
        <v>CJ Kayfus (CLE - 1B,LF,RF) MiLB</v>
      </c>
      <c r="C336" s="17">
        <f>IFERROR(__xludf.DUMMYFUNCTION("""COMPUTED_VALUE"""),168.0)</f>
        <v>168</v>
      </c>
      <c r="D336" s="17">
        <f>IFERROR(__xludf.DUMMYFUNCTION("""COMPUTED_VALUE"""),22.0)</f>
        <v>22</v>
      </c>
      <c r="E336" s="17">
        <f>IFERROR(__xludf.DUMMYFUNCTION("""COMPUTED_VALUE"""),5.0)</f>
        <v>5</v>
      </c>
      <c r="F336" s="17">
        <f>IFERROR(__xludf.DUMMYFUNCTION("""COMPUTED_VALUE"""),22.0)</f>
        <v>22</v>
      </c>
      <c r="G336" s="17">
        <f>IFERROR(__xludf.DUMMYFUNCTION("""COMPUTED_VALUE"""),2.0)</f>
        <v>2</v>
      </c>
      <c r="H336" s="17">
        <f>IFERROR(__xludf.DUMMYFUNCTION("""COMPUTED_VALUE"""),0.239)</f>
        <v>0.239</v>
      </c>
      <c r="I336" s="17">
        <f>IFERROR(__xludf.DUMMYFUNCTION("""COMPUTED_VALUE"""),0.315)</f>
        <v>0.315</v>
      </c>
      <c r="J336" s="17">
        <f>IFERROR(__xludf.DUMMYFUNCTION("""COMPUTED_VALUE"""),40.0)</f>
        <v>40</v>
      </c>
      <c r="K336" s="17">
        <f>IFERROR(__xludf.DUMMYFUNCTION("""COMPUTED_VALUE"""),9.0)</f>
        <v>9</v>
      </c>
      <c r="L336" s="17">
        <f>IFERROR(__xludf.DUMMYFUNCTION("""COMPUTED_VALUE"""),1.0)</f>
        <v>1</v>
      </c>
      <c r="M336" s="17">
        <f>IFERROR(__xludf.DUMMYFUNCTION("""COMPUTED_VALUE"""),17.0)</f>
        <v>17</v>
      </c>
      <c r="N336" s="17">
        <f>IFERROR(__xludf.DUMMYFUNCTION("""COMPUTED_VALUE"""),51.0)</f>
        <v>51</v>
      </c>
      <c r="O336" s="17">
        <f>IFERROR(__xludf.DUMMYFUNCTION("""COMPUTED_VALUE"""),0.402)</f>
        <v>0.402</v>
      </c>
      <c r="P336" s="17">
        <f>IFERROR(__xludf.DUMMYFUNCTION("""COMPUTED_VALUE"""),0.717)</f>
        <v>0.717</v>
      </c>
      <c r="Q336" s="34">
        <f>IFERROR(__xludf.DUMMYFUNCTION("""COMPUTED_VALUE"""),0.0)</f>
        <v>0</v>
      </c>
      <c r="R336" s="34">
        <f>IFERROR(__xludf.DUMMYFUNCTION("""COMPUTED_VALUE"""),0.0)</f>
        <v>0</v>
      </c>
      <c r="S336" s="34">
        <f>IFERROR(__xludf.DUMMYFUNCTION("""COMPUTED_VALUE"""),0.0)</f>
        <v>0</v>
      </c>
      <c r="T336" s="17" t="str">
        <f t="shared" si="1"/>
        <v>CJ Kayfus</v>
      </c>
    </row>
    <row r="337">
      <c r="A337" s="17">
        <f>IFERROR(__xludf.DUMMYFUNCTION("""COMPUTED_VALUE"""),337.0)</f>
        <v>337</v>
      </c>
      <c r="B337" s="17" t="str">
        <f>IFERROR(__xludf.DUMMYFUNCTION("""COMPUTED_VALUE"""),"Esteury Ruiz (MIA - LF,CF)")</f>
        <v>Esteury Ruiz (MIA - LF,CF)</v>
      </c>
      <c r="C337" s="17">
        <f>IFERROR(__xludf.DUMMYFUNCTION("""COMPUTED_VALUE"""),116.0)</f>
        <v>116</v>
      </c>
      <c r="D337" s="17">
        <f>IFERROR(__xludf.DUMMYFUNCTION("""COMPUTED_VALUE"""),17.0)</f>
        <v>17</v>
      </c>
      <c r="E337" s="17">
        <f>IFERROR(__xludf.DUMMYFUNCTION("""COMPUTED_VALUE"""),3.0)</f>
        <v>3</v>
      </c>
      <c r="F337" s="17">
        <f>IFERROR(__xludf.DUMMYFUNCTION("""COMPUTED_VALUE"""),13.0)</f>
        <v>13</v>
      </c>
      <c r="G337" s="17">
        <f>IFERROR(__xludf.DUMMYFUNCTION("""COMPUTED_VALUE"""),11.0)</f>
        <v>11</v>
      </c>
      <c r="H337" s="17">
        <f>IFERROR(__xludf.DUMMYFUNCTION("""COMPUTED_VALUE"""),0.241)</f>
        <v>0.241</v>
      </c>
      <c r="I337" s="17">
        <f>IFERROR(__xludf.DUMMYFUNCTION("""COMPUTED_VALUE"""),0.317)</f>
        <v>0.317</v>
      </c>
      <c r="J337" s="17">
        <f>IFERROR(__xludf.DUMMYFUNCTION("""COMPUTED_VALUE"""),28.0)</f>
        <v>28</v>
      </c>
      <c r="K337" s="17">
        <f>IFERROR(__xludf.DUMMYFUNCTION("""COMPUTED_VALUE"""),6.0)</f>
        <v>6</v>
      </c>
      <c r="L337" s="17">
        <f>IFERROR(__xludf.DUMMYFUNCTION("""COMPUTED_VALUE"""),1.0)</f>
        <v>1</v>
      </c>
      <c r="M337" s="17">
        <f>IFERROR(__xludf.DUMMYFUNCTION("""COMPUTED_VALUE"""),11.0)</f>
        <v>11</v>
      </c>
      <c r="N337" s="17">
        <f>IFERROR(__xludf.DUMMYFUNCTION("""COMPUTED_VALUE"""),30.0)</f>
        <v>30</v>
      </c>
      <c r="O337" s="17">
        <f>IFERROR(__xludf.DUMMYFUNCTION("""COMPUTED_VALUE"""),0.375)</f>
        <v>0.375</v>
      </c>
      <c r="P337" s="17">
        <f>IFERROR(__xludf.DUMMYFUNCTION("""COMPUTED_VALUE"""),0.691)</f>
        <v>0.691</v>
      </c>
      <c r="Q337" s="34">
        <f>IFERROR(__xludf.DUMMYFUNCTION("""COMPUTED_VALUE"""),0.0)</f>
        <v>0</v>
      </c>
      <c r="R337" s="34">
        <f>IFERROR(__xludf.DUMMYFUNCTION("""COMPUTED_VALUE"""),0.0)</f>
        <v>0</v>
      </c>
      <c r="S337" s="34">
        <f>IFERROR(__xludf.DUMMYFUNCTION("""COMPUTED_VALUE"""),0.0)</f>
        <v>0</v>
      </c>
      <c r="T337" s="17" t="str">
        <f t="shared" si="1"/>
        <v>Esteury Ruiz</v>
      </c>
    </row>
    <row r="338">
      <c r="A338" s="17">
        <f>IFERROR(__xludf.DUMMYFUNCTION("""COMPUTED_VALUE"""),338.0)</f>
        <v>338</v>
      </c>
      <c r="B338" s="17" t="str">
        <f>IFERROR(__xludf.DUMMYFUNCTION("""COMPUTED_VALUE"""),"Curtis Mead (WSH - 1B,2B,3B)")</f>
        <v>Curtis Mead (WSH - 1B,2B,3B)</v>
      </c>
      <c r="C338" s="17">
        <f>IFERROR(__xludf.DUMMYFUNCTION("""COMPUTED_VALUE"""),166.0)</f>
        <v>166</v>
      </c>
      <c r="D338" s="17">
        <f>IFERROR(__xludf.DUMMYFUNCTION("""COMPUTED_VALUE"""),21.0)</f>
        <v>21</v>
      </c>
      <c r="E338" s="17">
        <f>IFERROR(__xludf.DUMMYFUNCTION("""COMPUTED_VALUE"""),4.0)</f>
        <v>4</v>
      </c>
      <c r="F338" s="17">
        <f>IFERROR(__xludf.DUMMYFUNCTION("""COMPUTED_VALUE"""),20.0)</f>
        <v>20</v>
      </c>
      <c r="G338" s="17">
        <f>IFERROR(__xludf.DUMMYFUNCTION("""COMPUTED_VALUE"""),3.0)</f>
        <v>3</v>
      </c>
      <c r="H338" s="17">
        <f>IFERROR(__xludf.DUMMYFUNCTION("""COMPUTED_VALUE"""),0.243)</f>
        <v>0.243</v>
      </c>
      <c r="I338" s="17">
        <f>IFERROR(__xludf.DUMMYFUNCTION("""COMPUTED_VALUE"""),0.309)</f>
        <v>0.309</v>
      </c>
      <c r="J338" s="17">
        <f>IFERROR(__xludf.DUMMYFUNCTION("""COMPUTED_VALUE"""),40.0)</f>
        <v>40</v>
      </c>
      <c r="K338" s="17">
        <f>IFERROR(__xludf.DUMMYFUNCTION("""COMPUTED_VALUE"""),8.0)</f>
        <v>8</v>
      </c>
      <c r="L338" s="17">
        <f>IFERROR(__xludf.DUMMYFUNCTION("""COMPUTED_VALUE"""),0.0)</f>
        <v>0</v>
      </c>
      <c r="M338" s="17">
        <f>IFERROR(__xludf.DUMMYFUNCTION("""COMPUTED_VALUE"""),13.0)</f>
        <v>13</v>
      </c>
      <c r="N338" s="17">
        <f>IFERROR(__xludf.DUMMYFUNCTION("""COMPUTED_VALUE"""),37.0)</f>
        <v>37</v>
      </c>
      <c r="O338" s="17">
        <f>IFERROR(__xludf.DUMMYFUNCTION("""COMPUTED_VALUE"""),0.379)</f>
        <v>0.379</v>
      </c>
      <c r="P338" s="17">
        <f>IFERROR(__xludf.DUMMYFUNCTION("""COMPUTED_VALUE"""),0.688)</f>
        <v>0.688</v>
      </c>
      <c r="Q338" s="34">
        <f>IFERROR(__xludf.DUMMYFUNCTION("""COMPUTED_VALUE"""),0.01)</f>
        <v>0.01</v>
      </c>
      <c r="R338" s="34">
        <f>IFERROR(__xludf.DUMMYFUNCTION("""COMPUTED_VALUE"""),0.01)</f>
        <v>0.01</v>
      </c>
      <c r="S338" s="34">
        <f>IFERROR(__xludf.DUMMYFUNCTION("""COMPUTED_VALUE"""),0.0)</f>
        <v>0</v>
      </c>
      <c r="T338" s="17" t="str">
        <f t="shared" si="1"/>
        <v>Curtis Mead</v>
      </c>
    </row>
    <row r="339">
      <c r="A339" s="17">
        <f>IFERROR(__xludf.DUMMYFUNCTION("""COMPUTED_VALUE"""),339.0)</f>
        <v>339</v>
      </c>
      <c r="B339" s="17" t="str">
        <f>IFERROR(__xludf.DUMMYFUNCTION("""COMPUTED_VALUE"""),"Heriberto Hernandez (MIA - LF,RF,DH) MiLB")</f>
        <v>Heriberto Hernandez (MIA - LF,RF,DH) MiLB</v>
      </c>
      <c r="C339" s="17">
        <f>IFERROR(__xludf.DUMMYFUNCTION("""COMPUTED_VALUE"""),158.0)</f>
        <v>158</v>
      </c>
      <c r="D339" s="17">
        <f>IFERROR(__xludf.DUMMYFUNCTION("""COMPUTED_VALUE"""),21.0)</f>
        <v>21</v>
      </c>
      <c r="E339" s="17">
        <f>IFERROR(__xludf.DUMMYFUNCTION("""COMPUTED_VALUE"""),6.0)</f>
        <v>6</v>
      </c>
      <c r="F339" s="17">
        <f>IFERROR(__xludf.DUMMYFUNCTION("""COMPUTED_VALUE"""),21.0)</f>
        <v>21</v>
      </c>
      <c r="G339" s="17">
        <f>IFERROR(__xludf.DUMMYFUNCTION("""COMPUTED_VALUE"""),2.0)</f>
        <v>2</v>
      </c>
      <c r="H339" s="17">
        <f>IFERROR(__xludf.DUMMYFUNCTION("""COMPUTED_VALUE"""),0.227)</f>
        <v>0.227</v>
      </c>
      <c r="I339" s="17">
        <f>IFERROR(__xludf.DUMMYFUNCTION("""COMPUTED_VALUE"""),0.315)</f>
        <v>0.315</v>
      </c>
      <c r="J339" s="17">
        <f>IFERROR(__xludf.DUMMYFUNCTION("""COMPUTED_VALUE"""),36.0)</f>
        <v>36</v>
      </c>
      <c r="K339" s="17">
        <f>IFERROR(__xludf.DUMMYFUNCTION("""COMPUTED_VALUE"""),7.0)</f>
        <v>7</v>
      </c>
      <c r="L339" s="17">
        <f>IFERROR(__xludf.DUMMYFUNCTION("""COMPUTED_VALUE"""),1.0)</f>
        <v>1</v>
      </c>
      <c r="M339" s="17">
        <f>IFERROR(__xludf.DUMMYFUNCTION("""COMPUTED_VALUE"""),19.0)</f>
        <v>19</v>
      </c>
      <c r="N339" s="17">
        <f>IFERROR(__xludf.DUMMYFUNCTION("""COMPUTED_VALUE"""),52.0)</f>
        <v>52</v>
      </c>
      <c r="O339" s="17">
        <f>IFERROR(__xludf.DUMMYFUNCTION("""COMPUTED_VALUE"""),0.392)</f>
        <v>0.392</v>
      </c>
      <c r="P339" s="17">
        <f>IFERROR(__xludf.DUMMYFUNCTION("""COMPUTED_VALUE"""),0.707)</f>
        <v>0.707</v>
      </c>
      <c r="Q339" s="34">
        <f>IFERROR(__xludf.DUMMYFUNCTION("""COMPUTED_VALUE"""),0.0)</f>
        <v>0</v>
      </c>
      <c r="R339" s="34">
        <f>IFERROR(__xludf.DUMMYFUNCTION("""COMPUTED_VALUE"""),0.0)</f>
        <v>0</v>
      </c>
      <c r="S339" s="34">
        <f>IFERROR(__xludf.DUMMYFUNCTION("""COMPUTED_VALUE"""),0.0)</f>
        <v>0</v>
      </c>
      <c r="T339" s="17" t="str">
        <f t="shared" si="1"/>
        <v>Heriberto Hernandez</v>
      </c>
    </row>
    <row r="340">
      <c r="A340" s="17">
        <f>IFERROR(__xludf.DUMMYFUNCTION("""COMPUTED_VALUE"""),340.0)</f>
        <v>340</v>
      </c>
      <c r="B340" s="17" t="str">
        <f>IFERROR(__xludf.DUMMYFUNCTION("""COMPUTED_VALUE"""),"Dominic Smith (ATL - 1B,DH)")</f>
        <v>Dominic Smith (ATL - 1B,DH)</v>
      </c>
      <c r="C340" s="17">
        <f>IFERROR(__xludf.DUMMYFUNCTION("""COMPUTED_VALUE"""),161.0)</f>
        <v>161</v>
      </c>
      <c r="D340" s="17">
        <f>IFERROR(__xludf.DUMMYFUNCTION("""COMPUTED_VALUE"""),20.0)</f>
        <v>20</v>
      </c>
      <c r="E340" s="17">
        <f>IFERROR(__xludf.DUMMYFUNCTION("""COMPUTED_VALUE"""),5.0)</f>
        <v>5</v>
      </c>
      <c r="F340" s="17">
        <f>IFERROR(__xludf.DUMMYFUNCTION("""COMPUTED_VALUE"""),20.0)</f>
        <v>20</v>
      </c>
      <c r="G340" s="17">
        <f>IFERROR(__xludf.DUMMYFUNCTION("""COMPUTED_VALUE"""),1.0)</f>
        <v>1</v>
      </c>
      <c r="H340" s="17">
        <f>IFERROR(__xludf.DUMMYFUNCTION("""COMPUTED_VALUE"""),0.246)</f>
        <v>0.246</v>
      </c>
      <c r="I340" s="17">
        <f>IFERROR(__xludf.DUMMYFUNCTION("""COMPUTED_VALUE"""),0.313)</f>
        <v>0.313</v>
      </c>
      <c r="J340" s="17">
        <f>IFERROR(__xludf.DUMMYFUNCTION("""COMPUTED_VALUE"""),40.0)</f>
        <v>40</v>
      </c>
      <c r="K340" s="17">
        <f>IFERROR(__xludf.DUMMYFUNCTION("""COMPUTED_VALUE"""),7.0)</f>
        <v>7</v>
      </c>
      <c r="L340" s="17">
        <f>IFERROR(__xludf.DUMMYFUNCTION("""COMPUTED_VALUE"""),0.0)</f>
        <v>0</v>
      </c>
      <c r="M340" s="17">
        <f>IFERROR(__xludf.DUMMYFUNCTION("""COMPUTED_VALUE"""),14.0)</f>
        <v>14</v>
      </c>
      <c r="N340" s="17">
        <f>IFERROR(__xludf.DUMMYFUNCTION("""COMPUTED_VALUE"""),35.0)</f>
        <v>35</v>
      </c>
      <c r="O340" s="17">
        <f>IFERROR(__xludf.DUMMYFUNCTION("""COMPUTED_VALUE"""),0.379)</f>
        <v>0.379</v>
      </c>
      <c r="P340" s="17">
        <f>IFERROR(__xludf.DUMMYFUNCTION("""COMPUTED_VALUE"""),0.692)</f>
        <v>0.692</v>
      </c>
      <c r="Q340" s="34">
        <f>IFERROR(__xludf.DUMMYFUNCTION("""COMPUTED_VALUE"""),0.08)</f>
        <v>0.08</v>
      </c>
      <c r="R340" s="34">
        <f>IFERROR(__xludf.DUMMYFUNCTION("""COMPUTED_VALUE"""),0.08)</f>
        <v>0.08</v>
      </c>
      <c r="S340" s="34">
        <f>IFERROR(__xludf.DUMMYFUNCTION("""COMPUTED_VALUE"""),0.07)</f>
        <v>0.07</v>
      </c>
      <c r="T340" s="17" t="str">
        <f t="shared" si="1"/>
        <v>Dominic Smith</v>
      </c>
    </row>
    <row r="341">
      <c r="A341" s="17">
        <f>IFERROR(__xludf.DUMMYFUNCTION("""COMPUTED_VALUE"""),341.0)</f>
        <v>341</v>
      </c>
      <c r="B341" s="17" t="str">
        <f>IFERROR(__xludf.DUMMYFUNCTION("""COMPUTED_VALUE"""),"Ronny Mauricio (NYM - 2B,3B,SS)")</f>
        <v>Ronny Mauricio (NYM - 2B,3B,SS)</v>
      </c>
      <c r="C341" s="17">
        <f>IFERROR(__xludf.DUMMYFUNCTION("""COMPUTED_VALUE"""),155.0)</f>
        <v>155</v>
      </c>
      <c r="D341" s="17">
        <f>IFERROR(__xludf.DUMMYFUNCTION("""COMPUTED_VALUE"""),19.0)</f>
        <v>19</v>
      </c>
      <c r="E341" s="17">
        <f>IFERROR(__xludf.DUMMYFUNCTION("""COMPUTED_VALUE"""),5.0)</f>
        <v>5</v>
      </c>
      <c r="F341" s="17">
        <f>IFERROR(__xludf.DUMMYFUNCTION("""COMPUTED_VALUE"""),19.0)</f>
        <v>19</v>
      </c>
      <c r="G341" s="17">
        <f>IFERROR(__xludf.DUMMYFUNCTION("""COMPUTED_VALUE"""),5.0)</f>
        <v>5</v>
      </c>
      <c r="H341" s="17">
        <f>IFERROR(__xludf.DUMMYFUNCTION("""COMPUTED_VALUE"""),0.235)</f>
        <v>0.235</v>
      </c>
      <c r="I341" s="17">
        <f>IFERROR(__xludf.DUMMYFUNCTION("""COMPUTED_VALUE"""),0.291)</f>
        <v>0.291</v>
      </c>
      <c r="J341" s="17">
        <f>IFERROR(__xludf.DUMMYFUNCTION("""COMPUTED_VALUE"""),36.0)</f>
        <v>36</v>
      </c>
      <c r="K341" s="17">
        <f>IFERROR(__xludf.DUMMYFUNCTION("""COMPUTED_VALUE"""),7.0)</f>
        <v>7</v>
      </c>
      <c r="L341" s="17">
        <f>IFERROR(__xludf.DUMMYFUNCTION("""COMPUTED_VALUE"""),0.0)</f>
        <v>0</v>
      </c>
      <c r="M341" s="17">
        <f>IFERROR(__xludf.DUMMYFUNCTION("""COMPUTED_VALUE"""),11.0)</f>
        <v>11</v>
      </c>
      <c r="N341" s="17">
        <f>IFERROR(__xludf.DUMMYFUNCTION("""COMPUTED_VALUE"""),41.0)</f>
        <v>41</v>
      </c>
      <c r="O341" s="17">
        <f>IFERROR(__xludf.DUMMYFUNCTION("""COMPUTED_VALUE"""),0.38)</f>
        <v>0.38</v>
      </c>
      <c r="P341" s="17">
        <f>IFERROR(__xludf.DUMMYFUNCTION("""COMPUTED_VALUE"""),0.671)</f>
        <v>0.671</v>
      </c>
      <c r="Q341" s="34">
        <f>IFERROR(__xludf.DUMMYFUNCTION("""COMPUTED_VALUE"""),0.02)</f>
        <v>0.02</v>
      </c>
      <c r="R341" s="34">
        <f>IFERROR(__xludf.DUMMYFUNCTION("""COMPUTED_VALUE"""),0.03)</f>
        <v>0.03</v>
      </c>
      <c r="S341" s="34">
        <f>IFERROR(__xludf.DUMMYFUNCTION("""COMPUTED_VALUE"""),0.01)</f>
        <v>0.01</v>
      </c>
      <c r="T341" s="17" t="str">
        <f t="shared" si="1"/>
        <v>Ronny Mauricio</v>
      </c>
    </row>
    <row r="342">
      <c r="A342" s="17">
        <f>IFERROR(__xludf.DUMMYFUNCTION("""COMPUTED_VALUE"""),342.0)</f>
        <v>342</v>
      </c>
      <c r="B342" s="17" t="str">
        <f>IFERROR(__xludf.DUMMYFUNCTION("""COMPUTED_VALUE"""),"Parker Meadows (DET - CF) IL60")</f>
        <v>Parker Meadows (DET - CF) IL60</v>
      </c>
      <c r="C342" s="17">
        <f>IFERROR(__xludf.DUMMYFUNCTION("""COMPUTED_VALUE"""),173.0)</f>
        <v>173</v>
      </c>
      <c r="D342" s="17">
        <f>IFERROR(__xludf.DUMMYFUNCTION("""COMPUTED_VALUE"""),23.0)</f>
        <v>23</v>
      </c>
      <c r="E342" s="17">
        <f>IFERROR(__xludf.DUMMYFUNCTION("""COMPUTED_VALUE"""),4.0)</f>
        <v>4</v>
      </c>
      <c r="F342" s="17">
        <f>IFERROR(__xludf.DUMMYFUNCTION("""COMPUTED_VALUE"""),19.0)</f>
        <v>19</v>
      </c>
      <c r="G342" s="17">
        <f>IFERROR(__xludf.DUMMYFUNCTION("""COMPUTED_VALUE"""),5.0)</f>
        <v>5</v>
      </c>
      <c r="H342" s="17">
        <f>IFERROR(__xludf.DUMMYFUNCTION("""COMPUTED_VALUE"""),0.223)</f>
        <v>0.223</v>
      </c>
      <c r="I342" s="17">
        <f>IFERROR(__xludf.DUMMYFUNCTION("""COMPUTED_VALUE"""),0.299)</f>
        <v>0.299</v>
      </c>
      <c r="J342" s="17">
        <f>IFERROR(__xludf.DUMMYFUNCTION("""COMPUTED_VALUE"""),39.0)</f>
        <v>39</v>
      </c>
      <c r="K342" s="17">
        <f>IFERROR(__xludf.DUMMYFUNCTION("""COMPUTED_VALUE"""),7.0)</f>
        <v>7</v>
      </c>
      <c r="L342" s="17">
        <f>IFERROR(__xludf.DUMMYFUNCTION("""COMPUTED_VALUE"""),2.0)</f>
        <v>2</v>
      </c>
      <c r="M342" s="17">
        <f>IFERROR(__xludf.DUMMYFUNCTION("""COMPUTED_VALUE"""),18.0)</f>
        <v>18</v>
      </c>
      <c r="N342" s="17">
        <f>IFERROR(__xludf.DUMMYFUNCTION("""COMPUTED_VALUE"""),49.0)</f>
        <v>49</v>
      </c>
      <c r="O342" s="17">
        <f>IFERROR(__xludf.DUMMYFUNCTION("""COMPUTED_VALUE"""),0.363)</f>
        <v>0.363</v>
      </c>
      <c r="P342" s="17">
        <f>IFERROR(__xludf.DUMMYFUNCTION("""COMPUTED_VALUE"""),0.661)</f>
        <v>0.661</v>
      </c>
      <c r="Q342" s="34">
        <f>IFERROR(__xludf.DUMMYFUNCTION("""COMPUTED_VALUE"""),0.01)</f>
        <v>0.01</v>
      </c>
      <c r="R342" s="34">
        <f>IFERROR(__xludf.DUMMYFUNCTION("""COMPUTED_VALUE"""),0.01)</f>
        <v>0.01</v>
      </c>
      <c r="S342" s="34">
        <f>IFERROR(__xludf.DUMMYFUNCTION("""COMPUTED_VALUE"""),0.01)</f>
        <v>0.01</v>
      </c>
      <c r="T342" s="17" t="str">
        <f t="shared" si="1"/>
        <v>Parker Meadows</v>
      </c>
    </row>
    <row r="343">
      <c r="A343" s="17">
        <f>IFERROR(__xludf.DUMMYFUNCTION("""COMPUTED_VALUE"""),343.0)</f>
        <v>343</v>
      </c>
      <c r="B343" s="17" t="str">
        <f>IFERROR(__xludf.DUMMYFUNCTION("""COMPUTED_VALUE"""),"Blaze Alexander (BAL - 2B,3B,OF)")</f>
        <v>Blaze Alexander (BAL - 2B,3B,OF)</v>
      </c>
      <c r="C343" s="17">
        <f>IFERROR(__xludf.DUMMYFUNCTION("""COMPUTED_VALUE"""),178.0)</f>
        <v>178</v>
      </c>
      <c r="D343" s="17">
        <f>IFERROR(__xludf.DUMMYFUNCTION("""COMPUTED_VALUE"""),22.0)</f>
        <v>22</v>
      </c>
      <c r="E343" s="17">
        <f>IFERROR(__xludf.DUMMYFUNCTION("""COMPUTED_VALUE"""),5.0)</f>
        <v>5</v>
      </c>
      <c r="F343" s="17">
        <f>IFERROR(__xludf.DUMMYFUNCTION("""COMPUTED_VALUE"""),20.0)</f>
        <v>20</v>
      </c>
      <c r="G343" s="17">
        <f>IFERROR(__xludf.DUMMYFUNCTION("""COMPUTED_VALUE"""),4.0)</f>
        <v>4</v>
      </c>
      <c r="H343" s="17">
        <f>IFERROR(__xludf.DUMMYFUNCTION("""COMPUTED_VALUE"""),0.227)</f>
        <v>0.227</v>
      </c>
      <c r="I343" s="17">
        <f>IFERROR(__xludf.DUMMYFUNCTION("""COMPUTED_VALUE"""),0.304)</f>
        <v>0.304</v>
      </c>
      <c r="J343" s="17">
        <f>IFERROR(__xludf.DUMMYFUNCTION("""COMPUTED_VALUE"""),40.0)</f>
        <v>40</v>
      </c>
      <c r="K343" s="17">
        <f>IFERROR(__xludf.DUMMYFUNCTION("""COMPUTED_VALUE"""),7.0)</f>
        <v>7</v>
      </c>
      <c r="L343" s="17">
        <f>IFERROR(__xludf.DUMMYFUNCTION("""COMPUTED_VALUE"""),1.0)</f>
        <v>1</v>
      </c>
      <c r="M343" s="17">
        <f>IFERROR(__xludf.DUMMYFUNCTION("""COMPUTED_VALUE"""),17.0)</f>
        <v>17</v>
      </c>
      <c r="N343" s="17">
        <f>IFERROR(__xludf.DUMMYFUNCTION("""COMPUTED_VALUE"""),61.0)</f>
        <v>61</v>
      </c>
      <c r="O343" s="17">
        <f>IFERROR(__xludf.DUMMYFUNCTION("""COMPUTED_VALUE"""),0.355)</f>
        <v>0.355</v>
      </c>
      <c r="P343" s="17">
        <f>IFERROR(__xludf.DUMMYFUNCTION("""COMPUTED_VALUE"""),0.659)</f>
        <v>0.659</v>
      </c>
      <c r="Q343" s="34">
        <f>IFERROR(__xludf.DUMMYFUNCTION("""COMPUTED_VALUE"""),0.0)</f>
        <v>0</v>
      </c>
      <c r="R343" s="34">
        <f>IFERROR(__xludf.DUMMYFUNCTION("""COMPUTED_VALUE"""),0.0)</f>
        <v>0</v>
      </c>
      <c r="S343" s="34">
        <f>IFERROR(__xludf.DUMMYFUNCTION("""COMPUTED_VALUE"""),0.0)</f>
        <v>0</v>
      </c>
      <c r="T343" s="17" t="str">
        <f t="shared" si="1"/>
        <v>Blaze Alexander</v>
      </c>
    </row>
    <row r="344">
      <c r="A344" s="17">
        <f>IFERROR(__xludf.DUMMYFUNCTION("""COMPUTED_VALUE"""),344.0)</f>
        <v>344</v>
      </c>
      <c r="B344" s="17" t="str">
        <f>IFERROR(__xludf.DUMMYFUNCTION("""COMPUTED_VALUE"""),"Alan Roden (MIN - LF,RF) MiLB")</f>
        <v>Alan Roden (MIN - LF,RF) MiLB</v>
      </c>
      <c r="C344" s="17">
        <f>IFERROR(__xludf.DUMMYFUNCTION("""COMPUTED_VALUE"""),155.0)</f>
        <v>155</v>
      </c>
      <c r="D344" s="17">
        <f>IFERROR(__xludf.DUMMYFUNCTION("""COMPUTED_VALUE"""),21.0)</f>
        <v>21</v>
      </c>
      <c r="E344" s="17">
        <f>IFERROR(__xludf.DUMMYFUNCTION("""COMPUTED_VALUE"""),3.0)</f>
        <v>3</v>
      </c>
      <c r="F344" s="17">
        <f>IFERROR(__xludf.DUMMYFUNCTION("""COMPUTED_VALUE"""),18.0)</f>
        <v>18</v>
      </c>
      <c r="G344" s="17">
        <f>IFERROR(__xludf.DUMMYFUNCTION("""COMPUTED_VALUE"""),3.0)</f>
        <v>3</v>
      </c>
      <c r="H344" s="17">
        <f>IFERROR(__xludf.DUMMYFUNCTION("""COMPUTED_VALUE"""),0.253)</f>
        <v>0.253</v>
      </c>
      <c r="I344" s="17">
        <f>IFERROR(__xludf.DUMMYFUNCTION("""COMPUTED_VALUE"""),0.336)</f>
        <v>0.336</v>
      </c>
      <c r="J344" s="17">
        <f>IFERROR(__xludf.DUMMYFUNCTION("""COMPUTED_VALUE"""),39.0)</f>
        <v>39</v>
      </c>
      <c r="K344" s="17">
        <f>IFERROR(__xludf.DUMMYFUNCTION("""COMPUTED_VALUE"""),8.0)</f>
        <v>8</v>
      </c>
      <c r="L344" s="17">
        <f>IFERROR(__xludf.DUMMYFUNCTION("""COMPUTED_VALUE"""),1.0)</f>
        <v>1</v>
      </c>
      <c r="M344" s="17">
        <f>IFERROR(__xludf.DUMMYFUNCTION("""COMPUTED_VALUE"""),16.0)</f>
        <v>16</v>
      </c>
      <c r="N344" s="17">
        <f>IFERROR(__xludf.DUMMYFUNCTION("""COMPUTED_VALUE"""),31.0)</f>
        <v>31</v>
      </c>
      <c r="O344" s="17">
        <f>IFERROR(__xludf.DUMMYFUNCTION("""COMPUTED_VALUE"""),0.376)</f>
        <v>0.376</v>
      </c>
      <c r="P344" s="17">
        <f>IFERROR(__xludf.DUMMYFUNCTION("""COMPUTED_VALUE"""),0.713)</f>
        <v>0.713</v>
      </c>
      <c r="Q344" s="34">
        <f>IFERROR(__xludf.DUMMYFUNCTION("""COMPUTED_VALUE"""),0.0)</f>
        <v>0</v>
      </c>
      <c r="R344" s="34">
        <f>IFERROR(__xludf.DUMMYFUNCTION("""COMPUTED_VALUE"""),0.0)</f>
        <v>0</v>
      </c>
      <c r="S344" s="34">
        <f>IFERROR(__xludf.DUMMYFUNCTION("""COMPUTED_VALUE"""),0.0)</f>
        <v>0</v>
      </c>
      <c r="T344" s="17" t="str">
        <f t="shared" si="1"/>
        <v>Alan Roden</v>
      </c>
    </row>
    <row r="345">
      <c r="A345" s="17">
        <f>IFERROR(__xludf.DUMMYFUNCTION("""COMPUTED_VALUE"""),345.0)</f>
        <v>345</v>
      </c>
      <c r="B345" s="17" t="str">
        <f>IFERROR(__xludf.DUMMYFUNCTION("""COMPUTED_VALUE"""),"Joey Bart (PIT - C)")</f>
        <v>Joey Bart (PIT - C)</v>
      </c>
      <c r="C345" s="17">
        <f>IFERROR(__xludf.DUMMYFUNCTION("""COMPUTED_VALUE"""),184.0)</f>
        <v>184</v>
      </c>
      <c r="D345" s="17">
        <f>IFERROR(__xludf.DUMMYFUNCTION("""COMPUTED_VALUE"""),22.0)</f>
        <v>22</v>
      </c>
      <c r="E345" s="17">
        <f>IFERROR(__xludf.DUMMYFUNCTION("""COMPUTED_VALUE"""),5.0)</f>
        <v>5</v>
      </c>
      <c r="F345" s="17">
        <f>IFERROR(__xludf.DUMMYFUNCTION("""COMPUTED_VALUE"""),22.0)</f>
        <v>22</v>
      </c>
      <c r="G345" s="17">
        <f>IFERROR(__xludf.DUMMYFUNCTION("""COMPUTED_VALUE"""),1.0)</f>
        <v>1</v>
      </c>
      <c r="H345" s="17">
        <f>IFERROR(__xludf.DUMMYFUNCTION("""COMPUTED_VALUE"""),0.231)</f>
        <v>0.231</v>
      </c>
      <c r="I345" s="17">
        <f>IFERROR(__xludf.DUMMYFUNCTION("""COMPUTED_VALUE"""),0.317)</f>
        <v>0.317</v>
      </c>
      <c r="J345" s="17">
        <f>IFERROR(__xludf.DUMMYFUNCTION("""COMPUTED_VALUE"""),43.0)</f>
        <v>43</v>
      </c>
      <c r="K345" s="17">
        <f>IFERROR(__xludf.DUMMYFUNCTION("""COMPUTED_VALUE"""),7.0)</f>
        <v>7</v>
      </c>
      <c r="L345" s="17">
        <f>IFERROR(__xludf.DUMMYFUNCTION("""COMPUTED_VALUE"""),0.0)</f>
        <v>0</v>
      </c>
      <c r="M345" s="17">
        <f>IFERROR(__xludf.DUMMYFUNCTION("""COMPUTED_VALUE"""),20.0)</f>
        <v>20</v>
      </c>
      <c r="N345" s="17">
        <f>IFERROR(__xludf.DUMMYFUNCTION("""COMPUTED_VALUE"""),60.0)</f>
        <v>60</v>
      </c>
      <c r="O345" s="17">
        <f>IFERROR(__xludf.DUMMYFUNCTION("""COMPUTED_VALUE"""),0.358)</f>
        <v>0.358</v>
      </c>
      <c r="P345" s="17">
        <f>IFERROR(__xludf.DUMMYFUNCTION("""COMPUTED_VALUE"""),0.676)</f>
        <v>0.676</v>
      </c>
      <c r="Q345" s="34">
        <f>IFERROR(__xludf.DUMMYFUNCTION("""COMPUTED_VALUE"""),0.0)</f>
        <v>0</v>
      </c>
      <c r="R345" s="34">
        <f>IFERROR(__xludf.DUMMYFUNCTION("""COMPUTED_VALUE"""),0.0)</f>
        <v>0</v>
      </c>
      <c r="S345" s="34">
        <f>IFERROR(__xludf.DUMMYFUNCTION("""COMPUTED_VALUE"""),0.0)</f>
        <v>0</v>
      </c>
      <c r="T345" s="17" t="str">
        <f t="shared" si="1"/>
        <v>Joey Bart</v>
      </c>
    </row>
    <row r="346">
      <c r="A346" s="17">
        <f>IFERROR(__xludf.DUMMYFUNCTION("""COMPUTED_VALUE"""),346.0)</f>
        <v>346</v>
      </c>
      <c r="B346" s="17" t="str">
        <f>IFERROR(__xludf.DUMMYFUNCTION("""COMPUTED_VALUE"""),"Connor Wong (BOS - C)")</f>
        <v>Connor Wong (BOS - C)</v>
      </c>
      <c r="C346" s="17">
        <f>IFERROR(__xludf.DUMMYFUNCTION("""COMPUTED_VALUE"""),176.0)</f>
        <v>176</v>
      </c>
      <c r="D346" s="17">
        <f>IFERROR(__xludf.DUMMYFUNCTION("""COMPUTED_VALUE"""),21.0)</f>
        <v>21</v>
      </c>
      <c r="E346" s="17">
        <f>IFERROR(__xludf.DUMMYFUNCTION("""COMPUTED_VALUE"""),4.0)</f>
        <v>4</v>
      </c>
      <c r="F346" s="17">
        <f>IFERROR(__xludf.DUMMYFUNCTION("""COMPUTED_VALUE"""),20.0)</f>
        <v>20</v>
      </c>
      <c r="G346" s="17">
        <f>IFERROR(__xludf.DUMMYFUNCTION("""COMPUTED_VALUE"""),3.0)</f>
        <v>3</v>
      </c>
      <c r="H346" s="17">
        <f>IFERROR(__xludf.DUMMYFUNCTION("""COMPUTED_VALUE"""),0.24)</f>
        <v>0.24</v>
      </c>
      <c r="I346" s="17">
        <f>IFERROR(__xludf.DUMMYFUNCTION("""COMPUTED_VALUE"""),0.303)</f>
        <v>0.303</v>
      </c>
      <c r="J346" s="17">
        <f>IFERROR(__xludf.DUMMYFUNCTION("""COMPUTED_VALUE"""),42.0)</f>
        <v>42</v>
      </c>
      <c r="K346" s="17">
        <f>IFERROR(__xludf.DUMMYFUNCTION("""COMPUTED_VALUE"""),9.0)</f>
        <v>9</v>
      </c>
      <c r="L346" s="17">
        <f>IFERROR(__xludf.DUMMYFUNCTION("""COMPUTED_VALUE"""),1.0)</f>
        <v>1</v>
      </c>
      <c r="M346" s="17">
        <f>IFERROR(__xludf.DUMMYFUNCTION("""COMPUTED_VALUE"""),14.0)</f>
        <v>14</v>
      </c>
      <c r="N346" s="17">
        <f>IFERROR(__xludf.DUMMYFUNCTION("""COMPUTED_VALUE"""),47.0)</f>
        <v>47</v>
      </c>
      <c r="O346" s="17">
        <f>IFERROR(__xludf.DUMMYFUNCTION("""COMPUTED_VALUE"""),0.37)</f>
        <v>0.37</v>
      </c>
      <c r="P346" s="17">
        <f>IFERROR(__xludf.DUMMYFUNCTION("""COMPUTED_VALUE"""),0.672)</f>
        <v>0.672</v>
      </c>
      <c r="Q346" s="34">
        <f>IFERROR(__xludf.DUMMYFUNCTION("""COMPUTED_VALUE"""),0.0)</f>
        <v>0</v>
      </c>
      <c r="R346" s="34">
        <f>IFERROR(__xludf.DUMMYFUNCTION("""COMPUTED_VALUE"""),0.0)</f>
        <v>0</v>
      </c>
      <c r="S346" s="34">
        <f>IFERROR(__xludf.DUMMYFUNCTION("""COMPUTED_VALUE"""),0.0)</f>
        <v>0</v>
      </c>
      <c r="T346" s="17" t="str">
        <f t="shared" si="1"/>
        <v>Connor Wong</v>
      </c>
    </row>
    <row r="347">
      <c r="A347" s="17">
        <f>IFERROR(__xludf.DUMMYFUNCTION("""COMPUTED_VALUE"""),347.0)</f>
        <v>347</v>
      </c>
      <c r="B347" s="17" t="str">
        <f>IFERROR(__xludf.DUMMYFUNCTION("""COMPUTED_VALUE"""),"Rece Hinds (CIN - RF)")</f>
        <v>Rece Hinds (CIN - RF)</v>
      </c>
      <c r="C347" s="17">
        <f>IFERROR(__xludf.DUMMYFUNCTION("""COMPUTED_VALUE"""),141.0)</f>
        <v>141</v>
      </c>
      <c r="D347" s="17">
        <f>IFERROR(__xludf.DUMMYFUNCTION("""COMPUTED_VALUE"""),19.0)</f>
        <v>19</v>
      </c>
      <c r="E347" s="17">
        <f>IFERROR(__xludf.DUMMYFUNCTION("""COMPUTED_VALUE"""),6.0)</f>
        <v>6</v>
      </c>
      <c r="F347" s="17">
        <f>IFERROR(__xludf.DUMMYFUNCTION("""COMPUTED_VALUE"""),20.0)</f>
        <v>20</v>
      </c>
      <c r="G347" s="17">
        <f>IFERROR(__xludf.DUMMYFUNCTION("""COMPUTED_VALUE"""),3.0)</f>
        <v>3</v>
      </c>
      <c r="H347" s="17">
        <f>IFERROR(__xludf.DUMMYFUNCTION("""COMPUTED_VALUE"""),0.228)</f>
        <v>0.228</v>
      </c>
      <c r="I347" s="17">
        <f>IFERROR(__xludf.DUMMYFUNCTION("""COMPUTED_VALUE"""),0.283)</f>
        <v>0.283</v>
      </c>
      <c r="J347" s="17">
        <f>IFERROR(__xludf.DUMMYFUNCTION("""COMPUTED_VALUE"""),32.0)</f>
        <v>32</v>
      </c>
      <c r="K347" s="17">
        <f>IFERROR(__xludf.DUMMYFUNCTION("""COMPUTED_VALUE"""),7.0)</f>
        <v>7</v>
      </c>
      <c r="L347" s="17">
        <f>IFERROR(__xludf.DUMMYFUNCTION("""COMPUTED_VALUE"""),1.0)</f>
        <v>1</v>
      </c>
      <c r="M347" s="17">
        <f>IFERROR(__xludf.DUMMYFUNCTION("""COMPUTED_VALUE"""),10.0)</f>
        <v>10</v>
      </c>
      <c r="N347" s="17">
        <f>IFERROR(__xludf.DUMMYFUNCTION("""COMPUTED_VALUE"""),52.0)</f>
        <v>52</v>
      </c>
      <c r="O347" s="17">
        <f>IFERROR(__xludf.DUMMYFUNCTION("""COMPUTED_VALUE"""),0.413)</f>
        <v>0.413</v>
      </c>
      <c r="P347" s="17">
        <f>IFERROR(__xludf.DUMMYFUNCTION("""COMPUTED_VALUE"""),0.696)</f>
        <v>0.696</v>
      </c>
      <c r="Q347" s="34">
        <f>IFERROR(__xludf.DUMMYFUNCTION("""COMPUTED_VALUE"""),0.01)</f>
        <v>0.01</v>
      </c>
      <c r="R347" s="34">
        <f>IFERROR(__xludf.DUMMYFUNCTION("""COMPUTED_VALUE"""),0.01)</f>
        <v>0.01</v>
      </c>
      <c r="S347" s="34">
        <f>IFERROR(__xludf.DUMMYFUNCTION("""COMPUTED_VALUE"""),0.0)</f>
        <v>0</v>
      </c>
      <c r="T347" s="17" t="str">
        <f t="shared" si="1"/>
        <v>Rece Hinds</v>
      </c>
    </row>
    <row r="348">
      <c r="A348" s="17">
        <f>IFERROR(__xludf.DUMMYFUNCTION("""COMPUTED_VALUE"""),348.0)</f>
        <v>348</v>
      </c>
      <c r="B348" s="17" t="str">
        <f>IFERROR(__xludf.DUMMYFUNCTION("""COMPUTED_VALUE"""),"Drew Gilbert (SF - CF,RF)")</f>
        <v>Drew Gilbert (SF - CF,RF)</v>
      </c>
      <c r="C348" s="17">
        <f>IFERROR(__xludf.DUMMYFUNCTION("""COMPUTED_VALUE"""),182.0)</f>
        <v>182</v>
      </c>
      <c r="D348" s="17">
        <f>IFERROR(__xludf.DUMMYFUNCTION("""COMPUTED_VALUE"""),22.0)</f>
        <v>22</v>
      </c>
      <c r="E348" s="17">
        <f>IFERROR(__xludf.DUMMYFUNCTION("""COMPUTED_VALUE"""),5.0)</f>
        <v>5</v>
      </c>
      <c r="F348" s="17">
        <f>IFERROR(__xludf.DUMMYFUNCTION("""COMPUTED_VALUE"""),21.0)</f>
        <v>21</v>
      </c>
      <c r="G348" s="17">
        <f>IFERROR(__xludf.DUMMYFUNCTION("""COMPUTED_VALUE"""),2.0)</f>
        <v>2</v>
      </c>
      <c r="H348" s="17">
        <f>IFERROR(__xludf.DUMMYFUNCTION("""COMPUTED_VALUE"""),0.23)</f>
        <v>0.23</v>
      </c>
      <c r="I348" s="17">
        <f>IFERROR(__xludf.DUMMYFUNCTION("""COMPUTED_VALUE"""),0.302)</f>
        <v>0.302</v>
      </c>
      <c r="J348" s="17">
        <f>IFERROR(__xludf.DUMMYFUNCTION("""COMPUTED_VALUE"""),42.0)</f>
        <v>42</v>
      </c>
      <c r="K348" s="17">
        <f>IFERROR(__xludf.DUMMYFUNCTION("""COMPUTED_VALUE"""),8.0)</f>
        <v>8</v>
      </c>
      <c r="L348" s="17">
        <f>IFERROR(__xludf.DUMMYFUNCTION("""COMPUTED_VALUE"""),1.0)</f>
        <v>1</v>
      </c>
      <c r="M348" s="17">
        <f>IFERROR(__xludf.DUMMYFUNCTION("""COMPUTED_VALUE"""),16.0)</f>
        <v>16</v>
      </c>
      <c r="N348" s="17">
        <f>IFERROR(__xludf.DUMMYFUNCTION("""COMPUTED_VALUE"""),40.0)</f>
        <v>40</v>
      </c>
      <c r="O348" s="17">
        <f>IFERROR(__xludf.DUMMYFUNCTION("""COMPUTED_VALUE"""),0.373)</f>
        <v>0.373</v>
      </c>
      <c r="P348" s="17">
        <f>IFERROR(__xludf.DUMMYFUNCTION("""COMPUTED_VALUE"""),0.675)</f>
        <v>0.675</v>
      </c>
      <c r="Q348" s="34">
        <f>IFERROR(__xludf.DUMMYFUNCTION("""COMPUTED_VALUE"""),0.0)</f>
        <v>0</v>
      </c>
      <c r="R348" s="34">
        <f>IFERROR(__xludf.DUMMYFUNCTION("""COMPUTED_VALUE"""),0.0)</f>
        <v>0</v>
      </c>
      <c r="S348" s="34">
        <f>IFERROR(__xludf.DUMMYFUNCTION("""COMPUTED_VALUE"""),0.0)</f>
        <v>0</v>
      </c>
      <c r="T348" s="17" t="str">
        <f t="shared" si="1"/>
        <v>Drew Gilbert</v>
      </c>
    </row>
    <row r="349">
      <c r="A349" s="17">
        <f>IFERROR(__xludf.DUMMYFUNCTION("""COMPUTED_VALUE"""),349.0)</f>
        <v>349</v>
      </c>
      <c r="B349" s="17" t="str">
        <f>IFERROR(__xludf.DUMMYFUNCTION("""COMPUTED_VALUE"""),"Victor Robles (SEA - LF,CF,RF) IL10")</f>
        <v>Victor Robles (SEA - LF,CF,RF) IL10</v>
      </c>
      <c r="C349" s="17">
        <f>IFERROR(__xludf.DUMMYFUNCTION("""COMPUTED_VALUE"""),142.0)</f>
        <v>142</v>
      </c>
      <c r="D349" s="17">
        <f>IFERROR(__xludf.DUMMYFUNCTION("""COMPUTED_VALUE"""),18.0)</f>
        <v>18</v>
      </c>
      <c r="E349" s="17">
        <f>IFERROR(__xludf.DUMMYFUNCTION("""COMPUTED_VALUE"""),3.0)</f>
        <v>3</v>
      </c>
      <c r="F349" s="17">
        <f>IFERROR(__xludf.DUMMYFUNCTION("""COMPUTED_VALUE"""),14.0)</f>
        <v>14</v>
      </c>
      <c r="G349" s="17">
        <f>IFERROR(__xludf.DUMMYFUNCTION("""COMPUTED_VALUE"""),8.0)</f>
        <v>8</v>
      </c>
      <c r="H349" s="17">
        <f>IFERROR(__xludf.DUMMYFUNCTION("""COMPUTED_VALUE"""),0.245)</f>
        <v>0.245</v>
      </c>
      <c r="I349" s="17">
        <f>IFERROR(__xludf.DUMMYFUNCTION("""COMPUTED_VALUE"""),0.31)</f>
        <v>0.31</v>
      </c>
      <c r="J349" s="17">
        <f>IFERROR(__xludf.DUMMYFUNCTION("""COMPUTED_VALUE"""),35.0)</f>
        <v>35</v>
      </c>
      <c r="K349" s="17">
        <f>IFERROR(__xludf.DUMMYFUNCTION("""COMPUTED_VALUE"""),7.0)</f>
        <v>7</v>
      </c>
      <c r="L349" s="17">
        <f>IFERROR(__xludf.DUMMYFUNCTION("""COMPUTED_VALUE"""),1.0)</f>
        <v>1</v>
      </c>
      <c r="M349" s="17">
        <f>IFERROR(__xludf.DUMMYFUNCTION("""COMPUTED_VALUE"""),11.0)</f>
        <v>11</v>
      </c>
      <c r="N349" s="17">
        <f>IFERROR(__xludf.DUMMYFUNCTION("""COMPUTED_VALUE"""),35.0)</f>
        <v>35</v>
      </c>
      <c r="O349" s="17">
        <f>IFERROR(__xludf.DUMMYFUNCTION("""COMPUTED_VALUE"""),0.363)</f>
        <v>0.363</v>
      </c>
      <c r="P349" s="17">
        <f>IFERROR(__xludf.DUMMYFUNCTION("""COMPUTED_VALUE"""),0.673)</f>
        <v>0.673</v>
      </c>
      <c r="Q349" s="34">
        <f>IFERROR(__xludf.DUMMYFUNCTION("""COMPUTED_VALUE"""),0.0)</f>
        <v>0</v>
      </c>
      <c r="R349" s="34">
        <f>IFERROR(__xludf.DUMMYFUNCTION("""COMPUTED_VALUE"""),0.0)</f>
        <v>0</v>
      </c>
      <c r="S349" s="34">
        <f>IFERROR(__xludf.DUMMYFUNCTION("""COMPUTED_VALUE"""),0.0)</f>
        <v>0</v>
      </c>
      <c r="T349" s="17" t="str">
        <f t="shared" si="1"/>
        <v>Victor Robles</v>
      </c>
    </row>
    <row r="350">
      <c r="A350" s="17">
        <f>IFERROR(__xludf.DUMMYFUNCTION("""COMPUTED_VALUE"""),350.0)</f>
        <v>350</v>
      </c>
      <c r="B350" s="17" t="str">
        <f>IFERROR(__xludf.DUMMYFUNCTION("""COMPUTED_VALUE"""),"Griffin Conine (MIA - LF,RF) IL10")</f>
        <v>Griffin Conine (MIA - LF,RF) IL10</v>
      </c>
      <c r="C350" s="17">
        <f>IFERROR(__xludf.DUMMYFUNCTION("""COMPUTED_VALUE"""),171.0)</f>
        <v>171</v>
      </c>
      <c r="D350" s="17">
        <f>IFERROR(__xludf.DUMMYFUNCTION("""COMPUTED_VALUE"""),21.0)</f>
        <v>21</v>
      </c>
      <c r="E350" s="17">
        <f>IFERROR(__xludf.DUMMYFUNCTION("""COMPUTED_VALUE"""),6.0)</f>
        <v>6</v>
      </c>
      <c r="F350" s="17">
        <f>IFERROR(__xludf.DUMMYFUNCTION("""COMPUTED_VALUE"""),23.0)</f>
        <v>23</v>
      </c>
      <c r="G350" s="17">
        <f>IFERROR(__xludf.DUMMYFUNCTION("""COMPUTED_VALUE"""),1.0)</f>
        <v>1</v>
      </c>
      <c r="H350" s="17">
        <f>IFERROR(__xludf.DUMMYFUNCTION("""COMPUTED_VALUE"""),0.223)</f>
        <v>0.223</v>
      </c>
      <c r="I350" s="17">
        <f>IFERROR(__xludf.DUMMYFUNCTION("""COMPUTED_VALUE"""),0.303)</f>
        <v>0.303</v>
      </c>
      <c r="J350" s="17">
        <f>IFERROR(__xludf.DUMMYFUNCTION("""COMPUTED_VALUE"""),38.0)</f>
        <v>38</v>
      </c>
      <c r="K350" s="17">
        <f>IFERROR(__xludf.DUMMYFUNCTION("""COMPUTED_VALUE"""),7.0)</f>
        <v>7</v>
      </c>
      <c r="L350" s="17">
        <f>IFERROR(__xludf.DUMMYFUNCTION("""COMPUTED_VALUE"""),1.0)</f>
        <v>1</v>
      </c>
      <c r="M350" s="17">
        <f>IFERROR(__xludf.DUMMYFUNCTION("""COMPUTED_VALUE"""),18.0)</f>
        <v>18</v>
      </c>
      <c r="N350" s="17">
        <f>IFERROR(__xludf.DUMMYFUNCTION("""COMPUTED_VALUE"""),62.0)</f>
        <v>62</v>
      </c>
      <c r="O350" s="17">
        <f>IFERROR(__xludf.DUMMYFUNCTION("""COMPUTED_VALUE"""),0.387)</f>
        <v>0.387</v>
      </c>
      <c r="P350" s="17">
        <f>IFERROR(__xludf.DUMMYFUNCTION("""COMPUTED_VALUE"""),0.689)</f>
        <v>0.689</v>
      </c>
      <c r="Q350" s="34">
        <f>IFERROR(__xludf.DUMMYFUNCTION("""COMPUTED_VALUE"""),0.0)</f>
        <v>0</v>
      </c>
      <c r="R350" s="34">
        <f>IFERROR(__xludf.DUMMYFUNCTION("""COMPUTED_VALUE"""),0.0)</f>
        <v>0</v>
      </c>
      <c r="S350" s="34">
        <f>IFERROR(__xludf.DUMMYFUNCTION("""COMPUTED_VALUE"""),0.0)</f>
        <v>0</v>
      </c>
      <c r="T350" s="17" t="str">
        <f t="shared" si="1"/>
        <v>Griffin Conine</v>
      </c>
    </row>
    <row r="351">
      <c r="A351" s="17">
        <f>IFERROR(__xludf.DUMMYFUNCTION("""COMPUTED_VALUE"""),351.0)</f>
        <v>351</v>
      </c>
      <c r="B351" s="17" t="str">
        <f>IFERROR(__xludf.DUMMYFUNCTION("""COMPUTED_VALUE"""),"Christian Moore (LAA - 2B) MiLB")</f>
        <v>Christian Moore (LAA - 2B) MiLB</v>
      </c>
      <c r="C351" s="17">
        <f>IFERROR(__xludf.DUMMYFUNCTION("""COMPUTED_VALUE"""),165.0)</f>
        <v>165</v>
      </c>
      <c r="D351" s="17">
        <f>IFERROR(__xludf.DUMMYFUNCTION("""COMPUTED_VALUE"""),21.0)</f>
        <v>21</v>
      </c>
      <c r="E351" s="17">
        <f>IFERROR(__xludf.DUMMYFUNCTION("""COMPUTED_VALUE"""),5.0)</f>
        <v>5</v>
      </c>
      <c r="F351" s="17">
        <f>IFERROR(__xludf.DUMMYFUNCTION("""COMPUTED_VALUE"""),19.0)</f>
        <v>19</v>
      </c>
      <c r="G351" s="17">
        <f>IFERROR(__xludf.DUMMYFUNCTION("""COMPUTED_VALUE"""),4.0)</f>
        <v>4</v>
      </c>
      <c r="H351" s="17">
        <f>IFERROR(__xludf.DUMMYFUNCTION("""COMPUTED_VALUE"""),0.222)</f>
        <v>0.222</v>
      </c>
      <c r="I351" s="17">
        <f>IFERROR(__xludf.DUMMYFUNCTION("""COMPUTED_VALUE"""),0.306)</f>
        <v>0.306</v>
      </c>
      <c r="J351" s="17">
        <f>IFERROR(__xludf.DUMMYFUNCTION("""COMPUTED_VALUE"""),37.0)</f>
        <v>37</v>
      </c>
      <c r="K351" s="17">
        <f>IFERROR(__xludf.DUMMYFUNCTION("""COMPUTED_VALUE"""),6.0)</f>
        <v>6</v>
      </c>
      <c r="L351" s="17">
        <f>IFERROR(__xludf.DUMMYFUNCTION("""COMPUTED_VALUE"""),1.0)</f>
        <v>1</v>
      </c>
      <c r="M351" s="17">
        <f>IFERROR(__xludf.DUMMYFUNCTION("""COMPUTED_VALUE"""),19.0)</f>
        <v>19</v>
      </c>
      <c r="N351" s="17">
        <f>IFERROR(__xludf.DUMMYFUNCTION("""COMPUTED_VALUE"""),58.0)</f>
        <v>58</v>
      </c>
      <c r="O351" s="17">
        <f>IFERROR(__xludf.DUMMYFUNCTION("""COMPUTED_VALUE"""),0.364)</f>
        <v>0.364</v>
      </c>
      <c r="P351" s="17">
        <f>IFERROR(__xludf.DUMMYFUNCTION("""COMPUTED_VALUE"""),0.67)</f>
        <v>0.67</v>
      </c>
      <c r="Q351" s="34">
        <f>IFERROR(__xludf.DUMMYFUNCTION("""COMPUTED_VALUE"""),0.01)</f>
        <v>0.01</v>
      </c>
      <c r="R351" s="34">
        <f>IFERROR(__xludf.DUMMYFUNCTION("""COMPUTED_VALUE"""),0.01)</f>
        <v>0.01</v>
      </c>
      <c r="S351" s="34">
        <f>IFERROR(__xludf.DUMMYFUNCTION("""COMPUTED_VALUE"""),0.0)</f>
        <v>0</v>
      </c>
      <c r="T351" s="17" t="str">
        <f t="shared" si="1"/>
        <v>Christian Moore</v>
      </c>
    </row>
    <row r="352">
      <c r="A352" s="17">
        <f>IFERROR(__xludf.DUMMYFUNCTION("""COMPUTED_VALUE"""),352.0)</f>
        <v>352</v>
      </c>
      <c r="B352" s="17" t="str">
        <f>IFERROR(__xludf.DUMMYFUNCTION("""COMPUTED_VALUE"""),"Travis d'Arnaud (LAA - C)")</f>
        <v>Travis d'Arnaud (LAA - C)</v>
      </c>
      <c r="C352" s="17">
        <f>IFERROR(__xludf.DUMMYFUNCTION("""COMPUTED_VALUE"""),195.0)</f>
        <v>195</v>
      </c>
      <c r="D352" s="17">
        <f>IFERROR(__xludf.DUMMYFUNCTION("""COMPUTED_VALUE"""),22.0)</f>
        <v>22</v>
      </c>
      <c r="E352" s="17">
        <f>IFERROR(__xludf.DUMMYFUNCTION("""COMPUTED_VALUE"""),7.0)</f>
        <v>7</v>
      </c>
      <c r="F352" s="17">
        <f>IFERROR(__xludf.DUMMYFUNCTION("""COMPUTED_VALUE"""),23.0)</f>
        <v>23</v>
      </c>
      <c r="G352" s="17">
        <f>IFERROR(__xludf.DUMMYFUNCTION("""COMPUTED_VALUE"""),0.0)</f>
        <v>0</v>
      </c>
      <c r="H352" s="17">
        <f>IFERROR(__xludf.DUMMYFUNCTION("""COMPUTED_VALUE"""),0.218)</f>
        <v>0.218</v>
      </c>
      <c r="I352" s="17">
        <f>IFERROR(__xludf.DUMMYFUNCTION("""COMPUTED_VALUE"""),0.281)</f>
        <v>0.281</v>
      </c>
      <c r="J352" s="17">
        <f>IFERROR(__xludf.DUMMYFUNCTION("""COMPUTED_VALUE"""),43.0)</f>
        <v>43</v>
      </c>
      <c r="K352" s="17">
        <f>IFERROR(__xludf.DUMMYFUNCTION("""COMPUTED_VALUE"""),10.0)</f>
        <v>10</v>
      </c>
      <c r="L352" s="17">
        <f>IFERROR(__xludf.DUMMYFUNCTION("""COMPUTED_VALUE"""),1.0)</f>
        <v>1</v>
      </c>
      <c r="M352" s="17">
        <f>IFERROR(__xludf.DUMMYFUNCTION("""COMPUTED_VALUE"""),14.0)</f>
        <v>14</v>
      </c>
      <c r="N352" s="17">
        <f>IFERROR(__xludf.DUMMYFUNCTION("""COMPUTED_VALUE"""),60.0)</f>
        <v>60</v>
      </c>
      <c r="O352" s="17">
        <f>IFERROR(__xludf.DUMMYFUNCTION("""COMPUTED_VALUE"""),0.377)</f>
        <v>0.377</v>
      </c>
      <c r="P352" s="17">
        <f>IFERROR(__xludf.DUMMYFUNCTION("""COMPUTED_VALUE"""),0.658)</f>
        <v>0.658</v>
      </c>
      <c r="Q352" s="34">
        <f>IFERROR(__xludf.DUMMYFUNCTION("""COMPUTED_VALUE"""),0.0)</f>
        <v>0</v>
      </c>
      <c r="R352" s="34">
        <f>IFERROR(__xludf.DUMMYFUNCTION("""COMPUTED_VALUE"""),0.0)</f>
        <v>0</v>
      </c>
      <c r="S352" s="34">
        <f>IFERROR(__xludf.DUMMYFUNCTION("""COMPUTED_VALUE"""),0.0)</f>
        <v>0</v>
      </c>
      <c r="T352" s="17" t="str">
        <f t="shared" si="1"/>
        <v>Travis d'Arnaud</v>
      </c>
    </row>
    <row r="353">
      <c r="A353" s="17">
        <f>IFERROR(__xludf.DUMMYFUNCTION("""COMPUTED_VALUE"""),353.0)</f>
        <v>353</v>
      </c>
      <c r="B353" s="17" t="str">
        <f>IFERROR(__xludf.DUMMYFUNCTION("""COMPUTED_VALUE"""),"Pavin Smith (ARI - 1B,DH) IL60")</f>
        <v>Pavin Smith (ARI - 1B,DH) IL60</v>
      </c>
      <c r="C353" s="17">
        <f>IFERROR(__xludf.DUMMYFUNCTION("""COMPUTED_VALUE"""),154.0)</f>
        <v>154</v>
      </c>
      <c r="D353" s="17">
        <f>IFERROR(__xludf.DUMMYFUNCTION("""COMPUTED_VALUE"""),21.0)</f>
        <v>21</v>
      </c>
      <c r="E353" s="17">
        <f>IFERROR(__xludf.DUMMYFUNCTION("""COMPUTED_VALUE"""),5.0)</f>
        <v>5</v>
      </c>
      <c r="F353" s="17">
        <f>IFERROR(__xludf.DUMMYFUNCTION("""COMPUTED_VALUE"""),20.0)</f>
        <v>20</v>
      </c>
      <c r="G353" s="17">
        <f>IFERROR(__xludf.DUMMYFUNCTION("""COMPUTED_VALUE"""),1.0)</f>
        <v>1</v>
      </c>
      <c r="H353" s="17">
        <f>IFERROR(__xludf.DUMMYFUNCTION("""COMPUTED_VALUE"""),0.236)</f>
        <v>0.236</v>
      </c>
      <c r="I353" s="17">
        <f>IFERROR(__xludf.DUMMYFUNCTION("""COMPUTED_VALUE"""),0.335)</f>
        <v>0.335</v>
      </c>
      <c r="J353" s="17">
        <f>IFERROR(__xludf.DUMMYFUNCTION("""COMPUTED_VALUE"""),36.0)</f>
        <v>36</v>
      </c>
      <c r="K353" s="17">
        <f>IFERROR(__xludf.DUMMYFUNCTION("""COMPUTED_VALUE"""),7.0)</f>
        <v>7</v>
      </c>
      <c r="L353" s="17">
        <f>IFERROR(__xludf.DUMMYFUNCTION("""COMPUTED_VALUE"""),1.0)</f>
        <v>1</v>
      </c>
      <c r="M353" s="17">
        <f>IFERROR(__xludf.DUMMYFUNCTION("""COMPUTED_VALUE"""),23.0)</f>
        <v>23</v>
      </c>
      <c r="N353" s="17">
        <f>IFERROR(__xludf.DUMMYFUNCTION("""COMPUTED_VALUE"""),45.0)</f>
        <v>45</v>
      </c>
      <c r="O353" s="17">
        <f>IFERROR(__xludf.DUMMYFUNCTION("""COMPUTED_VALUE"""),0.393)</f>
        <v>0.393</v>
      </c>
      <c r="P353" s="17">
        <f>IFERROR(__xludf.DUMMYFUNCTION("""COMPUTED_VALUE"""),0.729)</f>
        <v>0.729</v>
      </c>
      <c r="Q353" s="34">
        <f>IFERROR(__xludf.DUMMYFUNCTION("""COMPUTED_VALUE"""),0.0)</f>
        <v>0</v>
      </c>
      <c r="R353" s="34">
        <f>IFERROR(__xludf.DUMMYFUNCTION("""COMPUTED_VALUE"""),0.0)</f>
        <v>0</v>
      </c>
      <c r="S353" s="34">
        <f>IFERROR(__xludf.DUMMYFUNCTION("""COMPUTED_VALUE"""),0.0)</f>
        <v>0</v>
      </c>
      <c r="T353" s="17" t="str">
        <f t="shared" si="1"/>
        <v>Pavin Smith</v>
      </c>
    </row>
    <row r="354">
      <c r="A354" s="17">
        <f>IFERROR(__xludf.DUMMYFUNCTION("""COMPUTED_VALUE"""),354.0)</f>
        <v>354</v>
      </c>
      <c r="B354" s="17" t="str">
        <f>IFERROR(__xludf.DUMMYFUNCTION("""COMPUTED_VALUE"""),"Vaughn Grissom (LAA - 2B,CI)")</f>
        <v>Vaughn Grissom (LAA - 2B,CI)</v>
      </c>
      <c r="C354" s="17">
        <f>IFERROR(__xludf.DUMMYFUNCTION("""COMPUTED_VALUE"""),149.0)</f>
        <v>149</v>
      </c>
      <c r="D354" s="17">
        <f>IFERROR(__xludf.DUMMYFUNCTION("""COMPUTED_VALUE"""),19.0)</f>
        <v>19</v>
      </c>
      <c r="E354" s="17">
        <f>IFERROR(__xludf.DUMMYFUNCTION("""COMPUTED_VALUE"""),3.0)</f>
        <v>3</v>
      </c>
      <c r="F354" s="17">
        <f>IFERROR(__xludf.DUMMYFUNCTION("""COMPUTED_VALUE"""),17.0)</f>
        <v>17</v>
      </c>
      <c r="G354" s="17">
        <f>IFERROR(__xludf.DUMMYFUNCTION("""COMPUTED_VALUE"""),3.0)</f>
        <v>3</v>
      </c>
      <c r="H354" s="17">
        <f>IFERROR(__xludf.DUMMYFUNCTION("""COMPUTED_VALUE"""),0.253)</f>
        <v>0.253</v>
      </c>
      <c r="I354" s="17">
        <f>IFERROR(__xludf.DUMMYFUNCTION("""COMPUTED_VALUE"""),0.32)</f>
        <v>0.32</v>
      </c>
      <c r="J354" s="17">
        <f>IFERROR(__xludf.DUMMYFUNCTION("""COMPUTED_VALUE"""),38.0)</f>
        <v>38</v>
      </c>
      <c r="K354" s="17">
        <f>IFERROR(__xludf.DUMMYFUNCTION("""COMPUTED_VALUE"""),8.0)</f>
        <v>8</v>
      </c>
      <c r="L354" s="17">
        <f>IFERROR(__xludf.DUMMYFUNCTION("""COMPUTED_VALUE"""),0.0)</f>
        <v>0</v>
      </c>
      <c r="M354" s="17">
        <f>IFERROR(__xludf.DUMMYFUNCTION("""COMPUTED_VALUE"""),13.0)</f>
        <v>13</v>
      </c>
      <c r="N354" s="17">
        <f>IFERROR(__xludf.DUMMYFUNCTION("""COMPUTED_VALUE"""),31.0)</f>
        <v>31</v>
      </c>
      <c r="O354" s="17">
        <f>IFERROR(__xludf.DUMMYFUNCTION("""COMPUTED_VALUE"""),0.369)</f>
        <v>0.369</v>
      </c>
      <c r="P354" s="17">
        <f>IFERROR(__xludf.DUMMYFUNCTION("""COMPUTED_VALUE"""),0.689)</f>
        <v>0.689</v>
      </c>
      <c r="Q354" s="34">
        <f>IFERROR(__xludf.DUMMYFUNCTION("""COMPUTED_VALUE"""),0.01)</f>
        <v>0.01</v>
      </c>
      <c r="R354" s="34">
        <f>IFERROR(__xludf.DUMMYFUNCTION("""COMPUTED_VALUE"""),0.01)</f>
        <v>0.01</v>
      </c>
      <c r="S354" s="34">
        <f>IFERROR(__xludf.DUMMYFUNCTION("""COMPUTED_VALUE"""),0.01)</f>
        <v>0.01</v>
      </c>
      <c r="T354" s="17" t="str">
        <f t="shared" si="1"/>
        <v>Vaughn Grissom</v>
      </c>
    </row>
    <row r="355">
      <c r="A355" s="17">
        <f>IFERROR(__xludf.DUMMYFUNCTION("""COMPUTED_VALUE"""),355.0)</f>
        <v>355</v>
      </c>
      <c r="B355" s="17" t="str">
        <f>IFERROR(__xludf.DUMMYFUNCTION("""COMPUTED_VALUE"""),"Tristan Peters (CWS - CF,RF)")</f>
        <v>Tristan Peters (CWS - CF,RF)</v>
      </c>
      <c r="C355" s="17">
        <f>IFERROR(__xludf.DUMMYFUNCTION("""COMPUTED_VALUE"""),197.0)</f>
        <v>197</v>
      </c>
      <c r="D355" s="17">
        <f>IFERROR(__xludf.DUMMYFUNCTION("""COMPUTED_VALUE"""),23.0)</f>
        <v>23</v>
      </c>
      <c r="E355" s="17">
        <f>IFERROR(__xludf.DUMMYFUNCTION("""COMPUTED_VALUE"""),4.0)</f>
        <v>4</v>
      </c>
      <c r="F355" s="17">
        <f>IFERROR(__xludf.DUMMYFUNCTION("""COMPUTED_VALUE"""),20.0)</f>
        <v>20</v>
      </c>
      <c r="G355" s="17">
        <f>IFERROR(__xludf.DUMMYFUNCTION("""COMPUTED_VALUE"""),3.0)</f>
        <v>3</v>
      </c>
      <c r="H355" s="17">
        <f>IFERROR(__xludf.DUMMYFUNCTION("""COMPUTED_VALUE"""),0.226)</f>
        <v>0.226</v>
      </c>
      <c r="I355" s="17">
        <f>IFERROR(__xludf.DUMMYFUNCTION("""COMPUTED_VALUE"""),0.294)</f>
        <v>0.294</v>
      </c>
      <c r="J355" s="17">
        <f>IFERROR(__xludf.DUMMYFUNCTION("""COMPUTED_VALUE"""),44.0)</f>
        <v>44</v>
      </c>
      <c r="K355" s="17">
        <f>IFERROR(__xludf.DUMMYFUNCTION("""COMPUTED_VALUE"""),8.0)</f>
        <v>8</v>
      </c>
      <c r="L355" s="17">
        <f>IFERROR(__xludf.DUMMYFUNCTION("""COMPUTED_VALUE"""),1.0)</f>
        <v>1</v>
      </c>
      <c r="M355" s="17">
        <f>IFERROR(__xludf.DUMMYFUNCTION("""COMPUTED_VALUE"""),18.0)</f>
        <v>18</v>
      </c>
      <c r="N355" s="17">
        <f>IFERROR(__xludf.DUMMYFUNCTION("""COMPUTED_VALUE"""),48.0)</f>
        <v>48</v>
      </c>
      <c r="O355" s="17">
        <f>IFERROR(__xludf.DUMMYFUNCTION("""COMPUTED_VALUE"""),0.343)</f>
        <v>0.343</v>
      </c>
      <c r="P355" s="17">
        <f>IFERROR(__xludf.DUMMYFUNCTION("""COMPUTED_VALUE"""),0.637)</f>
        <v>0.637</v>
      </c>
      <c r="Q355" s="34">
        <f>IFERROR(__xludf.DUMMYFUNCTION("""COMPUTED_VALUE"""),0.0)</f>
        <v>0</v>
      </c>
      <c r="R355" s="34">
        <f>IFERROR(__xludf.DUMMYFUNCTION("""COMPUTED_VALUE"""),0.0)</f>
        <v>0</v>
      </c>
      <c r="S355" s="34">
        <f>IFERROR(__xludf.DUMMYFUNCTION("""COMPUTED_VALUE"""),0.0)</f>
        <v>0</v>
      </c>
      <c r="T355" s="17" t="str">
        <f t="shared" si="1"/>
        <v>Tristan Peters</v>
      </c>
    </row>
    <row r="356">
      <c r="A356" s="17">
        <f>IFERROR(__xludf.DUMMYFUNCTION("""COMPUTED_VALUE"""),356.0)</f>
        <v>356</v>
      </c>
      <c r="B356" s="17" t="str">
        <f>IFERROR(__xludf.DUMMYFUNCTION("""COMPUTED_VALUE"""),"Drew Millas (WSH - C)")</f>
        <v>Drew Millas (WSH - C)</v>
      </c>
      <c r="C356" s="17">
        <f>IFERROR(__xludf.DUMMYFUNCTION("""COMPUTED_VALUE"""),170.0)</f>
        <v>170</v>
      </c>
      <c r="D356" s="17">
        <f>IFERROR(__xludf.DUMMYFUNCTION("""COMPUTED_VALUE"""),19.0)</f>
        <v>19</v>
      </c>
      <c r="E356" s="17">
        <f>IFERROR(__xludf.DUMMYFUNCTION("""COMPUTED_VALUE"""),3.0)</f>
        <v>3</v>
      </c>
      <c r="F356" s="17">
        <f>IFERROR(__xludf.DUMMYFUNCTION("""COMPUTED_VALUE"""),18.0)</f>
        <v>18</v>
      </c>
      <c r="G356" s="17">
        <f>IFERROR(__xludf.DUMMYFUNCTION("""COMPUTED_VALUE"""),4.0)</f>
        <v>4</v>
      </c>
      <c r="H356" s="17">
        <f>IFERROR(__xludf.DUMMYFUNCTION("""COMPUTED_VALUE"""),0.24)</f>
        <v>0.24</v>
      </c>
      <c r="I356" s="17">
        <f>IFERROR(__xludf.DUMMYFUNCTION("""COMPUTED_VALUE"""),0.303)</f>
        <v>0.303</v>
      </c>
      <c r="J356" s="17">
        <f>IFERROR(__xludf.DUMMYFUNCTION("""COMPUTED_VALUE"""),41.0)</f>
        <v>41</v>
      </c>
      <c r="K356" s="17">
        <f>IFERROR(__xludf.DUMMYFUNCTION("""COMPUTED_VALUE"""),8.0)</f>
        <v>8</v>
      </c>
      <c r="L356" s="17">
        <f>IFERROR(__xludf.DUMMYFUNCTION("""COMPUTED_VALUE"""),1.0)</f>
        <v>1</v>
      </c>
      <c r="M356" s="17">
        <f>IFERROR(__xludf.DUMMYFUNCTION("""COMPUTED_VALUE"""),14.0)</f>
        <v>14</v>
      </c>
      <c r="N356" s="17">
        <f>IFERROR(__xludf.DUMMYFUNCTION("""COMPUTED_VALUE"""),34.0)</f>
        <v>34</v>
      </c>
      <c r="O356" s="17">
        <f>IFERROR(__xludf.DUMMYFUNCTION("""COMPUTED_VALUE"""),0.348)</f>
        <v>0.348</v>
      </c>
      <c r="P356" s="17">
        <f>IFERROR(__xludf.DUMMYFUNCTION("""COMPUTED_VALUE"""),0.651)</f>
        <v>0.651</v>
      </c>
      <c r="Q356" s="34">
        <f>IFERROR(__xludf.DUMMYFUNCTION("""COMPUTED_VALUE"""),0.0)</f>
        <v>0</v>
      </c>
      <c r="R356" s="34">
        <f>IFERROR(__xludf.DUMMYFUNCTION("""COMPUTED_VALUE"""),0.0)</f>
        <v>0</v>
      </c>
      <c r="S356" s="34">
        <f>IFERROR(__xludf.DUMMYFUNCTION("""COMPUTED_VALUE"""),0.0)</f>
        <v>0</v>
      </c>
      <c r="T356" s="17" t="str">
        <f t="shared" si="1"/>
        <v>Drew Millas</v>
      </c>
    </row>
    <row r="357">
      <c r="A357" s="17">
        <f>IFERROR(__xludf.DUMMYFUNCTION("""COMPUTED_VALUE"""),357.0)</f>
        <v>357</v>
      </c>
      <c r="B357" s="17" t="str">
        <f>IFERROR(__xludf.DUMMYFUNCTION("""COMPUTED_VALUE"""),"Joe Mack (MIA - C) MiLB")</f>
        <v>Joe Mack (MIA - C) MiLB</v>
      </c>
      <c r="C357" s="17">
        <f>IFERROR(__xludf.DUMMYFUNCTION("""COMPUTED_VALUE"""),170.0)</f>
        <v>170</v>
      </c>
      <c r="D357" s="17">
        <f>IFERROR(__xludf.DUMMYFUNCTION("""COMPUTED_VALUE"""),20.0)</f>
        <v>20</v>
      </c>
      <c r="E357" s="17">
        <f>IFERROR(__xludf.DUMMYFUNCTION("""COMPUTED_VALUE"""),6.0)</f>
        <v>6</v>
      </c>
      <c r="F357" s="17">
        <f>IFERROR(__xludf.DUMMYFUNCTION("""COMPUTED_VALUE"""),21.0)</f>
        <v>21</v>
      </c>
      <c r="G357" s="17">
        <f>IFERROR(__xludf.DUMMYFUNCTION("""COMPUTED_VALUE"""),2.0)</f>
        <v>2</v>
      </c>
      <c r="H357" s="17">
        <f>IFERROR(__xludf.DUMMYFUNCTION("""COMPUTED_VALUE"""),0.218)</f>
        <v>0.218</v>
      </c>
      <c r="I357" s="17">
        <f>IFERROR(__xludf.DUMMYFUNCTION("""COMPUTED_VALUE"""),0.288)</f>
        <v>0.288</v>
      </c>
      <c r="J357" s="17">
        <f>IFERROR(__xludf.DUMMYFUNCTION("""COMPUTED_VALUE"""),37.0)</f>
        <v>37</v>
      </c>
      <c r="K357" s="17">
        <f>IFERROR(__xludf.DUMMYFUNCTION("""COMPUTED_VALUE"""),7.0)</f>
        <v>7</v>
      </c>
      <c r="L357" s="17">
        <f>IFERROR(__xludf.DUMMYFUNCTION("""COMPUTED_VALUE"""),0.0)</f>
        <v>0</v>
      </c>
      <c r="M357" s="17">
        <f>IFERROR(__xludf.DUMMYFUNCTION("""COMPUTED_VALUE"""),15.0)</f>
        <v>15</v>
      </c>
      <c r="N357" s="17">
        <f>IFERROR(__xludf.DUMMYFUNCTION("""COMPUTED_VALUE"""),52.0)</f>
        <v>52</v>
      </c>
      <c r="O357" s="17">
        <f>IFERROR(__xludf.DUMMYFUNCTION("""COMPUTED_VALUE"""),0.362)</f>
        <v>0.362</v>
      </c>
      <c r="P357" s="17">
        <f>IFERROR(__xludf.DUMMYFUNCTION("""COMPUTED_VALUE"""),0.649)</f>
        <v>0.649</v>
      </c>
      <c r="Q357" s="34">
        <f>IFERROR(__xludf.DUMMYFUNCTION("""COMPUTED_VALUE"""),0.0)</f>
        <v>0</v>
      </c>
      <c r="R357" s="34">
        <f>IFERROR(__xludf.DUMMYFUNCTION("""COMPUTED_VALUE"""),0.0)</f>
        <v>0</v>
      </c>
      <c r="S357" s="34">
        <f>IFERROR(__xludf.DUMMYFUNCTION("""COMPUTED_VALUE"""),0.0)</f>
        <v>0</v>
      </c>
      <c r="T357" s="17" t="str">
        <f t="shared" si="1"/>
        <v>Joe Mack</v>
      </c>
    </row>
    <row r="358">
      <c r="A358" s="17">
        <f>IFERROR(__xludf.DUMMYFUNCTION("""COMPUTED_VALUE"""),358.0)</f>
        <v>358</v>
      </c>
      <c r="B358" s="17" t="str">
        <f>IFERROR(__xludf.DUMMYFUNCTION("""COMPUTED_VALUE"""),"Miguel Rojas (LAD - 2B,3B,SS)")</f>
        <v>Miguel Rojas (LAD - 2B,3B,SS)</v>
      </c>
      <c r="C358" s="17">
        <f>IFERROR(__xludf.DUMMYFUNCTION("""COMPUTED_VALUE"""),158.0)</f>
        <v>158</v>
      </c>
      <c r="D358" s="17">
        <f>IFERROR(__xludf.DUMMYFUNCTION("""COMPUTED_VALUE"""),19.0)</f>
        <v>19</v>
      </c>
      <c r="E358" s="17">
        <f>IFERROR(__xludf.DUMMYFUNCTION("""COMPUTED_VALUE"""),3.0)</f>
        <v>3</v>
      </c>
      <c r="F358" s="17">
        <f>IFERROR(__xludf.DUMMYFUNCTION("""COMPUTED_VALUE"""),17.0)</f>
        <v>17</v>
      </c>
      <c r="G358" s="17">
        <f>IFERROR(__xludf.DUMMYFUNCTION("""COMPUTED_VALUE"""),3.0)</f>
        <v>3</v>
      </c>
      <c r="H358" s="17">
        <f>IFERROR(__xludf.DUMMYFUNCTION("""COMPUTED_VALUE"""),0.249)</f>
        <v>0.249</v>
      </c>
      <c r="I358" s="17">
        <f>IFERROR(__xludf.DUMMYFUNCTION("""COMPUTED_VALUE"""),0.304)</f>
        <v>0.304</v>
      </c>
      <c r="J358" s="17">
        <f>IFERROR(__xludf.DUMMYFUNCTION("""COMPUTED_VALUE"""),39.0)</f>
        <v>39</v>
      </c>
      <c r="K358" s="17">
        <f>IFERROR(__xludf.DUMMYFUNCTION("""COMPUTED_VALUE"""),8.0)</f>
        <v>8</v>
      </c>
      <c r="L358" s="17">
        <f>IFERROR(__xludf.DUMMYFUNCTION("""COMPUTED_VALUE"""),0.0)</f>
        <v>0</v>
      </c>
      <c r="M358" s="17">
        <f>IFERROR(__xludf.DUMMYFUNCTION("""COMPUTED_VALUE"""),12.0)</f>
        <v>12</v>
      </c>
      <c r="N358" s="17">
        <f>IFERROR(__xludf.DUMMYFUNCTION("""COMPUTED_VALUE"""),24.0)</f>
        <v>24</v>
      </c>
      <c r="O358" s="17">
        <f>IFERROR(__xludf.DUMMYFUNCTION("""COMPUTED_VALUE"""),0.356)</f>
        <v>0.356</v>
      </c>
      <c r="P358" s="17">
        <f>IFERROR(__xludf.DUMMYFUNCTION("""COMPUTED_VALUE"""),0.66)</f>
        <v>0.66</v>
      </c>
      <c r="Q358" s="34">
        <f>IFERROR(__xludf.DUMMYFUNCTION("""COMPUTED_VALUE"""),0.01)</f>
        <v>0.01</v>
      </c>
      <c r="R358" s="34">
        <f>IFERROR(__xludf.DUMMYFUNCTION("""COMPUTED_VALUE"""),0.01)</f>
        <v>0.01</v>
      </c>
      <c r="S358" s="34">
        <f>IFERROR(__xludf.DUMMYFUNCTION("""COMPUTED_VALUE"""),0.01)</f>
        <v>0.01</v>
      </c>
      <c r="T358" s="17" t="str">
        <f t="shared" si="1"/>
        <v>Miguel Rojas</v>
      </c>
    </row>
    <row r="359">
      <c r="A359" s="17">
        <f>IFERROR(__xludf.DUMMYFUNCTION("""COMPUTED_VALUE"""),359.0)</f>
        <v>359</v>
      </c>
      <c r="B359" s="17" t="str">
        <f>IFERROR(__xludf.DUMMYFUNCTION("""COMPUTED_VALUE"""),"Felix Reyes (PHI - 1B,LF,RF)")</f>
        <v>Felix Reyes (PHI - 1B,LF,RF)</v>
      </c>
      <c r="C359" s="17">
        <f>IFERROR(__xludf.DUMMYFUNCTION("""COMPUTED_VALUE"""),135.0)</f>
        <v>135</v>
      </c>
      <c r="D359" s="17">
        <f>IFERROR(__xludf.DUMMYFUNCTION("""COMPUTED_VALUE"""),16.0)</f>
        <v>16</v>
      </c>
      <c r="E359" s="17">
        <f>IFERROR(__xludf.DUMMYFUNCTION("""COMPUTED_VALUE"""),4.0)</f>
        <v>4</v>
      </c>
      <c r="F359" s="17">
        <f>IFERROR(__xludf.DUMMYFUNCTION("""COMPUTED_VALUE"""),18.0)</f>
        <v>18</v>
      </c>
      <c r="G359" s="17">
        <f>IFERROR(__xludf.DUMMYFUNCTION("""COMPUTED_VALUE"""),2.0)</f>
        <v>2</v>
      </c>
      <c r="H359" s="17">
        <f>IFERROR(__xludf.DUMMYFUNCTION("""COMPUTED_VALUE"""),0.249)</f>
        <v>0.249</v>
      </c>
      <c r="I359" s="17">
        <f>IFERROR(__xludf.DUMMYFUNCTION("""COMPUTED_VALUE"""),0.286)</f>
        <v>0.286</v>
      </c>
      <c r="J359" s="17">
        <f>IFERROR(__xludf.DUMMYFUNCTION("""COMPUTED_VALUE"""),34.0)</f>
        <v>34</v>
      </c>
      <c r="K359" s="17">
        <f>IFERROR(__xludf.DUMMYFUNCTION("""COMPUTED_VALUE"""),7.0)</f>
        <v>7</v>
      </c>
      <c r="L359" s="17">
        <f>IFERROR(__xludf.DUMMYFUNCTION("""COMPUTED_VALUE"""),1.0)</f>
        <v>1</v>
      </c>
      <c r="M359" s="17">
        <f>IFERROR(__xludf.DUMMYFUNCTION("""COMPUTED_VALUE"""),7.0)</f>
        <v>7</v>
      </c>
      <c r="N359" s="17">
        <f>IFERROR(__xludf.DUMMYFUNCTION("""COMPUTED_VALUE"""),28.0)</f>
        <v>28</v>
      </c>
      <c r="O359" s="17">
        <f>IFERROR(__xludf.DUMMYFUNCTION("""COMPUTED_VALUE"""),0.399)</f>
        <v>0.399</v>
      </c>
      <c r="P359" s="17">
        <f>IFERROR(__xludf.DUMMYFUNCTION("""COMPUTED_VALUE"""),0.685)</f>
        <v>0.685</v>
      </c>
      <c r="Q359" s="34">
        <f>IFERROR(__xludf.DUMMYFUNCTION("""COMPUTED_VALUE"""),0.0)</f>
        <v>0</v>
      </c>
      <c r="R359" s="34">
        <f>IFERROR(__xludf.DUMMYFUNCTION("""COMPUTED_VALUE"""),0.0)</f>
        <v>0</v>
      </c>
      <c r="S359" s="34">
        <f>IFERROR(__xludf.DUMMYFUNCTION("""COMPUTED_VALUE"""),0.0)</f>
        <v>0</v>
      </c>
      <c r="T359" s="17" t="str">
        <f t="shared" si="1"/>
        <v>Felix Reyes</v>
      </c>
    </row>
    <row r="360">
      <c r="A360" s="17">
        <f>IFERROR(__xludf.DUMMYFUNCTION("""COMPUTED_VALUE"""),360.0)</f>
        <v>360</v>
      </c>
      <c r="B360" s="17" t="str">
        <f>IFERROR(__xludf.DUMMYFUNCTION("""COMPUTED_VALUE"""),"Adam Frazier (LAA - 2B,LF,RF)")</f>
        <v>Adam Frazier (LAA - 2B,LF,RF)</v>
      </c>
      <c r="C360" s="17">
        <f>IFERROR(__xludf.DUMMYFUNCTION("""COMPUTED_VALUE"""),197.0)</f>
        <v>197</v>
      </c>
      <c r="D360" s="17">
        <f>IFERROR(__xludf.DUMMYFUNCTION("""COMPUTED_VALUE"""),23.0)</f>
        <v>23</v>
      </c>
      <c r="E360" s="17">
        <f>IFERROR(__xludf.DUMMYFUNCTION("""COMPUTED_VALUE"""),3.0)</f>
        <v>3</v>
      </c>
      <c r="F360" s="17">
        <f>IFERROR(__xludf.DUMMYFUNCTION("""COMPUTED_VALUE"""),19.0)</f>
        <v>19</v>
      </c>
      <c r="G360" s="17">
        <f>IFERROR(__xludf.DUMMYFUNCTION("""COMPUTED_VALUE"""),3.0)</f>
        <v>3</v>
      </c>
      <c r="H360" s="17">
        <f>IFERROR(__xludf.DUMMYFUNCTION("""COMPUTED_VALUE"""),0.23)</f>
        <v>0.23</v>
      </c>
      <c r="I360" s="17">
        <f>IFERROR(__xludf.DUMMYFUNCTION("""COMPUTED_VALUE"""),0.292)</f>
        <v>0.292</v>
      </c>
      <c r="J360" s="17">
        <f>IFERROR(__xludf.DUMMYFUNCTION("""COMPUTED_VALUE"""),45.0)</f>
        <v>45</v>
      </c>
      <c r="K360" s="17">
        <f>IFERROR(__xludf.DUMMYFUNCTION("""COMPUTED_VALUE"""),8.0)</f>
        <v>8</v>
      </c>
      <c r="L360" s="17">
        <f>IFERROR(__xludf.DUMMYFUNCTION("""COMPUTED_VALUE"""),1.0)</f>
        <v>1</v>
      </c>
      <c r="M360" s="17">
        <f>IFERROR(__xludf.DUMMYFUNCTION("""COMPUTED_VALUE"""),15.0)</f>
        <v>15</v>
      </c>
      <c r="N360" s="17">
        <f>IFERROR(__xludf.DUMMYFUNCTION("""COMPUTED_VALUE"""),42.0)</f>
        <v>42</v>
      </c>
      <c r="O360" s="17">
        <f>IFERROR(__xludf.DUMMYFUNCTION("""COMPUTED_VALUE"""),0.328)</f>
        <v>0.328</v>
      </c>
      <c r="P360" s="17">
        <f>IFERROR(__xludf.DUMMYFUNCTION("""COMPUTED_VALUE"""),0.62)</f>
        <v>0.62</v>
      </c>
      <c r="Q360" s="34">
        <f>IFERROR(__xludf.DUMMYFUNCTION("""COMPUTED_VALUE"""),0.0)</f>
        <v>0</v>
      </c>
      <c r="R360" s="34">
        <f>IFERROR(__xludf.DUMMYFUNCTION("""COMPUTED_VALUE"""),0.0)</f>
        <v>0</v>
      </c>
      <c r="S360" s="34">
        <f>IFERROR(__xludf.DUMMYFUNCTION("""COMPUTED_VALUE"""),0.0)</f>
        <v>0</v>
      </c>
      <c r="T360" s="17" t="str">
        <f t="shared" si="1"/>
        <v>Adam Frazier</v>
      </c>
    </row>
    <row r="361">
      <c r="A361" s="17">
        <f>IFERROR(__xludf.DUMMYFUNCTION("""COMPUTED_VALUE"""),361.0)</f>
        <v>361</v>
      </c>
      <c r="B361" s="17" t="str">
        <f>IFERROR(__xludf.DUMMYFUNCTION("""COMPUTED_VALUE"""),"Lenyn Sosa (TOR - 1B,2B,DH)")</f>
        <v>Lenyn Sosa (TOR - 1B,2B,DH)</v>
      </c>
      <c r="C361" s="17">
        <f>IFERROR(__xludf.DUMMYFUNCTION("""COMPUTED_VALUE"""),143.0)</f>
        <v>143</v>
      </c>
      <c r="D361" s="17">
        <f>IFERROR(__xludf.DUMMYFUNCTION("""COMPUTED_VALUE"""),16.0)</f>
        <v>16</v>
      </c>
      <c r="E361" s="17">
        <f>IFERROR(__xludf.DUMMYFUNCTION("""COMPUTED_VALUE"""),5.0)</f>
        <v>5</v>
      </c>
      <c r="F361" s="17">
        <f>IFERROR(__xludf.DUMMYFUNCTION("""COMPUTED_VALUE"""),19.0)</f>
        <v>19</v>
      </c>
      <c r="G361" s="17">
        <f>IFERROR(__xludf.DUMMYFUNCTION("""COMPUTED_VALUE"""),1.0)</f>
        <v>1</v>
      </c>
      <c r="H361" s="17">
        <f>IFERROR(__xludf.DUMMYFUNCTION("""COMPUTED_VALUE"""),0.247)</f>
        <v>0.247</v>
      </c>
      <c r="I361" s="17">
        <f>IFERROR(__xludf.DUMMYFUNCTION("""COMPUTED_VALUE"""),0.282)</f>
        <v>0.282</v>
      </c>
      <c r="J361" s="17">
        <f>IFERROR(__xludf.DUMMYFUNCTION("""COMPUTED_VALUE"""),35.0)</f>
        <v>35</v>
      </c>
      <c r="K361" s="17">
        <f>IFERROR(__xludf.DUMMYFUNCTION("""COMPUTED_VALUE"""),7.0)</f>
        <v>7</v>
      </c>
      <c r="L361" s="17">
        <f>IFERROR(__xludf.DUMMYFUNCTION("""COMPUTED_VALUE"""),0.0)</f>
        <v>0</v>
      </c>
      <c r="M361" s="17">
        <f>IFERROR(__xludf.DUMMYFUNCTION("""COMPUTED_VALUE"""),7.0)</f>
        <v>7</v>
      </c>
      <c r="N361" s="17">
        <f>IFERROR(__xludf.DUMMYFUNCTION("""COMPUTED_VALUE"""),34.0)</f>
        <v>34</v>
      </c>
      <c r="O361" s="17">
        <f>IFERROR(__xludf.DUMMYFUNCTION("""COMPUTED_VALUE"""),0.397)</f>
        <v>0.397</v>
      </c>
      <c r="P361" s="17">
        <f>IFERROR(__xludf.DUMMYFUNCTION("""COMPUTED_VALUE"""),0.679)</f>
        <v>0.679</v>
      </c>
      <c r="Q361" s="34">
        <f>IFERROR(__xludf.DUMMYFUNCTION("""COMPUTED_VALUE"""),0.01)</f>
        <v>0.01</v>
      </c>
      <c r="R361" s="34">
        <f>IFERROR(__xludf.DUMMYFUNCTION("""COMPUTED_VALUE"""),0.02)</f>
        <v>0.02</v>
      </c>
      <c r="S361" s="34">
        <f>IFERROR(__xludf.DUMMYFUNCTION("""COMPUTED_VALUE"""),0.01)</f>
        <v>0.01</v>
      </c>
      <c r="T361" s="17" t="str">
        <f t="shared" si="1"/>
        <v>Lenyn Sosa</v>
      </c>
    </row>
    <row r="362">
      <c r="A362" s="17">
        <f>IFERROR(__xludf.DUMMYFUNCTION("""COMPUTED_VALUE"""),362.0)</f>
        <v>362</v>
      </c>
      <c r="B362" s="17" t="str">
        <f>IFERROR(__xludf.DUMMYFUNCTION("""COMPUTED_VALUE"""),"Bryce Teodosio (LAA - LF,CF)")</f>
        <v>Bryce Teodosio (LAA - LF,CF)</v>
      </c>
      <c r="C362" s="17">
        <f>IFERROR(__xludf.DUMMYFUNCTION("""COMPUTED_VALUE"""),179.0)</f>
        <v>179</v>
      </c>
      <c r="D362" s="17">
        <f>IFERROR(__xludf.DUMMYFUNCTION("""COMPUTED_VALUE"""),20.0)</f>
        <v>20</v>
      </c>
      <c r="E362" s="17">
        <f>IFERROR(__xludf.DUMMYFUNCTION("""COMPUTED_VALUE"""),3.0)</f>
        <v>3</v>
      </c>
      <c r="F362" s="17">
        <f>IFERROR(__xludf.DUMMYFUNCTION("""COMPUTED_VALUE"""),16.0)</f>
        <v>16</v>
      </c>
      <c r="G362" s="17">
        <f>IFERROR(__xludf.DUMMYFUNCTION("""COMPUTED_VALUE"""),9.0)</f>
        <v>9</v>
      </c>
      <c r="H362" s="17">
        <f>IFERROR(__xludf.DUMMYFUNCTION("""COMPUTED_VALUE"""),0.213)</f>
        <v>0.213</v>
      </c>
      <c r="I362" s="17">
        <f>IFERROR(__xludf.DUMMYFUNCTION("""COMPUTED_VALUE"""),0.266)</f>
        <v>0.266</v>
      </c>
      <c r="J362" s="17">
        <f>IFERROR(__xludf.DUMMYFUNCTION("""COMPUTED_VALUE"""),38.0)</f>
        <v>38</v>
      </c>
      <c r="K362" s="17">
        <f>IFERROR(__xludf.DUMMYFUNCTION("""COMPUTED_VALUE"""),7.0)</f>
        <v>7</v>
      </c>
      <c r="L362" s="17">
        <f>IFERROR(__xludf.DUMMYFUNCTION("""COMPUTED_VALUE"""),2.0)</f>
        <v>2</v>
      </c>
      <c r="M362" s="17">
        <f>IFERROR(__xludf.DUMMYFUNCTION("""COMPUTED_VALUE"""),11.0)</f>
        <v>11</v>
      </c>
      <c r="N362" s="17">
        <f>IFERROR(__xludf.DUMMYFUNCTION("""COMPUTED_VALUE"""),62.0)</f>
        <v>62</v>
      </c>
      <c r="O362" s="17">
        <f>IFERROR(__xludf.DUMMYFUNCTION("""COMPUTED_VALUE"""),0.315)</f>
        <v>0.315</v>
      </c>
      <c r="P362" s="17">
        <f>IFERROR(__xludf.DUMMYFUNCTION("""COMPUTED_VALUE"""),0.581)</f>
        <v>0.581</v>
      </c>
      <c r="Q362" s="34">
        <f>IFERROR(__xludf.DUMMYFUNCTION("""COMPUTED_VALUE"""),0.0)</f>
        <v>0</v>
      </c>
      <c r="R362" s="34">
        <f>IFERROR(__xludf.DUMMYFUNCTION("""COMPUTED_VALUE"""),0.0)</f>
        <v>0</v>
      </c>
      <c r="S362" s="34">
        <f>IFERROR(__xludf.DUMMYFUNCTION("""COMPUTED_VALUE"""),0.0)</f>
        <v>0</v>
      </c>
      <c r="T362" s="17" t="str">
        <f t="shared" si="1"/>
        <v>Bryce Teodosio</v>
      </c>
    </row>
    <row r="363">
      <c r="A363" s="17">
        <f>IFERROR(__xludf.DUMMYFUNCTION("""COMPUTED_VALUE"""),363.0)</f>
        <v>363</v>
      </c>
      <c r="B363" s="17" t="str">
        <f>IFERROR(__xludf.DUMMYFUNCTION("""COMPUTED_VALUE"""),"Jose Trevino (CIN - C)")</f>
        <v>Jose Trevino (CIN - C)</v>
      </c>
      <c r="C363" s="17">
        <f>IFERROR(__xludf.DUMMYFUNCTION("""COMPUTED_VALUE"""),181.0)</f>
        <v>181</v>
      </c>
      <c r="D363" s="17">
        <f>IFERROR(__xludf.DUMMYFUNCTION("""COMPUTED_VALUE"""),20.0)</f>
        <v>20</v>
      </c>
      <c r="E363" s="17">
        <f>IFERROR(__xludf.DUMMYFUNCTION("""COMPUTED_VALUE"""),4.0)</f>
        <v>4</v>
      </c>
      <c r="F363" s="17">
        <f>IFERROR(__xludf.DUMMYFUNCTION("""COMPUTED_VALUE"""),20.0)</f>
        <v>20</v>
      </c>
      <c r="G363" s="17">
        <f>IFERROR(__xludf.DUMMYFUNCTION("""COMPUTED_VALUE"""),1.0)</f>
        <v>1</v>
      </c>
      <c r="H363" s="17">
        <f>IFERROR(__xludf.DUMMYFUNCTION("""COMPUTED_VALUE"""),0.234)</f>
        <v>0.234</v>
      </c>
      <c r="I363" s="17">
        <f>IFERROR(__xludf.DUMMYFUNCTION("""COMPUTED_VALUE"""),0.284)</f>
        <v>0.284</v>
      </c>
      <c r="J363" s="17">
        <f>IFERROR(__xludf.DUMMYFUNCTION("""COMPUTED_VALUE"""),42.0)</f>
        <v>42</v>
      </c>
      <c r="K363" s="17">
        <f>IFERROR(__xludf.DUMMYFUNCTION("""COMPUTED_VALUE"""),8.0)</f>
        <v>8</v>
      </c>
      <c r="L363" s="17">
        <f>IFERROR(__xludf.DUMMYFUNCTION("""COMPUTED_VALUE"""),0.0)</f>
        <v>0</v>
      </c>
      <c r="M363" s="17">
        <f>IFERROR(__xludf.DUMMYFUNCTION("""COMPUTED_VALUE"""),12.0)</f>
        <v>12</v>
      </c>
      <c r="N363" s="17">
        <f>IFERROR(__xludf.DUMMYFUNCTION("""COMPUTED_VALUE"""),31.0)</f>
        <v>31</v>
      </c>
      <c r="O363" s="17">
        <f>IFERROR(__xludf.DUMMYFUNCTION("""COMPUTED_VALUE"""),0.352)</f>
        <v>0.352</v>
      </c>
      <c r="P363" s="17">
        <f>IFERROR(__xludf.DUMMYFUNCTION("""COMPUTED_VALUE"""),0.636)</f>
        <v>0.636</v>
      </c>
      <c r="Q363" s="34">
        <f>IFERROR(__xludf.DUMMYFUNCTION("""COMPUTED_VALUE"""),0.0)</f>
        <v>0</v>
      </c>
      <c r="R363" s="34">
        <f>IFERROR(__xludf.DUMMYFUNCTION("""COMPUTED_VALUE"""),0.0)</f>
        <v>0</v>
      </c>
      <c r="S363" s="34">
        <f>IFERROR(__xludf.DUMMYFUNCTION("""COMPUTED_VALUE"""),0.0)</f>
        <v>0</v>
      </c>
      <c r="T363" s="17" t="str">
        <f t="shared" si="1"/>
        <v>Jose Trevino</v>
      </c>
    </row>
    <row r="364">
      <c r="A364" s="17">
        <f>IFERROR(__xludf.DUMMYFUNCTION("""COMPUTED_VALUE"""),364.0)</f>
        <v>364</v>
      </c>
      <c r="B364" s="17" t="str">
        <f>IFERROR(__xludf.DUMMYFUNCTION("""COMPUTED_VALUE"""),"Richie Palacios (TB - 2B,LF)")</f>
        <v>Richie Palacios (TB - 2B,LF)</v>
      </c>
      <c r="C364" s="17">
        <f>IFERROR(__xludf.DUMMYFUNCTION("""COMPUTED_VALUE"""),149.0)</f>
        <v>149</v>
      </c>
      <c r="D364" s="17">
        <f>IFERROR(__xludf.DUMMYFUNCTION("""COMPUTED_VALUE"""),19.0)</f>
        <v>19</v>
      </c>
      <c r="E364" s="17">
        <f>IFERROR(__xludf.DUMMYFUNCTION("""COMPUTED_VALUE"""),3.0)</f>
        <v>3</v>
      </c>
      <c r="F364" s="17">
        <f>IFERROR(__xludf.DUMMYFUNCTION("""COMPUTED_VALUE"""),15.0)</f>
        <v>15</v>
      </c>
      <c r="G364" s="17">
        <f>IFERROR(__xludf.DUMMYFUNCTION("""COMPUTED_VALUE"""),6.0)</f>
        <v>6</v>
      </c>
      <c r="H364" s="17">
        <f>IFERROR(__xludf.DUMMYFUNCTION("""COMPUTED_VALUE"""),0.229)</f>
        <v>0.229</v>
      </c>
      <c r="I364" s="17">
        <f>IFERROR(__xludf.DUMMYFUNCTION("""COMPUTED_VALUE"""),0.324)</f>
        <v>0.324</v>
      </c>
      <c r="J364" s="17">
        <f>IFERROR(__xludf.DUMMYFUNCTION("""COMPUTED_VALUE"""),34.0)</f>
        <v>34</v>
      </c>
      <c r="K364" s="17">
        <f>IFERROR(__xludf.DUMMYFUNCTION("""COMPUTED_VALUE"""),7.0)</f>
        <v>7</v>
      </c>
      <c r="L364" s="17">
        <f>IFERROR(__xludf.DUMMYFUNCTION("""COMPUTED_VALUE"""),1.0)</f>
        <v>1</v>
      </c>
      <c r="M364" s="17">
        <f>IFERROR(__xludf.DUMMYFUNCTION("""COMPUTED_VALUE"""),19.0)</f>
        <v>19</v>
      </c>
      <c r="N364" s="17">
        <f>IFERROR(__xludf.DUMMYFUNCTION("""COMPUTED_VALUE"""),34.0)</f>
        <v>34</v>
      </c>
      <c r="O364" s="17">
        <f>IFERROR(__xludf.DUMMYFUNCTION("""COMPUTED_VALUE"""),0.34)</f>
        <v>0.34</v>
      </c>
      <c r="P364" s="17">
        <f>IFERROR(__xludf.DUMMYFUNCTION("""COMPUTED_VALUE"""),0.664)</f>
        <v>0.664</v>
      </c>
      <c r="Q364" s="34">
        <f>IFERROR(__xludf.DUMMYFUNCTION("""COMPUTED_VALUE"""),0.0)</f>
        <v>0</v>
      </c>
      <c r="R364" s="34">
        <f>IFERROR(__xludf.DUMMYFUNCTION("""COMPUTED_VALUE"""),0.0)</f>
        <v>0</v>
      </c>
      <c r="S364" s="34">
        <f>IFERROR(__xludf.DUMMYFUNCTION("""COMPUTED_VALUE"""),0.0)</f>
        <v>0</v>
      </c>
      <c r="T364" s="17" t="str">
        <f t="shared" si="1"/>
        <v>Richie Palacios</v>
      </c>
    </row>
    <row r="365">
      <c r="A365" s="17">
        <f>IFERROR(__xludf.DUMMYFUNCTION("""COMPUTED_VALUE"""),365.0)</f>
        <v>365</v>
      </c>
      <c r="B365" s="17" t="str">
        <f>IFERROR(__xludf.DUMMYFUNCTION("""COMPUTED_VALUE"""),"Yohel Pozo (STL - C)")</f>
        <v>Yohel Pozo (STL - C)</v>
      </c>
      <c r="C365" s="17">
        <f>IFERROR(__xludf.DUMMYFUNCTION("""COMPUTED_VALUE"""),141.0)</f>
        <v>141</v>
      </c>
      <c r="D365" s="17">
        <f>IFERROR(__xludf.DUMMYFUNCTION("""COMPUTED_VALUE"""),15.0)</f>
        <v>15</v>
      </c>
      <c r="E365" s="17">
        <f>IFERROR(__xludf.DUMMYFUNCTION("""COMPUTED_VALUE"""),4.0)</f>
        <v>4</v>
      </c>
      <c r="F365" s="17">
        <f>IFERROR(__xludf.DUMMYFUNCTION("""COMPUTED_VALUE"""),18.0)</f>
        <v>18</v>
      </c>
      <c r="G365" s="17">
        <f>IFERROR(__xludf.DUMMYFUNCTION("""COMPUTED_VALUE"""),1.0)</f>
        <v>1</v>
      </c>
      <c r="H365" s="17">
        <f>IFERROR(__xludf.DUMMYFUNCTION("""COMPUTED_VALUE"""),0.253)</f>
        <v>0.253</v>
      </c>
      <c r="I365" s="17">
        <f>IFERROR(__xludf.DUMMYFUNCTION("""COMPUTED_VALUE"""),0.281)</f>
        <v>0.281</v>
      </c>
      <c r="J365" s="17">
        <f>IFERROR(__xludf.DUMMYFUNCTION("""COMPUTED_VALUE"""),36.0)</f>
        <v>36</v>
      </c>
      <c r="K365" s="17">
        <f>IFERROR(__xludf.DUMMYFUNCTION("""COMPUTED_VALUE"""),8.0)</f>
        <v>8</v>
      </c>
      <c r="L365" s="17">
        <f>IFERROR(__xludf.DUMMYFUNCTION("""COMPUTED_VALUE"""),0.0)</f>
        <v>0</v>
      </c>
      <c r="M365" s="17">
        <f>IFERROR(__xludf.DUMMYFUNCTION("""COMPUTED_VALUE"""),5.0)</f>
        <v>5</v>
      </c>
      <c r="N365" s="17">
        <f>IFERROR(__xludf.DUMMYFUNCTION("""COMPUTED_VALUE"""),18.0)</f>
        <v>18</v>
      </c>
      <c r="O365" s="17">
        <f>IFERROR(__xludf.DUMMYFUNCTION("""COMPUTED_VALUE"""),0.392)</f>
        <v>0.392</v>
      </c>
      <c r="P365" s="17">
        <f>IFERROR(__xludf.DUMMYFUNCTION("""COMPUTED_VALUE"""),0.674)</f>
        <v>0.674</v>
      </c>
      <c r="Q365" s="34">
        <f>IFERROR(__xludf.DUMMYFUNCTION("""COMPUTED_VALUE"""),0.0)</f>
        <v>0</v>
      </c>
      <c r="R365" s="34">
        <f>IFERROR(__xludf.DUMMYFUNCTION("""COMPUTED_VALUE"""),0.0)</f>
        <v>0</v>
      </c>
      <c r="S365" s="34">
        <f>IFERROR(__xludf.DUMMYFUNCTION("""COMPUTED_VALUE"""),0.0)</f>
        <v>0</v>
      </c>
      <c r="T365" s="17" t="str">
        <f t="shared" si="1"/>
        <v>Yohel Pozo</v>
      </c>
    </row>
    <row r="366">
      <c r="A366" s="17">
        <f>IFERROR(__xludf.DUMMYFUNCTION("""COMPUTED_VALUE"""),366.0)</f>
        <v>366</v>
      </c>
      <c r="B366" s="17" t="str">
        <f>IFERROR(__xludf.DUMMYFUNCTION("""COMPUTED_VALUE"""),"Jose Tena (WSH - 2B,3B,DH)")</f>
        <v>Jose Tena (WSH - 2B,3B,DH)</v>
      </c>
      <c r="C366" s="17">
        <f>IFERROR(__xludf.DUMMYFUNCTION("""COMPUTED_VALUE"""),135.0)</f>
        <v>135</v>
      </c>
      <c r="D366" s="17">
        <f>IFERROR(__xludf.DUMMYFUNCTION("""COMPUTED_VALUE"""),16.0)</f>
        <v>16</v>
      </c>
      <c r="E366" s="17">
        <f>IFERROR(__xludf.DUMMYFUNCTION("""COMPUTED_VALUE"""),3.0)</f>
        <v>3</v>
      </c>
      <c r="F366" s="17">
        <f>IFERROR(__xludf.DUMMYFUNCTION("""COMPUTED_VALUE"""),15.0)</f>
        <v>15</v>
      </c>
      <c r="G366" s="17">
        <f>IFERROR(__xludf.DUMMYFUNCTION("""COMPUTED_VALUE"""),4.0)</f>
        <v>4</v>
      </c>
      <c r="H366" s="17">
        <f>IFERROR(__xludf.DUMMYFUNCTION("""COMPUTED_VALUE"""),0.253)</f>
        <v>0.253</v>
      </c>
      <c r="I366" s="17">
        <f>IFERROR(__xludf.DUMMYFUNCTION("""COMPUTED_VALUE"""),0.308)</f>
        <v>0.308</v>
      </c>
      <c r="J366" s="17">
        <f>IFERROR(__xludf.DUMMYFUNCTION("""COMPUTED_VALUE"""),34.0)</f>
        <v>34</v>
      </c>
      <c r="K366" s="17">
        <f>IFERROR(__xludf.DUMMYFUNCTION("""COMPUTED_VALUE"""),7.0)</f>
        <v>7</v>
      </c>
      <c r="L366" s="17">
        <f>IFERROR(__xludf.DUMMYFUNCTION("""COMPUTED_VALUE"""),1.0)</f>
        <v>1</v>
      </c>
      <c r="M366" s="17">
        <f>IFERROR(__xludf.DUMMYFUNCTION("""COMPUTED_VALUE"""),11.0)</f>
        <v>11</v>
      </c>
      <c r="N366" s="17">
        <f>IFERROR(__xludf.DUMMYFUNCTION("""COMPUTED_VALUE"""),38.0)</f>
        <v>38</v>
      </c>
      <c r="O366" s="17">
        <f>IFERROR(__xludf.DUMMYFUNCTION("""COMPUTED_VALUE"""),0.378)</f>
        <v>0.378</v>
      </c>
      <c r="P366" s="17">
        <f>IFERROR(__xludf.DUMMYFUNCTION("""COMPUTED_VALUE"""),0.686)</f>
        <v>0.686</v>
      </c>
      <c r="Q366" s="34">
        <f>IFERROR(__xludf.DUMMYFUNCTION("""COMPUTED_VALUE"""),0.0)</f>
        <v>0</v>
      </c>
      <c r="R366" s="34">
        <f>IFERROR(__xludf.DUMMYFUNCTION("""COMPUTED_VALUE"""),0.0)</f>
        <v>0</v>
      </c>
      <c r="S366" s="34">
        <f>IFERROR(__xludf.DUMMYFUNCTION("""COMPUTED_VALUE"""),0.0)</f>
        <v>0</v>
      </c>
      <c r="T366" s="17" t="str">
        <f t="shared" si="1"/>
        <v>Jose Tena</v>
      </c>
    </row>
    <row r="367">
      <c r="A367" s="17">
        <f>IFERROR(__xludf.DUMMYFUNCTION("""COMPUTED_VALUE"""),367.0)</f>
        <v>367</v>
      </c>
      <c r="B367" s="17" t="str">
        <f>IFERROR(__xludf.DUMMYFUNCTION("""COMPUTED_VALUE"""),"Andrew McCutchen (TEX - RF,DH)")</f>
        <v>Andrew McCutchen (TEX - RF,DH)</v>
      </c>
      <c r="C367" s="17">
        <f>IFERROR(__xludf.DUMMYFUNCTION("""COMPUTED_VALUE"""),157.0)</f>
        <v>157</v>
      </c>
      <c r="D367" s="17">
        <f>IFERROR(__xludf.DUMMYFUNCTION("""COMPUTED_VALUE"""),20.0)</f>
        <v>20</v>
      </c>
      <c r="E367" s="17">
        <f>IFERROR(__xludf.DUMMYFUNCTION("""COMPUTED_VALUE"""),5.0)</f>
        <v>5</v>
      </c>
      <c r="F367" s="17">
        <f>IFERROR(__xludf.DUMMYFUNCTION("""COMPUTED_VALUE"""),19.0)</f>
        <v>19</v>
      </c>
      <c r="G367" s="17">
        <f>IFERROR(__xludf.DUMMYFUNCTION("""COMPUTED_VALUE"""),1.0)</f>
        <v>1</v>
      </c>
      <c r="H367" s="17">
        <f>IFERROR(__xludf.DUMMYFUNCTION("""COMPUTED_VALUE"""),0.225)</f>
        <v>0.225</v>
      </c>
      <c r="I367" s="17">
        <f>IFERROR(__xludf.DUMMYFUNCTION("""COMPUTED_VALUE"""),0.326)</f>
        <v>0.326</v>
      </c>
      <c r="J367" s="17">
        <f>IFERROR(__xludf.DUMMYFUNCTION("""COMPUTED_VALUE"""),35.0)</f>
        <v>35</v>
      </c>
      <c r="K367" s="17">
        <f>IFERROR(__xludf.DUMMYFUNCTION("""COMPUTED_VALUE"""),7.0)</f>
        <v>7</v>
      </c>
      <c r="L367" s="17">
        <f>IFERROR(__xludf.DUMMYFUNCTION("""COMPUTED_VALUE"""),0.0)</f>
        <v>0</v>
      </c>
      <c r="M367" s="17">
        <f>IFERROR(__xludf.DUMMYFUNCTION("""COMPUTED_VALUE"""),22.0)</f>
        <v>22</v>
      </c>
      <c r="N367" s="17">
        <f>IFERROR(__xludf.DUMMYFUNCTION("""COMPUTED_VALUE"""),45.0)</f>
        <v>45</v>
      </c>
      <c r="O367" s="17">
        <f>IFERROR(__xludf.DUMMYFUNCTION("""COMPUTED_VALUE"""),0.367)</f>
        <v>0.367</v>
      </c>
      <c r="P367" s="17">
        <f>IFERROR(__xludf.DUMMYFUNCTION("""COMPUTED_VALUE"""),0.694)</f>
        <v>0.694</v>
      </c>
      <c r="Q367" s="34">
        <f>IFERROR(__xludf.DUMMYFUNCTION("""COMPUTED_VALUE"""),0.01)</f>
        <v>0.01</v>
      </c>
      <c r="R367" s="34">
        <f>IFERROR(__xludf.DUMMYFUNCTION("""COMPUTED_VALUE"""),0.01)</f>
        <v>0.01</v>
      </c>
      <c r="S367" s="34">
        <f>IFERROR(__xludf.DUMMYFUNCTION("""COMPUTED_VALUE"""),0.0)</f>
        <v>0</v>
      </c>
      <c r="T367" s="17" t="str">
        <f t="shared" si="1"/>
        <v>Andrew McCutchen</v>
      </c>
    </row>
    <row r="368">
      <c r="A368" s="17">
        <f>IFERROR(__xludf.DUMMYFUNCTION("""COMPUTED_VALUE"""),368.0)</f>
        <v>368</v>
      </c>
      <c r="B368" s="17" t="str">
        <f>IFERROR(__xludf.DUMMYFUNCTION("""COMPUTED_VALUE"""),"Joey Wiemer (WSH - LF,CF,RF)")</f>
        <v>Joey Wiemer (WSH - LF,CF,RF)</v>
      </c>
      <c r="C368" s="17">
        <f>IFERROR(__xludf.DUMMYFUNCTION("""COMPUTED_VALUE"""),159.0)</f>
        <v>159</v>
      </c>
      <c r="D368" s="17">
        <f>IFERROR(__xludf.DUMMYFUNCTION("""COMPUTED_VALUE"""),19.0)</f>
        <v>19</v>
      </c>
      <c r="E368" s="17">
        <f>IFERROR(__xludf.DUMMYFUNCTION("""COMPUTED_VALUE"""),5.0)</f>
        <v>5</v>
      </c>
      <c r="F368" s="17">
        <f>IFERROR(__xludf.DUMMYFUNCTION("""COMPUTED_VALUE"""),19.0)</f>
        <v>19</v>
      </c>
      <c r="G368" s="17">
        <f>IFERROR(__xludf.DUMMYFUNCTION("""COMPUTED_VALUE"""),3.0)</f>
        <v>3</v>
      </c>
      <c r="H368" s="17">
        <f>IFERROR(__xludf.DUMMYFUNCTION("""COMPUTED_VALUE"""),0.213)</f>
        <v>0.213</v>
      </c>
      <c r="I368" s="17">
        <f>IFERROR(__xludf.DUMMYFUNCTION("""COMPUTED_VALUE"""),0.291)</f>
        <v>0.291</v>
      </c>
      <c r="J368" s="17">
        <f>IFERROR(__xludf.DUMMYFUNCTION("""COMPUTED_VALUE"""),34.0)</f>
        <v>34</v>
      </c>
      <c r="K368" s="17">
        <f>IFERROR(__xludf.DUMMYFUNCTION("""COMPUTED_VALUE"""),7.0)</f>
        <v>7</v>
      </c>
      <c r="L368" s="17">
        <f>IFERROR(__xludf.DUMMYFUNCTION("""COMPUTED_VALUE"""),1.0)</f>
        <v>1</v>
      </c>
      <c r="M368" s="17">
        <f>IFERROR(__xludf.DUMMYFUNCTION("""COMPUTED_VALUE"""),16.0)</f>
        <v>16</v>
      </c>
      <c r="N368" s="17">
        <f>IFERROR(__xludf.DUMMYFUNCTION("""COMPUTED_VALUE"""),54.0)</f>
        <v>54</v>
      </c>
      <c r="O368" s="17">
        <f>IFERROR(__xludf.DUMMYFUNCTION("""COMPUTED_VALUE"""),0.36)</f>
        <v>0.36</v>
      </c>
      <c r="P368" s="17">
        <f>IFERROR(__xludf.DUMMYFUNCTION("""COMPUTED_VALUE"""),0.651)</f>
        <v>0.651</v>
      </c>
      <c r="Q368" s="34">
        <f>IFERROR(__xludf.DUMMYFUNCTION("""COMPUTED_VALUE"""),0.06)</f>
        <v>0.06</v>
      </c>
      <c r="R368" s="34">
        <f>IFERROR(__xludf.DUMMYFUNCTION("""COMPUTED_VALUE"""),0.05)</f>
        <v>0.05</v>
      </c>
      <c r="S368" s="34">
        <f>IFERROR(__xludf.DUMMYFUNCTION("""COMPUTED_VALUE"""),0.08)</f>
        <v>0.08</v>
      </c>
      <c r="T368" s="17" t="str">
        <f t="shared" si="1"/>
        <v>Joey Wiemer</v>
      </c>
    </row>
    <row r="369">
      <c r="A369" s="17">
        <f>IFERROR(__xludf.DUMMYFUNCTION("""COMPUTED_VALUE"""),369.0)</f>
        <v>369</v>
      </c>
      <c r="B369" s="17" t="str">
        <f>IFERROR(__xludf.DUMMYFUNCTION("""COMPUTED_VALUE"""),"James McCann (ARI - C)")</f>
        <v>James McCann (ARI - C)</v>
      </c>
      <c r="C369" s="17">
        <f>IFERROR(__xludf.DUMMYFUNCTION("""COMPUTED_VALUE"""),157.0)</f>
        <v>157</v>
      </c>
      <c r="D369" s="17">
        <f>IFERROR(__xludf.DUMMYFUNCTION("""COMPUTED_VALUE"""),18.0)</f>
        <v>18</v>
      </c>
      <c r="E369" s="17">
        <f>IFERROR(__xludf.DUMMYFUNCTION("""COMPUTED_VALUE"""),4.0)</f>
        <v>4</v>
      </c>
      <c r="F369" s="17">
        <f>IFERROR(__xludf.DUMMYFUNCTION("""COMPUTED_VALUE"""),19.0)</f>
        <v>19</v>
      </c>
      <c r="G369" s="17">
        <f>IFERROR(__xludf.DUMMYFUNCTION("""COMPUTED_VALUE"""),1.0)</f>
        <v>1</v>
      </c>
      <c r="H369" s="17">
        <f>IFERROR(__xludf.DUMMYFUNCTION("""COMPUTED_VALUE"""),0.235)</f>
        <v>0.235</v>
      </c>
      <c r="I369" s="17">
        <f>IFERROR(__xludf.DUMMYFUNCTION("""COMPUTED_VALUE"""),0.281)</f>
        <v>0.281</v>
      </c>
      <c r="J369" s="17">
        <f>IFERROR(__xludf.DUMMYFUNCTION("""COMPUTED_VALUE"""),37.0)</f>
        <v>37</v>
      </c>
      <c r="K369" s="17">
        <f>IFERROR(__xludf.DUMMYFUNCTION("""COMPUTED_VALUE"""),8.0)</f>
        <v>8</v>
      </c>
      <c r="L369" s="17">
        <f>IFERROR(__xludf.DUMMYFUNCTION("""COMPUTED_VALUE"""),0.0)</f>
        <v>0</v>
      </c>
      <c r="M369" s="17">
        <f>IFERROR(__xludf.DUMMYFUNCTION("""COMPUTED_VALUE"""),9.0)</f>
        <v>9</v>
      </c>
      <c r="N369" s="17">
        <f>IFERROR(__xludf.DUMMYFUNCTION("""COMPUTED_VALUE"""),45.0)</f>
        <v>45</v>
      </c>
      <c r="O369" s="17">
        <f>IFERROR(__xludf.DUMMYFUNCTION("""COMPUTED_VALUE"""),0.364)</f>
        <v>0.364</v>
      </c>
      <c r="P369" s="17">
        <f>IFERROR(__xludf.DUMMYFUNCTION("""COMPUTED_VALUE"""),0.645)</f>
        <v>0.645</v>
      </c>
      <c r="Q369" s="34">
        <f>IFERROR(__xludf.DUMMYFUNCTION("""COMPUTED_VALUE"""),0.0)</f>
        <v>0</v>
      </c>
      <c r="R369" s="34">
        <f>IFERROR(__xludf.DUMMYFUNCTION("""COMPUTED_VALUE"""),0.0)</f>
        <v>0</v>
      </c>
      <c r="S369" s="34">
        <f>IFERROR(__xludf.DUMMYFUNCTION("""COMPUTED_VALUE"""),0.0)</f>
        <v>0</v>
      </c>
      <c r="T369" s="17" t="str">
        <f t="shared" si="1"/>
        <v>James McCann</v>
      </c>
    </row>
    <row r="370">
      <c r="A370" s="17">
        <f>IFERROR(__xludf.DUMMYFUNCTION("""COMPUTED_VALUE"""),370.0)</f>
        <v>370</v>
      </c>
      <c r="B370" s="17" t="str">
        <f>IFERROR(__xludf.DUMMYFUNCTION("""COMPUTED_VALUE"""),"Coby Mayo (BAL - 1B,3B)")</f>
        <v>Coby Mayo (BAL - 1B,3B)</v>
      </c>
      <c r="C370" s="17">
        <f>IFERROR(__xludf.DUMMYFUNCTION("""COMPUTED_VALUE"""),120.0)</f>
        <v>120</v>
      </c>
      <c r="D370" s="17">
        <f>IFERROR(__xludf.DUMMYFUNCTION("""COMPUTED_VALUE"""),16.0)</f>
        <v>16</v>
      </c>
      <c r="E370" s="17">
        <f>IFERROR(__xludf.DUMMYFUNCTION("""COMPUTED_VALUE"""),5.0)</f>
        <v>5</v>
      </c>
      <c r="F370" s="17">
        <f>IFERROR(__xludf.DUMMYFUNCTION("""COMPUTED_VALUE"""),17.0)</f>
        <v>17</v>
      </c>
      <c r="G370" s="17">
        <f>IFERROR(__xludf.DUMMYFUNCTION("""COMPUTED_VALUE"""),1.0)</f>
        <v>1</v>
      </c>
      <c r="H370" s="17">
        <f>IFERROR(__xludf.DUMMYFUNCTION("""COMPUTED_VALUE"""),0.23)</f>
        <v>0.23</v>
      </c>
      <c r="I370" s="17">
        <f>IFERROR(__xludf.DUMMYFUNCTION("""COMPUTED_VALUE"""),0.306)</f>
        <v>0.306</v>
      </c>
      <c r="J370" s="17">
        <f>IFERROR(__xludf.DUMMYFUNCTION("""COMPUTED_VALUE"""),28.0)</f>
        <v>28</v>
      </c>
      <c r="K370" s="17">
        <f>IFERROR(__xludf.DUMMYFUNCTION("""COMPUTED_VALUE"""),6.0)</f>
        <v>6</v>
      </c>
      <c r="L370" s="17">
        <f>IFERROR(__xludf.DUMMYFUNCTION("""COMPUTED_VALUE"""),1.0)</f>
        <v>1</v>
      </c>
      <c r="M370" s="17">
        <f>IFERROR(__xludf.DUMMYFUNCTION("""COMPUTED_VALUE"""),12.0)</f>
        <v>12</v>
      </c>
      <c r="N370" s="17">
        <f>IFERROR(__xludf.DUMMYFUNCTION("""COMPUTED_VALUE"""),37.0)</f>
        <v>37</v>
      </c>
      <c r="O370" s="17">
        <f>IFERROR(__xludf.DUMMYFUNCTION("""COMPUTED_VALUE"""),0.422)</f>
        <v>0.422</v>
      </c>
      <c r="P370" s="17">
        <f>IFERROR(__xludf.DUMMYFUNCTION("""COMPUTED_VALUE"""),0.728)</f>
        <v>0.728</v>
      </c>
      <c r="Q370" s="34">
        <f>IFERROR(__xludf.DUMMYFUNCTION("""COMPUTED_VALUE"""),0.02)</f>
        <v>0.02</v>
      </c>
      <c r="R370" s="34">
        <f>IFERROR(__xludf.DUMMYFUNCTION("""COMPUTED_VALUE"""),0.03)</f>
        <v>0.03</v>
      </c>
      <c r="S370" s="34">
        <f>IFERROR(__xludf.DUMMYFUNCTION("""COMPUTED_VALUE"""),0.02)</f>
        <v>0.02</v>
      </c>
      <c r="T370" s="17" t="str">
        <f t="shared" si="1"/>
        <v>Coby Mayo</v>
      </c>
    </row>
    <row r="371">
      <c r="A371" s="17">
        <f>IFERROR(__xludf.DUMMYFUNCTION("""COMPUTED_VALUE"""),371.0)</f>
        <v>371</v>
      </c>
      <c r="B371" s="17" t="str">
        <f>IFERROR(__xludf.DUMMYFUNCTION("""COMPUTED_VALUE"""),"James Outman (MIN - LF,CF,RF)")</f>
        <v>James Outman (MIN - LF,CF,RF)</v>
      </c>
      <c r="C371" s="17">
        <f>IFERROR(__xludf.DUMMYFUNCTION("""COMPUTED_VALUE"""),138.0)</f>
        <v>138</v>
      </c>
      <c r="D371" s="17">
        <f>IFERROR(__xludf.DUMMYFUNCTION("""COMPUTED_VALUE"""),19.0)</f>
        <v>19</v>
      </c>
      <c r="E371" s="17">
        <f>IFERROR(__xludf.DUMMYFUNCTION("""COMPUTED_VALUE"""),5.0)</f>
        <v>5</v>
      </c>
      <c r="F371" s="17">
        <f>IFERROR(__xludf.DUMMYFUNCTION("""COMPUTED_VALUE"""),17.0)</f>
        <v>17</v>
      </c>
      <c r="G371" s="17">
        <f>IFERROR(__xludf.DUMMYFUNCTION("""COMPUTED_VALUE"""),4.0)</f>
        <v>4</v>
      </c>
      <c r="H371" s="17">
        <f>IFERROR(__xludf.DUMMYFUNCTION("""COMPUTED_VALUE"""),0.206)</f>
        <v>0.206</v>
      </c>
      <c r="I371" s="17">
        <f>IFERROR(__xludf.DUMMYFUNCTION("""COMPUTED_VALUE"""),0.296)</f>
        <v>0.296</v>
      </c>
      <c r="J371" s="17">
        <f>IFERROR(__xludf.DUMMYFUNCTION("""COMPUTED_VALUE"""),28.0)</f>
        <v>28</v>
      </c>
      <c r="K371" s="17">
        <f>IFERROR(__xludf.DUMMYFUNCTION("""COMPUTED_VALUE"""),6.0)</f>
        <v>6</v>
      </c>
      <c r="L371" s="17">
        <f>IFERROR(__xludf.DUMMYFUNCTION("""COMPUTED_VALUE"""),1.0)</f>
        <v>1</v>
      </c>
      <c r="M371" s="17">
        <f>IFERROR(__xludf.DUMMYFUNCTION("""COMPUTED_VALUE"""),16.0)</f>
        <v>16</v>
      </c>
      <c r="N371" s="17">
        <f>IFERROR(__xludf.DUMMYFUNCTION("""COMPUTED_VALUE"""),54.0)</f>
        <v>54</v>
      </c>
      <c r="O371" s="17">
        <f>IFERROR(__xludf.DUMMYFUNCTION("""COMPUTED_VALUE"""),0.371)</f>
        <v>0.371</v>
      </c>
      <c r="P371" s="17">
        <f>IFERROR(__xludf.DUMMYFUNCTION("""COMPUTED_VALUE"""),0.666)</f>
        <v>0.666</v>
      </c>
      <c r="Q371" s="34">
        <f>IFERROR(__xludf.DUMMYFUNCTION("""COMPUTED_VALUE"""),0.0)</f>
        <v>0</v>
      </c>
      <c r="R371" s="34">
        <f>IFERROR(__xludf.DUMMYFUNCTION("""COMPUTED_VALUE"""),0.0)</f>
        <v>0</v>
      </c>
      <c r="S371" s="34">
        <f>IFERROR(__xludf.DUMMYFUNCTION("""COMPUTED_VALUE"""),0.0)</f>
        <v>0</v>
      </c>
      <c r="T371" s="17" t="str">
        <f t="shared" si="1"/>
        <v>James Outman</v>
      </c>
    </row>
    <row r="372">
      <c r="A372" s="17">
        <f>IFERROR(__xludf.DUMMYFUNCTION("""COMPUTED_VALUE"""),372.0)</f>
        <v>372</v>
      </c>
      <c r="B372" s="17" t="str">
        <f>IFERROR(__xludf.DUMMYFUNCTION("""COMPUTED_VALUE"""),"Luis Torrens (NYM - C)")</f>
        <v>Luis Torrens (NYM - C)</v>
      </c>
      <c r="C372" s="17">
        <f>IFERROR(__xludf.DUMMYFUNCTION("""COMPUTED_VALUE"""),156.0)</f>
        <v>156</v>
      </c>
      <c r="D372" s="17">
        <f>IFERROR(__xludf.DUMMYFUNCTION("""COMPUTED_VALUE"""),17.0)</f>
        <v>17</v>
      </c>
      <c r="E372" s="17">
        <f>IFERROR(__xludf.DUMMYFUNCTION("""COMPUTED_VALUE"""),4.0)</f>
        <v>4</v>
      </c>
      <c r="F372" s="17">
        <f>IFERROR(__xludf.DUMMYFUNCTION("""COMPUTED_VALUE"""),18.0)</f>
        <v>18</v>
      </c>
      <c r="G372" s="17">
        <f>IFERROR(__xludf.DUMMYFUNCTION("""COMPUTED_VALUE"""),1.0)</f>
        <v>1</v>
      </c>
      <c r="H372" s="17">
        <f>IFERROR(__xludf.DUMMYFUNCTION("""COMPUTED_VALUE"""),0.239)</f>
        <v>0.239</v>
      </c>
      <c r="I372" s="17">
        <f>IFERROR(__xludf.DUMMYFUNCTION("""COMPUTED_VALUE"""),0.294)</f>
        <v>0.294</v>
      </c>
      <c r="J372" s="17">
        <f>IFERROR(__xludf.DUMMYFUNCTION("""COMPUTED_VALUE"""),37.0)</f>
        <v>37</v>
      </c>
      <c r="K372" s="17">
        <f>IFERROR(__xludf.DUMMYFUNCTION("""COMPUTED_VALUE"""),7.0)</f>
        <v>7</v>
      </c>
      <c r="L372" s="17">
        <f>IFERROR(__xludf.DUMMYFUNCTION("""COMPUTED_VALUE"""),1.0)</f>
        <v>1</v>
      </c>
      <c r="M372" s="17">
        <f>IFERROR(__xludf.DUMMYFUNCTION("""COMPUTED_VALUE"""),11.0)</f>
        <v>11</v>
      </c>
      <c r="N372" s="17">
        <f>IFERROR(__xludf.DUMMYFUNCTION("""COMPUTED_VALUE"""),38.0)</f>
        <v>38</v>
      </c>
      <c r="O372" s="17">
        <f>IFERROR(__xludf.DUMMYFUNCTION("""COMPUTED_VALUE"""),0.373)</f>
        <v>0.373</v>
      </c>
      <c r="P372" s="17">
        <f>IFERROR(__xludf.DUMMYFUNCTION("""COMPUTED_VALUE"""),0.667)</f>
        <v>0.667</v>
      </c>
      <c r="Q372" s="34">
        <f>IFERROR(__xludf.DUMMYFUNCTION("""COMPUTED_VALUE"""),0.0)</f>
        <v>0</v>
      </c>
      <c r="R372" s="34">
        <f>IFERROR(__xludf.DUMMYFUNCTION("""COMPUTED_VALUE"""),0.0)</f>
        <v>0</v>
      </c>
      <c r="S372" s="34">
        <f>IFERROR(__xludf.DUMMYFUNCTION("""COMPUTED_VALUE"""),0.0)</f>
        <v>0</v>
      </c>
      <c r="T372" s="17" t="str">
        <f t="shared" si="1"/>
        <v>Luis Torrens</v>
      </c>
    </row>
    <row r="373">
      <c r="A373" s="17">
        <f>IFERROR(__xludf.DUMMYFUNCTION("""COMPUTED_VALUE"""),373.0)</f>
        <v>373</v>
      </c>
      <c r="B373" s="17" t="str">
        <f>IFERROR(__xludf.DUMMYFUNCTION("""COMPUTED_VALUE"""),"Sung-Mun Song (SD - 2B,3B) MiLB")</f>
        <v>Sung-Mun Song (SD - 2B,3B) MiLB</v>
      </c>
      <c r="C373" s="17">
        <f>IFERROR(__xludf.DUMMYFUNCTION("""COMPUTED_VALUE"""),160.0)</f>
        <v>160</v>
      </c>
      <c r="D373" s="17">
        <f>IFERROR(__xludf.DUMMYFUNCTION("""COMPUTED_VALUE"""),18.0)</f>
        <v>18</v>
      </c>
      <c r="E373" s="17">
        <f>IFERROR(__xludf.DUMMYFUNCTION("""COMPUTED_VALUE"""),3.0)</f>
        <v>3</v>
      </c>
      <c r="F373" s="17">
        <f>IFERROR(__xludf.DUMMYFUNCTION("""COMPUTED_VALUE"""),17.0)</f>
        <v>17</v>
      </c>
      <c r="G373" s="17">
        <f>IFERROR(__xludf.DUMMYFUNCTION("""COMPUTED_VALUE"""),3.0)</f>
        <v>3</v>
      </c>
      <c r="H373" s="17">
        <f>IFERROR(__xludf.DUMMYFUNCTION("""COMPUTED_VALUE"""),0.231)</f>
        <v>0.231</v>
      </c>
      <c r="I373" s="17">
        <f>IFERROR(__xludf.DUMMYFUNCTION("""COMPUTED_VALUE"""),0.292)</f>
        <v>0.292</v>
      </c>
      <c r="J373" s="17">
        <f>IFERROR(__xludf.DUMMYFUNCTION("""COMPUTED_VALUE"""),37.0)</f>
        <v>37</v>
      </c>
      <c r="K373" s="17">
        <f>IFERROR(__xludf.DUMMYFUNCTION("""COMPUTED_VALUE"""),7.0)</f>
        <v>7</v>
      </c>
      <c r="L373" s="17">
        <f>IFERROR(__xludf.DUMMYFUNCTION("""COMPUTED_VALUE"""),1.0)</f>
        <v>1</v>
      </c>
      <c r="M373" s="17">
        <f>IFERROR(__xludf.DUMMYFUNCTION("""COMPUTED_VALUE"""),13.0)</f>
        <v>13</v>
      </c>
      <c r="N373" s="17">
        <f>IFERROR(__xludf.DUMMYFUNCTION("""COMPUTED_VALUE"""),37.0)</f>
        <v>37</v>
      </c>
      <c r="O373" s="17">
        <f>IFERROR(__xludf.DUMMYFUNCTION("""COMPUTED_VALUE"""),0.344)</f>
        <v>0.344</v>
      </c>
      <c r="P373" s="17">
        <f>IFERROR(__xludf.DUMMYFUNCTION("""COMPUTED_VALUE"""),0.637)</f>
        <v>0.637</v>
      </c>
      <c r="Q373" s="34">
        <f>IFERROR(__xludf.DUMMYFUNCTION("""COMPUTED_VALUE"""),0.0)</f>
        <v>0</v>
      </c>
      <c r="R373" s="34">
        <f>IFERROR(__xludf.DUMMYFUNCTION("""COMPUTED_VALUE"""),0.0)</f>
        <v>0</v>
      </c>
      <c r="S373" s="34">
        <f>IFERROR(__xludf.DUMMYFUNCTION("""COMPUTED_VALUE"""),0.0)</f>
        <v>0</v>
      </c>
      <c r="T373" s="17" t="str">
        <f t="shared" si="1"/>
        <v>Sung-Mun Song</v>
      </c>
    </row>
    <row r="374">
      <c r="A374" s="17">
        <f>IFERROR(__xludf.DUMMYFUNCTION("""COMPUTED_VALUE"""),374.0)</f>
        <v>374</v>
      </c>
      <c r="B374" s="17" t="str">
        <f>IFERROR(__xludf.DUMMYFUNCTION("""COMPUTED_VALUE"""),"Jahmai Jones (DET - LF,CF,RF,DH)")</f>
        <v>Jahmai Jones (DET - LF,CF,RF,DH)</v>
      </c>
      <c r="C374" s="17">
        <f>IFERROR(__xludf.DUMMYFUNCTION("""COMPUTED_VALUE"""),107.0)</f>
        <v>107</v>
      </c>
      <c r="D374" s="17">
        <f>IFERROR(__xludf.DUMMYFUNCTION("""COMPUTED_VALUE"""),16.0)</f>
        <v>16</v>
      </c>
      <c r="E374" s="17">
        <f>IFERROR(__xludf.DUMMYFUNCTION("""COMPUTED_VALUE"""),4.0)</f>
        <v>4</v>
      </c>
      <c r="F374" s="17">
        <f>IFERROR(__xludf.DUMMYFUNCTION("""COMPUTED_VALUE"""),14.0)</f>
        <v>14</v>
      </c>
      <c r="G374" s="17">
        <f>IFERROR(__xludf.DUMMYFUNCTION("""COMPUTED_VALUE"""),2.0)</f>
        <v>2</v>
      </c>
      <c r="H374" s="17">
        <f>IFERROR(__xludf.DUMMYFUNCTION("""COMPUTED_VALUE"""),0.243)</f>
        <v>0.243</v>
      </c>
      <c r="I374" s="17">
        <f>IFERROR(__xludf.DUMMYFUNCTION("""COMPUTED_VALUE"""),0.331)</f>
        <v>0.331</v>
      </c>
      <c r="J374" s="17">
        <f>IFERROR(__xludf.DUMMYFUNCTION("""COMPUTED_VALUE"""),26.0)</f>
        <v>26</v>
      </c>
      <c r="K374" s="17">
        <f>IFERROR(__xludf.DUMMYFUNCTION("""COMPUTED_VALUE"""),6.0)</f>
        <v>6</v>
      </c>
      <c r="L374" s="17">
        <f>IFERROR(__xludf.DUMMYFUNCTION("""COMPUTED_VALUE"""),1.0)</f>
        <v>1</v>
      </c>
      <c r="M374" s="17">
        <f>IFERROR(__xludf.DUMMYFUNCTION("""COMPUTED_VALUE"""),12.0)</f>
        <v>12</v>
      </c>
      <c r="N374" s="17">
        <f>IFERROR(__xludf.DUMMYFUNCTION("""COMPUTED_VALUE"""),30.0)</f>
        <v>30</v>
      </c>
      <c r="O374" s="17">
        <f>IFERROR(__xludf.DUMMYFUNCTION("""COMPUTED_VALUE"""),0.422)</f>
        <v>0.422</v>
      </c>
      <c r="P374" s="17">
        <f>IFERROR(__xludf.DUMMYFUNCTION("""COMPUTED_VALUE"""),0.753)</f>
        <v>0.753</v>
      </c>
      <c r="Q374" s="34">
        <f>IFERROR(__xludf.DUMMYFUNCTION("""COMPUTED_VALUE"""),0.0)</f>
        <v>0</v>
      </c>
      <c r="R374" s="34">
        <f>IFERROR(__xludf.DUMMYFUNCTION("""COMPUTED_VALUE"""),0.0)</f>
        <v>0</v>
      </c>
      <c r="S374" s="34">
        <f>IFERROR(__xludf.DUMMYFUNCTION("""COMPUTED_VALUE"""),0.0)</f>
        <v>0</v>
      </c>
      <c r="T374" s="17" t="str">
        <f t="shared" si="1"/>
        <v>Jahmai Jones</v>
      </c>
    </row>
    <row r="375">
      <c r="A375" s="17">
        <f>IFERROR(__xludf.DUMMYFUNCTION("""COMPUTED_VALUE"""),375.0)</f>
        <v>375</v>
      </c>
      <c r="B375" s="17" t="str">
        <f>IFERROR(__xludf.DUMMYFUNCTION("""COMPUTED_VALUE"""),"Taylor Trammell (HOU - LF,CF) IL10")</f>
        <v>Taylor Trammell (HOU - LF,CF) IL10</v>
      </c>
      <c r="C375" s="17">
        <f>IFERROR(__xludf.DUMMYFUNCTION("""COMPUTED_VALUE"""),122.0)</f>
        <v>122</v>
      </c>
      <c r="D375" s="17">
        <f>IFERROR(__xludf.DUMMYFUNCTION("""COMPUTED_VALUE"""),17.0)</f>
        <v>17</v>
      </c>
      <c r="E375" s="17">
        <f>IFERROR(__xludf.DUMMYFUNCTION("""COMPUTED_VALUE"""),4.0)</f>
        <v>4</v>
      </c>
      <c r="F375" s="17">
        <f>IFERROR(__xludf.DUMMYFUNCTION("""COMPUTED_VALUE"""),16.0)</f>
        <v>16</v>
      </c>
      <c r="G375" s="17">
        <f>IFERROR(__xludf.DUMMYFUNCTION("""COMPUTED_VALUE"""),4.0)</f>
        <v>4</v>
      </c>
      <c r="H375" s="17">
        <f>IFERROR(__xludf.DUMMYFUNCTION("""COMPUTED_VALUE"""),0.211)</f>
        <v>0.211</v>
      </c>
      <c r="I375" s="17">
        <f>IFERROR(__xludf.DUMMYFUNCTION("""COMPUTED_VALUE"""),0.306)</f>
        <v>0.306</v>
      </c>
      <c r="J375" s="17">
        <f>IFERROR(__xludf.DUMMYFUNCTION("""COMPUTED_VALUE"""),26.0)</f>
        <v>26</v>
      </c>
      <c r="K375" s="17">
        <f>IFERROR(__xludf.DUMMYFUNCTION("""COMPUTED_VALUE"""),6.0)</f>
        <v>6</v>
      </c>
      <c r="L375" s="17">
        <f>IFERROR(__xludf.DUMMYFUNCTION("""COMPUTED_VALUE"""),1.0)</f>
        <v>1</v>
      </c>
      <c r="M375" s="17">
        <f>IFERROR(__xludf.DUMMYFUNCTION("""COMPUTED_VALUE"""),16.0)</f>
        <v>16</v>
      </c>
      <c r="N375" s="17">
        <f>IFERROR(__xludf.DUMMYFUNCTION("""COMPUTED_VALUE"""),42.0)</f>
        <v>42</v>
      </c>
      <c r="O375" s="17">
        <f>IFERROR(__xludf.DUMMYFUNCTION("""COMPUTED_VALUE"""),0.377)</f>
        <v>0.377</v>
      </c>
      <c r="P375" s="17">
        <f>IFERROR(__xludf.DUMMYFUNCTION("""COMPUTED_VALUE"""),0.683)</f>
        <v>0.683</v>
      </c>
      <c r="Q375" s="34">
        <f>IFERROR(__xludf.DUMMYFUNCTION("""COMPUTED_VALUE"""),0.0)</f>
        <v>0</v>
      </c>
      <c r="R375" s="34">
        <f>IFERROR(__xludf.DUMMYFUNCTION("""COMPUTED_VALUE"""),0.0)</f>
        <v>0</v>
      </c>
      <c r="S375" s="34">
        <f>IFERROR(__xludf.DUMMYFUNCTION("""COMPUTED_VALUE"""),0.0)</f>
        <v>0</v>
      </c>
      <c r="T375" s="17" t="str">
        <f t="shared" si="1"/>
        <v>Taylor Trammell</v>
      </c>
    </row>
    <row r="376">
      <c r="A376" s="17">
        <f>IFERROR(__xludf.DUMMYFUNCTION("""COMPUTED_VALUE"""),376.0)</f>
        <v>376</v>
      </c>
      <c r="B376" s="17" t="str">
        <f>IFERROR(__xludf.DUMMYFUNCTION("""COMPUTED_VALUE"""),"Abimelec Ortiz (WSH - 1B,OF) MiLB")</f>
        <v>Abimelec Ortiz (WSH - 1B,OF) MiLB</v>
      </c>
      <c r="C376" s="17">
        <f>IFERROR(__xludf.DUMMYFUNCTION("""COMPUTED_VALUE"""),128.0)</f>
        <v>128</v>
      </c>
      <c r="D376" s="17">
        <f>IFERROR(__xludf.DUMMYFUNCTION("""COMPUTED_VALUE"""),16.0)</f>
        <v>16</v>
      </c>
      <c r="E376" s="17">
        <f>IFERROR(__xludf.DUMMYFUNCTION("""COMPUTED_VALUE"""),5.0)</f>
        <v>5</v>
      </c>
      <c r="F376" s="17">
        <f>IFERROR(__xludf.DUMMYFUNCTION("""COMPUTED_VALUE"""),17.0)</f>
        <v>17</v>
      </c>
      <c r="G376" s="17">
        <f>IFERROR(__xludf.DUMMYFUNCTION("""COMPUTED_VALUE"""),1.0)</f>
        <v>1</v>
      </c>
      <c r="H376" s="17">
        <f>IFERROR(__xludf.DUMMYFUNCTION("""COMPUTED_VALUE"""),0.228)</f>
        <v>0.228</v>
      </c>
      <c r="I376" s="17">
        <f>IFERROR(__xludf.DUMMYFUNCTION("""COMPUTED_VALUE"""),0.299)</f>
        <v>0.299</v>
      </c>
      <c r="J376" s="17">
        <f>IFERROR(__xludf.DUMMYFUNCTION("""COMPUTED_VALUE"""),29.0)</f>
        <v>29</v>
      </c>
      <c r="K376" s="17">
        <f>IFERROR(__xludf.DUMMYFUNCTION("""COMPUTED_VALUE"""),6.0)</f>
        <v>6</v>
      </c>
      <c r="L376" s="17">
        <f>IFERROR(__xludf.DUMMYFUNCTION("""COMPUTED_VALUE"""),1.0)</f>
        <v>1</v>
      </c>
      <c r="M376" s="17">
        <f>IFERROR(__xludf.DUMMYFUNCTION("""COMPUTED_VALUE"""),12.0)</f>
        <v>12</v>
      </c>
      <c r="N376" s="17">
        <f>IFERROR(__xludf.DUMMYFUNCTION("""COMPUTED_VALUE"""),36.0)</f>
        <v>36</v>
      </c>
      <c r="O376" s="17">
        <f>IFERROR(__xludf.DUMMYFUNCTION("""COMPUTED_VALUE"""),0.389)</f>
        <v>0.389</v>
      </c>
      <c r="P376" s="17">
        <f>IFERROR(__xludf.DUMMYFUNCTION("""COMPUTED_VALUE"""),0.689)</f>
        <v>0.689</v>
      </c>
      <c r="Q376" s="34">
        <f>IFERROR(__xludf.DUMMYFUNCTION("""COMPUTED_VALUE"""),0.0)</f>
        <v>0</v>
      </c>
      <c r="R376" s="34">
        <f>IFERROR(__xludf.DUMMYFUNCTION("""COMPUTED_VALUE"""),0.0)</f>
        <v>0</v>
      </c>
      <c r="S376" s="34">
        <f>IFERROR(__xludf.DUMMYFUNCTION("""COMPUTED_VALUE"""),0.0)</f>
        <v>0</v>
      </c>
      <c r="T376" s="17" t="str">
        <f t="shared" si="1"/>
        <v>Abimelec Ortiz</v>
      </c>
    </row>
    <row r="377">
      <c r="A377" s="17">
        <f>IFERROR(__xludf.DUMMYFUNCTION("""COMPUTED_VALUE"""),377.0)</f>
        <v>377</v>
      </c>
      <c r="B377" s="17" t="str">
        <f>IFERROR(__xludf.DUMMYFUNCTION("""COMPUTED_VALUE"""),"Zach Cole (HOU - LF,CF,RF) MiLB")</f>
        <v>Zach Cole (HOU - LF,CF,RF) MiLB</v>
      </c>
      <c r="C377" s="17">
        <f>IFERROR(__xludf.DUMMYFUNCTION("""COMPUTED_VALUE"""),125.0)</f>
        <v>125</v>
      </c>
      <c r="D377" s="17">
        <f>IFERROR(__xludf.DUMMYFUNCTION("""COMPUTED_VALUE"""),16.0)</f>
        <v>16</v>
      </c>
      <c r="E377" s="17">
        <f>IFERROR(__xludf.DUMMYFUNCTION("""COMPUTED_VALUE"""),5.0)</f>
        <v>5</v>
      </c>
      <c r="F377" s="17">
        <f>IFERROR(__xludf.DUMMYFUNCTION("""COMPUTED_VALUE"""),16.0)</f>
        <v>16</v>
      </c>
      <c r="G377" s="17">
        <f>IFERROR(__xludf.DUMMYFUNCTION("""COMPUTED_VALUE"""),4.0)</f>
        <v>4</v>
      </c>
      <c r="H377" s="17">
        <f>IFERROR(__xludf.DUMMYFUNCTION("""COMPUTED_VALUE"""),0.209)</f>
        <v>0.209</v>
      </c>
      <c r="I377" s="17">
        <f>IFERROR(__xludf.DUMMYFUNCTION("""COMPUTED_VALUE"""),0.291)</f>
        <v>0.291</v>
      </c>
      <c r="J377" s="17">
        <f>IFERROR(__xludf.DUMMYFUNCTION("""COMPUTED_VALUE"""),26.0)</f>
        <v>26</v>
      </c>
      <c r="K377" s="17">
        <f>IFERROR(__xludf.DUMMYFUNCTION("""COMPUTED_VALUE"""),5.0)</f>
        <v>5</v>
      </c>
      <c r="L377" s="17">
        <f>IFERROR(__xludf.DUMMYFUNCTION("""COMPUTED_VALUE"""),1.0)</f>
        <v>1</v>
      </c>
      <c r="M377" s="17">
        <f>IFERROR(__xludf.DUMMYFUNCTION("""COMPUTED_VALUE"""),12.0)</f>
        <v>12</v>
      </c>
      <c r="N377" s="17">
        <f>IFERROR(__xludf.DUMMYFUNCTION("""COMPUTED_VALUE"""),54.0)</f>
        <v>54</v>
      </c>
      <c r="O377" s="17">
        <f>IFERROR(__xludf.DUMMYFUNCTION("""COMPUTED_VALUE"""),0.381)</f>
        <v>0.381</v>
      </c>
      <c r="P377" s="17">
        <f>IFERROR(__xludf.DUMMYFUNCTION("""COMPUTED_VALUE"""),0.672)</f>
        <v>0.672</v>
      </c>
      <c r="Q377" s="34">
        <f>IFERROR(__xludf.DUMMYFUNCTION("""COMPUTED_VALUE"""),0.0)</f>
        <v>0</v>
      </c>
      <c r="R377" s="34">
        <f>IFERROR(__xludf.DUMMYFUNCTION("""COMPUTED_VALUE"""),0.0)</f>
        <v>0</v>
      </c>
      <c r="S377" s="34">
        <f>IFERROR(__xludf.DUMMYFUNCTION("""COMPUTED_VALUE"""),0.0)</f>
        <v>0</v>
      </c>
      <c r="T377" s="17" t="str">
        <f t="shared" si="1"/>
        <v>Zach Cole</v>
      </c>
    </row>
    <row r="378">
      <c r="A378" s="17">
        <f>IFERROR(__xludf.DUMMYFUNCTION("""COMPUTED_VALUE"""),378.0)</f>
        <v>378</v>
      </c>
      <c r="B378" s="17" t="str">
        <f>IFERROR(__xludf.DUMMYFUNCTION("""COMPUTED_VALUE"""),"Jose Fermin (STL - 2B,LF)")</f>
        <v>Jose Fermin (STL - 2B,LF)</v>
      </c>
      <c r="C378" s="17">
        <f>IFERROR(__xludf.DUMMYFUNCTION("""COMPUTED_VALUE"""),126.0)</f>
        <v>126</v>
      </c>
      <c r="D378" s="17">
        <f>IFERROR(__xludf.DUMMYFUNCTION("""COMPUTED_VALUE"""),17.0)</f>
        <v>17</v>
      </c>
      <c r="E378" s="17">
        <f>IFERROR(__xludf.DUMMYFUNCTION("""COMPUTED_VALUE"""),2.0)</f>
        <v>2</v>
      </c>
      <c r="F378" s="17">
        <f>IFERROR(__xludf.DUMMYFUNCTION("""COMPUTED_VALUE"""),14.0)</f>
        <v>14</v>
      </c>
      <c r="G378" s="17">
        <f>IFERROR(__xludf.DUMMYFUNCTION("""COMPUTED_VALUE"""),4.0)</f>
        <v>4</v>
      </c>
      <c r="H378" s="17">
        <f>IFERROR(__xludf.DUMMYFUNCTION("""COMPUTED_VALUE"""),0.239)</f>
        <v>0.239</v>
      </c>
      <c r="I378" s="17">
        <f>IFERROR(__xludf.DUMMYFUNCTION("""COMPUTED_VALUE"""),0.331)</f>
        <v>0.331</v>
      </c>
      <c r="J378" s="17">
        <f>IFERROR(__xludf.DUMMYFUNCTION("""COMPUTED_VALUE"""),30.0)</f>
        <v>30</v>
      </c>
      <c r="K378" s="17">
        <f>IFERROR(__xludf.DUMMYFUNCTION("""COMPUTED_VALUE"""),7.0)</f>
        <v>7</v>
      </c>
      <c r="L378" s="17">
        <f>IFERROR(__xludf.DUMMYFUNCTION("""COMPUTED_VALUE"""),0.0)</f>
        <v>0</v>
      </c>
      <c r="M378" s="17">
        <f>IFERROR(__xludf.DUMMYFUNCTION("""COMPUTED_VALUE"""),15.0)</f>
        <v>15</v>
      </c>
      <c r="N378" s="17">
        <f>IFERROR(__xludf.DUMMYFUNCTION("""COMPUTED_VALUE"""),19.0)</f>
        <v>19</v>
      </c>
      <c r="O378" s="17">
        <f>IFERROR(__xludf.DUMMYFUNCTION("""COMPUTED_VALUE"""),0.353)</f>
        <v>0.353</v>
      </c>
      <c r="P378" s="17">
        <f>IFERROR(__xludf.DUMMYFUNCTION("""COMPUTED_VALUE"""),0.684)</f>
        <v>0.684</v>
      </c>
      <c r="Q378" s="34">
        <f>IFERROR(__xludf.DUMMYFUNCTION("""COMPUTED_VALUE"""),0.0)</f>
        <v>0</v>
      </c>
      <c r="R378" s="34">
        <f>IFERROR(__xludf.DUMMYFUNCTION("""COMPUTED_VALUE"""),0.0)</f>
        <v>0</v>
      </c>
      <c r="S378" s="34">
        <f>IFERROR(__xludf.DUMMYFUNCTION("""COMPUTED_VALUE"""),0.0)</f>
        <v>0</v>
      </c>
      <c r="T378" s="17" t="str">
        <f t="shared" si="1"/>
        <v>Jose Fermin</v>
      </c>
    </row>
    <row r="379">
      <c r="A379" s="17">
        <f>IFERROR(__xludf.DUMMYFUNCTION("""COMPUTED_VALUE"""),379.0)</f>
        <v>379</v>
      </c>
      <c r="B379" s="17" t="str">
        <f>IFERROR(__xludf.DUMMYFUNCTION("""COMPUTED_VALUE"""),"Jorbit Vivas (WSH - 2B,3B)")</f>
        <v>Jorbit Vivas (WSH - 2B,3B)</v>
      </c>
      <c r="C379" s="17">
        <f>IFERROR(__xludf.DUMMYFUNCTION("""COMPUTED_VALUE"""),147.0)</f>
        <v>147</v>
      </c>
      <c r="D379" s="17">
        <f>IFERROR(__xludf.DUMMYFUNCTION("""COMPUTED_VALUE"""),18.0)</f>
        <v>18</v>
      </c>
      <c r="E379" s="17">
        <f>IFERROR(__xludf.DUMMYFUNCTION("""COMPUTED_VALUE"""),2.0)</f>
        <v>2</v>
      </c>
      <c r="F379" s="17">
        <f>IFERROR(__xludf.DUMMYFUNCTION("""COMPUTED_VALUE"""),15.0)</f>
        <v>15</v>
      </c>
      <c r="G379" s="17">
        <f>IFERROR(__xludf.DUMMYFUNCTION("""COMPUTED_VALUE"""),3.0)</f>
        <v>3</v>
      </c>
      <c r="H379" s="17">
        <f>IFERROR(__xludf.DUMMYFUNCTION("""COMPUTED_VALUE"""),0.236)</f>
        <v>0.236</v>
      </c>
      <c r="I379" s="17">
        <f>IFERROR(__xludf.DUMMYFUNCTION("""COMPUTED_VALUE"""),0.323)</f>
        <v>0.323</v>
      </c>
      <c r="J379" s="17">
        <f>IFERROR(__xludf.DUMMYFUNCTION("""COMPUTED_VALUE"""),35.0)</f>
        <v>35</v>
      </c>
      <c r="K379" s="17">
        <f>IFERROR(__xludf.DUMMYFUNCTION("""COMPUTED_VALUE"""),7.0)</f>
        <v>7</v>
      </c>
      <c r="L379" s="17">
        <f>IFERROR(__xludf.DUMMYFUNCTION("""COMPUTED_VALUE"""),1.0)</f>
        <v>1</v>
      </c>
      <c r="M379" s="17">
        <f>IFERROR(__xludf.DUMMYFUNCTION("""COMPUTED_VALUE"""),16.0)</f>
        <v>16</v>
      </c>
      <c r="N379" s="17">
        <f>IFERROR(__xludf.DUMMYFUNCTION("""COMPUTED_VALUE"""),24.0)</f>
        <v>24</v>
      </c>
      <c r="O379" s="17">
        <f>IFERROR(__xludf.DUMMYFUNCTION("""COMPUTED_VALUE"""),0.333)</f>
        <v>0.333</v>
      </c>
      <c r="P379" s="17">
        <f>IFERROR(__xludf.DUMMYFUNCTION("""COMPUTED_VALUE"""),0.656)</f>
        <v>0.656</v>
      </c>
      <c r="Q379" s="34">
        <f>IFERROR(__xludf.DUMMYFUNCTION("""COMPUTED_VALUE"""),0.0)</f>
        <v>0</v>
      </c>
      <c r="R379" s="34">
        <f>IFERROR(__xludf.DUMMYFUNCTION("""COMPUTED_VALUE"""),0.0)</f>
        <v>0</v>
      </c>
      <c r="S379" s="34">
        <f>IFERROR(__xludf.DUMMYFUNCTION("""COMPUTED_VALUE"""),0.0)</f>
        <v>0</v>
      </c>
      <c r="T379" s="17" t="str">
        <f t="shared" si="1"/>
        <v>Jorbit Vivas</v>
      </c>
    </row>
    <row r="380">
      <c r="A380" s="17">
        <f>IFERROR(__xludf.DUMMYFUNCTION("""COMPUTED_VALUE"""),380.0)</f>
        <v>380</v>
      </c>
      <c r="B380" s="17" t="str">
        <f>IFERROR(__xludf.DUMMYFUNCTION("""COMPUTED_VALUE"""),"Eli White (ATL - LF,CF,RF)")</f>
        <v>Eli White (ATL - LF,CF,RF)</v>
      </c>
      <c r="C380" s="17">
        <f>IFERROR(__xludf.DUMMYFUNCTION("""COMPUTED_VALUE"""),112.0)</f>
        <v>112</v>
      </c>
      <c r="D380" s="17">
        <f>IFERROR(__xludf.DUMMYFUNCTION("""COMPUTED_VALUE"""),15.0)</f>
        <v>15</v>
      </c>
      <c r="E380" s="17">
        <f>IFERROR(__xludf.DUMMYFUNCTION("""COMPUTED_VALUE"""),3.0)</f>
        <v>3</v>
      </c>
      <c r="F380" s="17">
        <f>IFERROR(__xludf.DUMMYFUNCTION("""COMPUTED_VALUE"""),13.0)</f>
        <v>13</v>
      </c>
      <c r="G380" s="17">
        <f>IFERROR(__xludf.DUMMYFUNCTION("""COMPUTED_VALUE"""),4.0)</f>
        <v>4</v>
      </c>
      <c r="H380" s="17">
        <f>IFERROR(__xludf.DUMMYFUNCTION("""COMPUTED_VALUE"""),0.24)</f>
        <v>0.24</v>
      </c>
      <c r="I380" s="17">
        <f>IFERROR(__xludf.DUMMYFUNCTION("""COMPUTED_VALUE"""),0.298)</f>
        <v>0.298</v>
      </c>
      <c r="J380" s="17">
        <f>IFERROR(__xludf.DUMMYFUNCTION("""COMPUTED_VALUE"""),27.0)</f>
        <v>27</v>
      </c>
      <c r="K380" s="17">
        <f>IFERROR(__xludf.DUMMYFUNCTION("""COMPUTED_VALUE"""),4.0)</f>
        <v>4</v>
      </c>
      <c r="L380" s="17">
        <f>IFERROR(__xludf.DUMMYFUNCTION("""COMPUTED_VALUE"""),1.0)</f>
        <v>1</v>
      </c>
      <c r="M380" s="17">
        <f>IFERROR(__xludf.DUMMYFUNCTION("""COMPUTED_VALUE"""),8.0)</f>
        <v>8</v>
      </c>
      <c r="N380" s="17">
        <f>IFERROR(__xludf.DUMMYFUNCTION("""COMPUTED_VALUE"""),32.0)</f>
        <v>32</v>
      </c>
      <c r="O380" s="17">
        <f>IFERROR(__xludf.DUMMYFUNCTION("""COMPUTED_VALUE"""),0.381)</f>
        <v>0.381</v>
      </c>
      <c r="P380" s="17">
        <f>IFERROR(__xludf.DUMMYFUNCTION("""COMPUTED_VALUE"""),0.679)</f>
        <v>0.679</v>
      </c>
      <c r="Q380" s="34">
        <f>IFERROR(__xludf.DUMMYFUNCTION("""COMPUTED_VALUE"""),0.0)</f>
        <v>0</v>
      </c>
      <c r="R380" s="34">
        <f>IFERROR(__xludf.DUMMYFUNCTION("""COMPUTED_VALUE"""),0.0)</f>
        <v>0</v>
      </c>
      <c r="S380" s="34">
        <f>IFERROR(__xludf.DUMMYFUNCTION("""COMPUTED_VALUE"""),0.0)</f>
        <v>0</v>
      </c>
      <c r="T380" s="17" t="str">
        <f t="shared" si="1"/>
        <v>Eli White</v>
      </c>
    </row>
    <row r="381">
      <c r="A381" s="17">
        <f>IFERROR(__xludf.DUMMYFUNCTION("""COMPUTED_VALUE"""),381.0)</f>
        <v>381</v>
      </c>
      <c r="B381" s="17" t="str">
        <f>IFERROR(__xludf.DUMMYFUNCTION("""COMPUTED_VALUE"""),"Hunter Feduccia (TB - C)")</f>
        <v>Hunter Feduccia (TB - C)</v>
      </c>
      <c r="C381" s="17">
        <f>IFERROR(__xludf.DUMMYFUNCTION("""COMPUTED_VALUE"""),186.0)</f>
        <v>186</v>
      </c>
      <c r="D381" s="17">
        <f>IFERROR(__xludf.DUMMYFUNCTION("""COMPUTED_VALUE"""),21.0)</f>
        <v>21</v>
      </c>
      <c r="E381" s="17">
        <f>IFERROR(__xludf.DUMMYFUNCTION("""COMPUTED_VALUE"""),4.0)</f>
        <v>4</v>
      </c>
      <c r="F381" s="17">
        <f>IFERROR(__xludf.DUMMYFUNCTION("""COMPUTED_VALUE"""),19.0)</f>
        <v>19</v>
      </c>
      <c r="G381" s="17">
        <f>IFERROR(__xludf.DUMMYFUNCTION("""COMPUTED_VALUE"""),1.0)</f>
        <v>1</v>
      </c>
      <c r="H381" s="17">
        <f>IFERROR(__xludf.DUMMYFUNCTION("""COMPUTED_VALUE"""),0.214)</f>
        <v>0.214</v>
      </c>
      <c r="I381" s="17">
        <f>IFERROR(__xludf.DUMMYFUNCTION("""COMPUTED_VALUE"""),0.305)</f>
        <v>0.305</v>
      </c>
      <c r="J381" s="17">
        <f>IFERROR(__xludf.DUMMYFUNCTION("""COMPUTED_VALUE"""),40.0)</f>
        <v>40</v>
      </c>
      <c r="K381" s="17">
        <f>IFERROR(__xludf.DUMMYFUNCTION("""COMPUTED_VALUE"""),8.0)</f>
        <v>8</v>
      </c>
      <c r="L381" s="17">
        <f>IFERROR(__xludf.DUMMYFUNCTION("""COMPUTED_VALUE"""),1.0)</f>
        <v>1</v>
      </c>
      <c r="M381" s="17">
        <f>IFERROR(__xludf.DUMMYFUNCTION("""COMPUTED_VALUE"""),24.0)</f>
        <v>24</v>
      </c>
      <c r="N381" s="17">
        <f>IFERROR(__xludf.DUMMYFUNCTION("""COMPUTED_VALUE"""),57.0)</f>
        <v>57</v>
      </c>
      <c r="O381" s="17">
        <f>IFERROR(__xludf.DUMMYFUNCTION("""COMPUTED_VALUE"""),0.328)</f>
        <v>0.328</v>
      </c>
      <c r="P381" s="17">
        <f>IFERROR(__xludf.DUMMYFUNCTION("""COMPUTED_VALUE"""),0.633)</f>
        <v>0.633</v>
      </c>
      <c r="Q381" s="34">
        <f>IFERROR(__xludf.DUMMYFUNCTION("""COMPUTED_VALUE"""),0.0)</f>
        <v>0</v>
      </c>
      <c r="R381" s="34">
        <f>IFERROR(__xludf.DUMMYFUNCTION("""COMPUTED_VALUE"""),0.0)</f>
        <v>0</v>
      </c>
      <c r="S381" s="34">
        <f>IFERROR(__xludf.DUMMYFUNCTION("""COMPUTED_VALUE"""),0.0)</f>
        <v>0</v>
      </c>
      <c r="T381" s="17" t="str">
        <f t="shared" si="1"/>
        <v>Hunter Feduccia</v>
      </c>
    </row>
    <row r="382">
      <c r="A382" s="17">
        <f>IFERROR(__xludf.DUMMYFUNCTION("""COMPUTED_VALUE"""),382.0)</f>
        <v>382</v>
      </c>
      <c r="B382" s="17" t="str">
        <f>IFERROR(__xludf.DUMMYFUNCTION("""COMPUTED_VALUE"""),"Myles Straw (TOR - LF,CF,RF)")</f>
        <v>Myles Straw (TOR - LF,CF,RF)</v>
      </c>
      <c r="C382" s="17">
        <f>IFERROR(__xludf.DUMMYFUNCTION("""COMPUTED_VALUE"""),137.0)</f>
        <v>137</v>
      </c>
      <c r="D382" s="17">
        <f>IFERROR(__xludf.DUMMYFUNCTION("""COMPUTED_VALUE"""),18.0)</f>
        <v>18</v>
      </c>
      <c r="E382" s="17">
        <f>IFERROR(__xludf.DUMMYFUNCTION("""COMPUTED_VALUE"""),1.0)</f>
        <v>1</v>
      </c>
      <c r="F382" s="17">
        <f>IFERROR(__xludf.DUMMYFUNCTION("""COMPUTED_VALUE"""),12.0)</f>
        <v>12</v>
      </c>
      <c r="G382" s="17">
        <f>IFERROR(__xludf.DUMMYFUNCTION("""COMPUTED_VALUE"""),5.0)</f>
        <v>5</v>
      </c>
      <c r="H382" s="17">
        <f>IFERROR(__xludf.DUMMYFUNCTION("""COMPUTED_VALUE"""),0.239)</f>
        <v>0.239</v>
      </c>
      <c r="I382" s="17">
        <f>IFERROR(__xludf.DUMMYFUNCTION("""COMPUTED_VALUE"""),0.297)</f>
        <v>0.297</v>
      </c>
      <c r="J382" s="17">
        <f>IFERROR(__xludf.DUMMYFUNCTION("""COMPUTED_VALUE"""),33.0)</f>
        <v>33</v>
      </c>
      <c r="K382" s="17">
        <f>IFERROR(__xludf.DUMMYFUNCTION("""COMPUTED_VALUE"""),6.0)</f>
        <v>6</v>
      </c>
      <c r="L382" s="17">
        <f>IFERROR(__xludf.DUMMYFUNCTION("""COMPUTED_VALUE"""),1.0)</f>
        <v>1</v>
      </c>
      <c r="M382" s="17">
        <f>IFERROR(__xludf.DUMMYFUNCTION("""COMPUTED_VALUE"""),12.0)</f>
        <v>12</v>
      </c>
      <c r="N382" s="17">
        <f>IFERROR(__xludf.DUMMYFUNCTION("""COMPUTED_VALUE"""),28.0)</f>
        <v>28</v>
      </c>
      <c r="O382" s="17">
        <f>IFERROR(__xludf.DUMMYFUNCTION("""COMPUTED_VALUE"""),0.323)</f>
        <v>0.323</v>
      </c>
      <c r="P382" s="17">
        <f>IFERROR(__xludf.DUMMYFUNCTION("""COMPUTED_VALUE"""),0.621)</f>
        <v>0.621</v>
      </c>
      <c r="Q382" s="34">
        <f>IFERROR(__xludf.DUMMYFUNCTION("""COMPUTED_VALUE"""),0.0)</f>
        <v>0</v>
      </c>
      <c r="R382" s="34">
        <f>IFERROR(__xludf.DUMMYFUNCTION("""COMPUTED_VALUE"""),0.0)</f>
        <v>0</v>
      </c>
      <c r="S382" s="34">
        <f>IFERROR(__xludf.DUMMYFUNCTION("""COMPUTED_VALUE"""),0.0)</f>
        <v>0</v>
      </c>
      <c r="T382" s="17" t="str">
        <f t="shared" si="1"/>
        <v>Myles Straw</v>
      </c>
    </row>
    <row r="383">
      <c r="A383" s="17">
        <f>IFERROR(__xludf.DUMMYFUNCTION("""COMPUTED_VALUE"""),383.0)</f>
        <v>383</v>
      </c>
      <c r="B383" s="17" t="str">
        <f>IFERROR(__xludf.DUMMYFUNCTION("""COMPUTED_VALUE"""),"Ryan Vilade (TB - LF,RF)")</f>
        <v>Ryan Vilade (TB - LF,RF)</v>
      </c>
      <c r="C383" s="17">
        <f>IFERROR(__xludf.DUMMYFUNCTION("""COMPUTED_VALUE"""),136.0)</f>
        <v>136</v>
      </c>
      <c r="D383" s="17">
        <f>IFERROR(__xludf.DUMMYFUNCTION("""COMPUTED_VALUE"""),16.0)</f>
        <v>16</v>
      </c>
      <c r="E383" s="17">
        <f>IFERROR(__xludf.DUMMYFUNCTION("""COMPUTED_VALUE"""),3.0)</f>
        <v>3</v>
      </c>
      <c r="F383" s="17">
        <f>IFERROR(__xludf.DUMMYFUNCTION("""COMPUTED_VALUE"""),16.0)</f>
        <v>16</v>
      </c>
      <c r="G383" s="17">
        <f>IFERROR(__xludf.DUMMYFUNCTION("""COMPUTED_VALUE"""),3.0)</f>
        <v>3</v>
      </c>
      <c r="H383" s="17">
        <f>IFERROR(__xludf.DUMMYFUNCTION("""COMPUTED_VALUE"""),0.231)</f>
        <v>0.231</v>
      </c>
      <c r="I383" s="17">
        <f>IFERROR(__xludf.DUMMYFUNCTION("""COMPUTED_VALUE"""),0.3)</f>
        <v>0.3</v>
      </c>
      <c r="J383" s="17">
        <f>IFERROR(__xludf.DUMMYFUNCTION("""COMPUTED_VALUE"""),31.0)</f>
        <v>31</v>
      </c>
      <c r="K383" s="17">
        <f>IFERROR(__xludf.DUMMYFUNCTION("""COMPUTED_VALUE"""),6.0)</f>
        <v>6</v>
      </c>
      <c r="L383" s="17">
        <f>IFERROR(__xludf.DUMMYFUNCTION("""COMPUTED_VALUE"""),1.0)</f>
        <v>1</v>
      </c>
      <c r="M383" s="17">
        <f>IFERROR(__xludf.DUMMYFUNCTION("""COMPUTED_VALUE"""),12.0)</f>
        <v>12</v>
      </c>
      <c r="N383" s="17">
        <f>IFERROR(__xludf.DUMMYFUNCTION("""COMPUTED_VALUE"""),37.0)</f>
        <v>37</v>
      </c>
      <c r="O383" s="17">
        <f>IFERROR(__xludf.DUMMYFUNCTION("""COMPUTED_VALUE"""),0.35)</f>
        <v>0.35</v>
      </c>
      <c r="P383" s="17">
        <f>IFERROR(__xludf.DUMMYFUNCTION("""COMPUTED_VALUE"""),0.65)</f>
        <v>0.65</v>
      </c>
      <c r="Q383" s="34">
        <f>IFERROR(__xludf.DUMMYFUNCTION("""COMPUTED_VALUE"""),0.0)</f>
        <v>0</v>
      </c>
      <c r="R383" s="34">
        <f>IFERROR(__xludf.DUMMYFUNCTION("""COMPUTED_VALUE"""),0.0)</f>
        <v>0</v>
      </c>
      <c r="S383" s="34">
        <f>IFERROR(__xludf.DUMMYFUNCTION("""COMPUTED_VALUE"""),0.0)</f>
        <v>0</v>
      </c>
      <c r="T383" s="17" t="str">
        <f t="shared" si="1"/>
        <v>Ryan Vilade</v>
      </c>
    </row>
    <row r="384">
      <c r="A384" s="17">
        <f>IFERROR(__xludf.DUMMYFUNCTION("""COMPUTED_VALUE"""),384.0)</f>
        <v>384</v>
      </c>
      <c r="B384" s="17" t="str">
        <f>IFERROR(__xludf.DUMMYFUNCTION("""COMPUTED_VALUE"""),"Tyler Austin (CHC - 1B,RF) IL60")</f>
        <v>Tyler Austin (CHC - 1B,RF) IL60</v>
      </c>
      <c r="C384" s="17">
        <f>IFERROR(__xludf.DUMMYFUNCTION("""COMPUTED_VALUE"""),103.0)</f>
        <v>103</v>
      </c>
      <c r="D384" s="17">
        <f>IFERROR(__xludf.DUMMYFUNCTION("""COMPUTED_VALUE"""),14.0)</f>
        <v>14</v>
      </c>
      <c r="E384" s="17">
        <f>IFERROR(__xludf.DUMMYFUNCTION("""COMPUTED_VALUE"""),4.0)</f>
        <v>4</v>
      </c>
      <c r="F384" s="17">
        <f>IFERROR(__xludf.DUMMYFUNCTION("""COMPUTED_VALUE"""),15.0)</f>
        <v>15</v>
      </c>
      <c r="G384" s="17">
        <f>IFERROR(__xludf.DUMMYFUNCTION("""COMPUTED_VALUE"""),1.0)</f>
        <v>1</v>
      </c>
      <c r="H384" s="17">
        <f>IFERROR(__xludf.DUMMYFUNCTION("""COMPUTED_VALUE"""),0.245)</f>
        <v>0.245</v>
      </c>
      <c r="I384" s="17">
        <f>IFERROR(__xludf.DUMMYFUNCTION("""COMPUTED_VALUE"""),0.321)</f>
        <v>0.321</v>
      </c>
      <c r="J384" s="17">
        <f>IFERROR(__xludf.DUMMYFUNCTION("""COMPUTED_VALUE"""),25.0)</f>
        <v>25</v>
      </c>
      <c r="K384" s="17">
        <f>IFERROR(__xludf.DUMMYFUNCTION("""COMPUTED_VALUE"""),5.0)</f>
        <v>5</v>
      </c>
      <c r="L384" s="17">
        <f>IFERROR(__xludf.DUMMYFUNCTION("""COMPUTED_VALUE"""),0.0)</f>
        <v>0</v>
      </c>
      <c r="M384" s="17">
        <f>IFERROR(__xludf.DUMMYFUNCTION("""COMPUTED_VALUE"""),10.0)</f>
        <v>10</v>
      </c>
      <c r="N384" s="17">
        <f>IFERROR(__xludf.DUMMYFUNCTION("""COMPUTED_VALUE"""),27.0)</f>
        <v>27</v>
      </c>
      <c r="O384" s="17">
        <f>IFERROR(__xludf.DUMMYFUNCTION("""COMPUTED_VALUE"""),0.428)</f>
        <v>0.428</v>
      </c>
      <c r="P384" s="17">
        <f>IFERROR(__xludf.DUMMYFUNCTION("""COMPUTED_VALUE"""),0.749)</f>
        <v>0.749</v>
      </c>
      <c r="Q384" s="34">
        <f>IFERROR(__xludf.DUMMYFUNCTION("""COMPUTED_VALUE"""),0.0)</f>
        <v>0</v>
      </c>
      <c r="R384" s="34">
        <f>IFERROR(__xludf.DUMMYFUNCTION("""COMPUTED_VALUE"""),0.0)</f>
        <v>0</v>
      </c>
      <c r="S384" s="34">
        <f>IFERROR(__xludf.DUMMYFUNCTION("""COMPUTED_VALUE"""),0.0)</f>
        <v>0</v>
      </c>
      <c r="T384" s="17" t="str">
        <f t="shared" si="1"/>
        <v>Tyler Austin</v>
      </c>
    </row>
    <row r="385">
      <c r="A385" s="17">
        <f>IFERROR(__xludf.DUMMYFUNCTION("""COMPUTED_VALUE"""),385.0)</f>
        <v>385</v>
      </c>
      <c r="B385" s="17" t="str">
        <f>IFERROR(__xludf.DUMMYFUNCTION("""COMPUTED_VALUE"""),"Robert Hassell III (WSH - CF,RF) MiLB")</f>
        <v>Robert Hassell III (WSH - CF,RF) MiLB</v>
      </c>
      <c r="C385" s="17">
        <f>IFERROR(__xludf.DUMMYFUNCTION("""COMPUTED_VALUE"""),130.0)</f>
        <v>130</v>
      </c>
      <c r="D385" s="17">
        <f>IFERROR(__xludf.DUMMYFUNCTION("""COMPUTED_VALUE"""),15.0)</f>
        <v>15</v>
      </c>
      <c r="E385" s="17">
        <f>IFERROR(__xludf.DUMMYFUNCTION("""COMPUTED_VALUE"""),3.0)</f>
        <v>3</v>
      </c>
      <c r="F385" s="17">
        <f>IFERROR(__xludf.DUMMYFUNCTION("""COMPUTED_VALUE"""),14.0)</f>
        <v>14</v>
      </c>
      <c r="G385" s="17">
        <f>IFERROR(__xludf.DUMMYFUNCTION("""COMPUTED_VALUE"""),3.0)</f>
        <v>3</v>
      </c>
      <c r="H385" s="17">
        <f>IFERROR(__xludf.DUMMYFUNCTION("""COMPUTED_VALUE"""),0.239)</f>
        <v>0.239</v>
      </c>
      <c r="I385" s="17">
        <f>IFERROR(__xludf.DUMMYFUNCTION("""COMPUTED_VALUE"""),0.298)</f>
        <v>0.298</v>
      </c>
      <c r="J385" s="17">
        <f>IFERROR(__xludf.DUMMYFUNCTION("""COMPUTED_VALUE"""),31.0)</f>
        <v>31</v>
      </c>
      <c r="K385" s="17">
        <f>IFERROR(__xludf.DUMMYFUNCTION("""COMPUTED_VALUE"""),6.0)</f>
        <v>6</v>
      </c>
      <c r="L385" s="17">
        <f>IFERROR(__xludf.DUMMYFUNCTION("""COMPUTED_VALUE"""),0.0)</f>
        <v>0</v>
      </c>
      <c r="M385" s="17">
        <f>IFERROR(__xludf.DUMMYFUNCTION("""COMPUTED_VALUE"""),10.0)</f>
        <v>10</v>
      </c>
      <c r="N385" s="17">
        <f>IFERROR(__xludf.DUMMYFUNCTION("""COMPUTED_VALUE"""),36.0)</f>
        <v>36</v>
      </c>
      <c r="O385" s="17">
        <f>IFERROR(__xludf.DUMMYFUNCTION("""COMPUTED_VALUE"""),0.343)</f>
        <v>0.343</v>
      </c>
      <c r="P385" s="17">
        <f>IFERROR(__xludf.DUMMYFUNCTION("""COMPUTED_VALUE"""),0.641)</f>
        <v>0.641</v>
      </c>
      <c r="Q385" s="34">
        <f>IFERROR(__xludf.DUMMYFUNCTION("""COMPUTED_VALUE"""),0.0)</f>
        <v>0</v>
      </c>
      <c r="R385" s="34">
        <f>IFERROR(__xludf.DUMMYFUNCTION("""COMPUTED_VALUE"""),0.0)</f>
        <v>0</v>
      </c>
      <c r="S385" s="34">
        <f>IFERROR(__xludf.DUMMYFUNCTION("""COMPUTED_VALUE"""),0.0)</f>
        <v>0</v>
      </c>
      <c r="T385" s="17" t="str">
        <f t="shared" si="1"/>
        <v>Robert Hassell III</v>
      </c>
    </row>
    <row r="386">
      <c r="A386" s="17">
        <f>IFERROR(__xludf.DUMMYFUNCTION("""COMPUTED_VALUE"""),386.0)</f>
        <v>386</v>
      </c>
      <c r="B386" s="17" t="str">
        <f>IFERROR(__xludf.DUMMYFUNCTION("""COMPUTED_VALUE"""),"Enrique Hernandez (LAD - 1B,2B,3B,LF) IL60")</f>
        <v>Enrique Hernandez (LAD - 1B,2B,3B,LF) IL60</v>
      </c>
      <c r="C386" s="17">
        <f>IFERROR(__xludf.DUMMYFUNCTION("""COMPUTED_VALUE"""),133.0)</f>
        <v>133</v>
      </c>
      <c r="D386" s="17">
        <f>IFERROR(__xludf.DUMMYFUNCTION("""COMPUTED_VALUE"""),16.0)</f>
        <v>16</v>
      </c>
      <c r="E386" s="17">
        <f>IFERROR(__xludf.DUMMYFUNCTION("""COMPUTED_VALUE"""),4.0)</f>
        <v>4</v>
      </c>
      <c r="F386" s="17">
        <f>IFERROR(__xludf.DUMMYFUNCTION("""COMPUTED_VALUE"""),17.0)</f>
        <v>17</v>
      </c>
      <c r="G386" s="17">
        <f>IFERROR(__xludf.DUMMYFUNCTION("""COMPUTED_VALUE"""),1.0)</f>
        <v>1</v>
      </c>
      <c r="H386" s="17">
        <f>IFERROR(__xludf.DUMMYFUNCTION("""COMPUTED_VALUE"""),0.223)</f>
        <v>0.223</v>
      </c>
      <c r="I386" s="17">
        <f>IFERROR(__xludf.DUMMYFUNCTION("""COMPUTED_VALUE"""),0.281)</f>
        <v>0.281</v>
      </c>
      <c r="J386" s="17">
        <f>IFERROR(__xludf.DUMMYFUNCTION("""COMPUTED_VALUE"""),30.0)</f>
        <v>30</v>
      </c>
      <c r="K386" s="17">
        <f>IFERROR(__xludf.DUMMYFUNCTION("""COMPUTED_VALUE"""),6.0)</f>
        <v>6</v>
      </c>
      <c r="L386" s="17">
        <f>IFERROR(__xludf.DUMMYFUNCTION("""COMPUTED_VALUE"""),0.0)</f>
        <v>0</v>
      </c>
      <c r="M386" s="17">
        <f>IFERROR(__xludf.DUMMYFUNCTION("""COMPUTED_VALUE"""),11.0)</f>
        <v>11</v>
      </c>
      <c r="N386" s="17">
        <f>IFERROR(__xludf.DUMMYFUNCTION("""COMPUTED_VALUE"""),33.0)</f>
        <v>33</v>
      </c>
      <c r="O386" s="17">
        <f>IFERROR(__xludf.DUMMYFUNCTION("""COMPUTED_VALUE"""),0.366)</f>
        <v>0.366</v>
      </c>
      <c r="P386" s="17">
        <f>IFERROR(__xludf.DUMMYFUNCTION("""COMPUTED_VALUE"""),0.647)</f>
        <v>0.647</v>
      </c>
      <c r="Q386" s="34">
        <f>IFERROR(__xludf.DUMMYFUNCTION("""COMPUTED_VALUE"""),0.01)</f>
        <v>0.01</v>
      </c>
      <c r="R386" s="34">
        <f>IFERROR(__xludf.DUMMYFUNCTION("""COMPUTED_VALUE"""),0.01)</f>
        <v>0.01</v>
      </c>
      <c r="S386" s="34">
        <f>IFERROR(__xludf.DUMMYFUNCTION("""COMPUTED_VALUE"""),0.01)</f>
        <v>0.01</v>
      </c>
      <c r="T386" s="17" t="str">
        <f t="shared" si="1"/>
        <v>Enrique Hernandez</v>
      </c>
    </row>
    <row r="387">
      <c r="A387" s="17">
        <f>IFERROR(__xludf.DUMMYFUNCTION("""COMPUTED_VALUE"""),387.0)</f>
        <v>387</v>
      </c>
      <c r="B387" s="17" t="str">
        <f>IFERROR(__xludf.DUMMYFUNCTION("""COMPUTED_VALUE"""),"Tristan Gray (MIN - 2B,3B,SS)")</f>
        <v>Tristan Gray (MIN - 2B,3B,SS)</v>
      </c>
      <c r="C387" s="17">
        <f>IFERROR(__xludf.DUMMYFUNCTION("""COMPUTED_VALUE"""),146.0)</f>
        <v>146</v>
      </c>
      <c r="D387" s="17">
        <f>IFERROR(__xludf.DUMMYFUNCTION("""COMPUTED_VALUE"""),17.0)</f>
        <v>17</v>
      </c>
      <c r="E387" s="17">
        <f>IFERROR(__xludf.DUMMYFUNCTION("""COMPUTED_VALUE"""),5.0)</f>
        <v>5</v>
      </c>
      <c r="F387" s="17">
        <f>IFERROR(__xludf.DUMMYFUNCTION("""COMPUTED_VALUE"""),18.0)</f>
        <v>18</v>
      </c>
      <c r="G387" s="17">
        <f>IFERROR(__xludf.DUMMYFUNCTION("""COMPUTED_VALUE"""),1.0)</f>
        <v>1</v>
      </c>
      <c r="H387" s="17">
        <f>IFERROR(__xludf.DUMMYFUNCTION("""COMPUTED_VALUE"""),0.215)</f>
        <v>0.215</v>
      </c>
      <c r="I387" s="17">
        <f>IFERROR(__xludf.DUMMYFUNCTION("""COMPUTED_VALUE"""),0.273)</f>
        <v>0.273</v>
      </c>
      <c r="J387" s="17">
        <f>IFERROR(__xludf.DUMMYFUNCTION("""COMPUTED_VALUE"""),31.0)</f>
        <v>31</v>
      </c>
      <c r="K387" s="17">
        <f>IFERROR(__xludf.DUMMYFUNCTION("""COMPUTED_VALUE"""),7.0)</f>
        <v>7</v>
      </c>
      <c r="L387" s="17">
        <f>IFERROR(__xludf.DUMMYFUNCTION("""COMPUTED_VALUE"""),1.0)</f>
        <v>1</v>
      </c>
      <c r="M387" s="17">
        <f>IFERROR(__xludf.DUMMYFUNCTION("""COMPUTED_VALUE"""),11.0)</f>
        <v>11</v>
      </c>
      <c r="N387" s="17">
        <f>IFERROR(__xludf.DUMMYFUNCTION("""COMPUTED_VALUE"""),47.0)</f>
        <v>47</v>
      </c>
      <c r="O387" s="17">
        <f>IFERROR(__xludf.DUMMYFUNCTION("""COMPUTED_VALUE"""),0.373)</f>
        <v>0.373</v>
      </c>
      <c r="P387" s="17">
        <f>IFERROR(__xludf.DUMMYFUNCTION("""COMPUTED_VALUE"""),0.646)</f>
        <v>0.646</v>
      </c>
      <c r="Q387" s="34">
        <f>IFERROR(__xludf.DUMMYFUNCTION("""COMPUTED_VALUE"""),0.01)</f>
        <v>0.01</v>
      </c>
      <c r="R387" s="34">
        <f>IFERROR(__xludf.DUMMYFUNCTION("""COMPUTED_VALUE"""),0.01)</f>
        <v>0.01</v>
      </c>
      <c r="S387" s="34">
        <f>IFERROR(__xludf.DUMMYFUNCTION("""COMPUTED_VALUE"""),0.01)</f>
        <v>0.01</v>
      </c>
      <c r="T387" s="17" t="str">
        <f t="shared" si="1"/>
        <v>Tristan Gray</v>
      </c>
    </row>
    <row r="388">
      <c r="A388" s="17">
        <f>IFERROR(__xludf.DUMMYFUNCTION("""COMPUTED_VALUE"""),388.0)</f>
        <v>388</v>
      </c>
      <c r="B388" s="17" t="str">
        <f>IFERROR(__xludf.DUMMYFUNCTION("""COMPUTED_VALUE"""),"Carlos Santana (ARI - 1B) IL10")</f>
        <v>Carlos Santana (ARI - 1B) IL10</v>
      </c>
      <c r="C388" s="17">
        <f>IFERROR(__xludf.DUMMYFUNCTION("""COMPUTED_VALUE"""),146.0)</f>
        <v>146</v>
      </c>
      <c r="D388" s="17">
        <f>IFERROR(__xludf.DUMMYFUNCTION("""COMPUTED_VALUE"""),17.0)</f>
        <v>17</v>
      </c>
      <c r="E388" s="17">
        <f>IFERROR(__xludf.DUMMYFUNCTION("""COMPUTED_VALUE"""),4.0)</f>
        <v>4</v>
      </c>
      <c r="F388" s="17">
        <f>IFERROR(__xludf.DUMMYFUNCTION("""COMPUTED_VALUE"""),18.0)</f>
        <v>18</v>
      </c>
      <c r="G388" s="17">
        <f>IFERROR(__xludf.DUMMYFUNCTION("""COMPUTED_VALUE"""),1.0)</f>
        <v>1</v>
      </c>
      <c r="H388" s="17">
        <f>IFERROR(__xludf.DUMMYFUNCTION("""COMPUTED_VALUE"""),0.222)</f>
        <v>0.222</v>
      </c>
      <c r="I388" s="17">
        <f>IFERROR(__xludf.DUMMYFUNCTION("""COMPUTED_VALUE"""),0.308)</f>
        <v>0.308</v>
      </c>
      <c r="J388" s="17">
        <f>IFERROR(__xludf.DUMMYFUNCTION("""COMPUTED_VALUE"""),32.0)</f>
        <v>32</v>
      </c>
      <c r="K388" s="17">
        <f>IFERROR(__xludf.DUMMYFUNCTION("""COMPUTED_VALUE"""),6.0)</f>
        <v>6</v>
      </c>
      <c r="L388" s="17">
        <f>IFERROR(__xludf.DUMMYFUNCTION("""COMPUTED_VALUE"""),0.0)</f>
        <v>0</v>
      </c>
      <c r="M388" s="17">
        <f>IFERROR(__xludf.DUMMYFUNCTION("""COMPUTED_VALUE"""),17.0)</f>
        <v>17</v>
      </c>
      <c r="N388" s="17">
        <f>IFERROR(__xludf.DUMMYFUNCTION("""COMPUTED_VALUE"""),31.0)</f>
        <v>31</v>
      </c>
      <c r="O388" s="17">
        <f>IFERROR(__xludf.DUMMYFUNCTION("""COMPUTED_VALUE"""),0.355)</f>
        <v>0.355</v>
      </c>
      <c r="P388" s="17">
        <f>IFERROR(__xludf.DUMMYFUNCTION("""COMPUTED_VALUE"""),0.663)</f>
        <v>0.663</v>
      </c>
      <c r="Q388" s="34">
        <f>IFERROR(__xludf.DUMMYFUNCTION("""COMPUTED_VALUE"""),0.01)</f>
        <v>0.01</v>
      </c>
      <c r="R388" s="34">
        <f>IFERROR(__xludf.DUMMYFUNCTION("""COMPUTED_VALUE"""),0.01)</f>
        <v>0.01</v>
      </c>
      <c r="S388" s="34">
        <f>IFERROR(__xludf.DUMMYFUNCTION("""COMPUTED_VALUE"""),0.0)</f>
        <v>0</v>
      </c>
      <c r="T388" s="17" t="str">
        <f t="shared" si="1"/>
        <v>Carlos Santana</v>
      </c>
    </row>
    <row r="389">
      <c r="A389" s="17">
        <f>IFERROR(__xludf.DUMMYFUNCTION("""COMPUTED_VALUE"""),389.0)</f>
        <v>389</v>
      </c>
      <c r="B389" s="17" t="str">
        <f>IFERROR(__xludf.DUMMYFUNCTION("""COMPUTED_VALUE"""),"Harry Ford (WSH - C) MiLB")</f>
        <v>Harry Ford (WSH - C) MiLB</v>
      </c>
      <c r="C389" s="17">
        <f>IFERROR(__xludf.DUMMYFUNCTION("""COMPUTED_VALUE"""),135.0)</f>
        <v>135</v>
      </c>
      <c r="D389" s="17">
        <f>IFERROR(__xludf.DUMMYFUNCTION("""COMPUTED_VALUE"""),17.0)</f>
        <v>17</v>
      </c>
      <c r="E389" s="17">
        <f>IFERROR(__xludf.DUMMYFUNCTION("""COMPUTED_VALUE"""),3.0)</f>
        <v>3</v>
      </c>
      <c r="F389" s="17">
        <f>IFERROR(__xludf.DUMMYFUNCTION("""COMPUTED_VALUE"""),15.0)</f>
        <v>15</v>
      </c>
      <c r="G389" s="17">
        <f>IFERROR(__xludf.DUMMYFUNCTION("""COMPUTED_VALUE"""),3.0)</f>
        <v>3</v>
      </c>
      <c r="H389" s="17">
        <f>IFERROR(__xludf.DUMMYFUNCTION("""COMPUTED_VALUE"""),0.225)</f>
        <v>0.225</v>
      </c>
      <c r="I389" s="17">
        <f>IFERROR(__xludf.DUMMYFUNCTION("""COMPUTED_VALUE"""),0.319)</f>
        <v>0.319</v>
      </c>
      <c r="J389" s="17">
        <f>IFERROR(__xludf.DUMMYFUNCTION("""COMPUTED_VALUE"""),30.0)</f>
        <v>30</v>
      </c>
      <c r="K389" s="17">
        <f>IFERROR(__xludf.DUMMYFUNCTION("""COMPUTED_VALUE"""),6.0)</f>
        <v>6</v>
      </c>
      <c r="L389" s="17">
        <f>IFERROR(__xludf.DUMMYFUNCTION("""COMPUTED_VALUE"""),0.0)</f>
        <v>0</v>
      </c>
      <c r="M389" s="17">
        <f>IFERROR(__xludf.DUMMYFUNCTION("""COMPUTED_VALUE"""),17.0)</f>
        <v>17</v>
      </c>
      <c r="N389" s="17">
        <f>IFERROR(__xludf.DUMMYFUNCTION("""COMPUTED_VALUE"""),37.0)</f>
        <v>37</v>
      </c>
      <c r="O389" s="17">
        <f>IFERROR(__xludf.DUMMYFUNCTION("""COMPUTED_VALUE"""),0.34)</f>
        <v>0.34</v>
      </c>
      <c r="P389" s="17">
        <f>IFERROR(__xludf.DUMMYFUNCTION("""COMPUTED_VALUE"""),0.658)</f>
        <v>0.658</v>
      </c>
      <c r="Q389" s="34">
        <f>IFERROR(__xludf.DUMMYFUNCTION("""COMPUTED_VALUE"""),0.01)</f>
        <v>0.01</v>
      </c>
      <c r="R389" s="34">
        <f>IFERROR(__xludf.DUMMYFUNCTION("""COMPUTED_VALUE"""),0.01)</f>
        <v>0.01</v>
      </c>
      <c r="S389" s="34">
        <f>IFERROR(__xludf.DUMMYFUNCTION("""COMPUTED_VALUE"""),0.0)</f>
        <v>0</v>
      </c>
      <c r="T389" s="17" t="str">
        <f t="shared" si="1"/>
        <v>Harry Ford</v>
      </c>
    </row>
    <row r="390">
      <c r="A390" s="17">
        <f>IFERROR(__xludf.DUMMYFUNCTION("""COMPUTED_VALUE"""),390.0)</f>
        <v>390</v>
      </c>
      <c r="B390" s="17" t="str">
        <f>IFERROR(__xludf.DUMMYFUNCTION("""COMPUTED_VALUE"""),"Adrian Del Castillo (ARI - C,DH)")</f>
        <v>Adrian Del Castillo (ARI - C,DH)</v>
      </c>
      <c r="C390" s="17">
        <f>IFERROR(__xludf.DUMMYFUNCTION("""COMPUTED_VALUE"""),126.0)</f>
        <v>126</v>
      </c>
      <c r="D390" s="17">
        <f>IFERROR(__xludf.DUMMYFUNCTION("""COMPUTED_VALUE"""),15.0)</f>
        <v>15</v>
      </c>
      <c r="E390" s="17">
        <f>IFERROR(__xludf.DUMMYFUNCTION("""COMPUTED_VALUE"""),4.0)</f>
        <v>4</v>
      </c>
      <c r="F390" s="17">
        <f>IFERROR(__xludf.DUMMYFUNCTION("""COMPUTED_VALUE"""),17.0)</f>
        <v>17</v>
      </c>
      <c r="G390" s="17">
        <f>IFERROR(__xludf.DUMMYFUNCTION("""COMPUTED_VALUE"""),0.0)</f>
        <v>0</v>
      </c>
      <c r="H390" s="17">
        <f>IFERROR(__xludf.DUMMYFUNCTION("""COMPUTED_VALUE"""),0.226)</f>
        <v>0.226</v>
      </c>
      <c r="I390" s="17">
        <f>IFERROR(__xludf.DUMMYFUNCTION("""COMPUTED_VALUE"""),0.295)</f>
        <v>0.295</v>
      </c>
      <c r="J390" s="17">
        <f>IFERROR(__xludf.DUMMYFUNCTION("""COMPUTED_VALUE"""),29.0)</f>
        <v>29</v>
      </c>
      <c r="K390" s="17">
        <f>IFERROR(__xludf.DUMMYFUNCTION("""COMPUTED_VALUE"""),7.0)</f>
        <v>7</v>
      </c>
      <c r="L390" s="17">
        <f>IFERROR(__xludf.DUMMYFUNCTION("""COMPUTED_VALUE"""),0.0)</f>
        <v>0</v>
      </c>
      <c r="M390" s="17">
        <f>IFERROR(__xludf.DUMMYFUNCTION("""COMPUTED_VALUE"""),11.0)</f>
        <v>11</v>
      </c>
      <c r="N390" s="17">
        <f>IFERROR(__xludf.DUMMYFUNCTION("""COMPUTED_VALUE"""),39.0)</f>
        <v>39</v>
      </c>
      <c r="O390" s="17">
        <f>IFERROR(__xludf.DUMMYFUNCTION("""COMPUTED_VALUE"""),0.378)</f>
        <v>0.378</v>
      </c>
      <c r="P390" s="17">
        <f>IFERROR(__xludf.DUMMYFUNCTION("""COMPUTED_VALUE"""),0.673)</f>
        <v>0.673</v>
      </c>
      <c r="Q390" s="34">
        <f>IFERROR(__xludf.DUMMYFUNCTION("""COMPUTED_VALUE"""),0.01)</f>
        <v>0.01</v>
      </c>
      <c r="R390" s="34">
        <f>IFERROR(__xludf.DUMMYFUNCTION("""COMPUTED_VALUE"""),0.01)</f>
        <v>0.01</v>
      </c>
      <c r="S390" s="34">
        <f>IFERROR(__xludf.DUMMYFUNCTION("""COMPUTED_VALUE"""),0.0)</f>
        <v>0</v>
      </c>
      <c r="T390" s="17" t="str">
        <f t="shared" si="1"/>
        <v>Adrian Del Castillo</v>
      </c>
    </row>
    <row r="391">
      <c r="A391" s="17">
        <f>IFERROR(__xludf.DUMMYFUNCTION("""COMPUTED_VALUE"""),391.0)</f>
        <v>391</v>
      </c>
      <c r="B391" s="17" t="str">
        <f>IFERROR(__xludf.DUMMYFUNCTION("""COMPUTED_VALUE"""),"Hyeseong Kim (LAD - 2B,SS,CF)")</f>
        <v>Hyeseong Kim (LAD - 2B,SS,CF)</v>
      </c>
      <c r="C391" s="17">
        <f>IFERROR(__xludf.DUMMYFUNCTION("""COMPUTED_VALUE"""),98.0)</f>
        <v>98</v>
      </c>
      <c r="D391" s="17">
        <f>IFERROR(__xludf.DUMMYFUNCTION("""COMPUTED_VALUE"""),12.0)</f>
        <v>12</v>
      </c>
      <c r="E391" s="17">
        <f>IFERROR(__xludf.DUMMYFUNCTION("""COMPUTED_VALUE"""),2.0)</f>
        <v>2</v>
      </c>
      <c r="F391" s="17">
        <f>IFERROR(__xludf.DUMMYFUNCTION("""COMPUTED_VALUE"""),11.0)</f>
        <v>11</v>
      </c>
      <c r="G391" s="17">
        <f>IFERROR(__xludf.DUMMYFUNCTION("""COMPUTED_VALUE"""),5.0)</f>
        <v>5</v>
      </c>
      <c r="H391" s="17">
        <f>IFERROR(__xludf.DUMMYFUNCTION("""COMPUTED_VALUE"""),0.252)</f>
        <v>0.252</v>
      </c>
      <c r="I391" s="17">
        <f>IFERROR(__xludf.DUMMYFUNCTION("""COMPUTED_VALUE"""),0.301)</f>
        <v>0.301</v>
      </c>
      <c r="J391" s="17">
        <f>IFERROR(__xludf.DUMMYFUNCTION("""COMPUTED_VALUE"""),25.0)</f>
        <v>25</v>
      </c>
      <c r="K391" s="17">
        <f>IFERROR(__xludf.DUMMYFUNCTION("""COMPUTED_VALUE"""),4.0)</f>
        <v>4</v>
      </c>
      <c r="L391" s="17">
        <f>IFERROR(__xludf.DUMMYFUNCTION("""COMPUTED_VALUE"""),1.0)</f>
        <v>1</v>
      </c>
      <c r="M391" s="17">
        <f>IFERROR(__xludf.DUMMYFUNCTION("""COMPUTED_VALUE"""),6.0)</f>
        <v>6</v>
      </c>
      <c r="N391" s="17">
        <f>IFERROR(__xludf.DUMMYFUNCTION("""COMPUTED_VALUE"""),26.0)</f>
        <v>26</v>
      </c>
      <c r="O391" s="17">
        <f>IFERROR(__xludf.DUMMYFUNCTION("""COMPUTED_VALUE"""),0.36)</f>
        <v>0.36</v>
      </c>
      <c r="P391" s="17">
        <f>IFERROR(__xludf.DUMMYFUNCTION("""COMPUTED_VALUE"""),0.661)</f>
        <v>0.661</v>
      </c>
      <c r="Q391" s="34">
        <f>IFERROR(__xludf.DUMMYFUNCTION("""COMPUTED_VALUE"""),0.07)</f>
        <v>0.07</v>
      </c>
      <c r="R391" s="34">
        <f>IFERROR(__xludf.DUMMYFUNCTION("""COMPUTED_VALUE"""),0.11)</f>
        <v>0.11</v>
      </c>
      <c r="S391" s="34">
        <f>IFERROR(__xludf.DUMMYFUNCTION("""COMPUTED_VALUE"""),0.04)</f>
        <v>0.04</v>
      </c>
      <c r="T391" s="17" t="str">
        <f t="shared" si="1"/>
        <v>Hyeseong Kim</v>
      </c>
    </row>
    <row r="392">
      <c r="A392" s="17">
        <f>IFERROR(__xludf.DUMMYFUNCTION("""COMPUTED_VALUE"""),392.0)</f>
        <v>392</v>
      </c>
      <c r="B392" s="17" t="str">
        <f>IFERROR(__xludf.DUMMYFUNCTION("""COMPUTED_VALUE"""),"Brandon Lockridge (MIL - LF,CF,RF)")</f>
        <v>Brandon Lockridge (MIL - LF,CF,RF)</v>
      </c>
      <c r="C392" s="17">
        <f>IFERROR(__xludf.DUMMYFUNCTION("""COMPUTED_VALUE"""),119.0)</f>
        <v>119</v>
      </c>
      <c r="D392" s="17">
        <f>IFERROR(__xludf.DUMMYFUNCTION("""COMPUTED_VALUE"""),14.0)</f>
        <v>14</v>
      </c>
      <c r="E392" s="17">
        <f>IFERROR(__xludf.DUMMYFUNCTION("""COMPUTED_VALUE"""),1.0)</f>
        <v>1</v>
      </c>
      <c r="F392" s="17">
        <f>IFERROR(__xludf.DUMMYFUNCTION("""COMPUTED_VALUE"""),11.0)</f>
        <v>11</v>
      </c>
      <c r="G392" s="17">
        <f>IFERROR(__xludf.DUMMYFUNCTION("""COMPUTED_VALUE"""),7.0)</f>
        <v>7</v>
      </c>
      <c r="H392" s="17">
        <f>IFERROR(__xludf.DUMMYFUNCTION("""COMPUTED_VALUE"""),0.237)</f>
        <v>0.237</v>
      </c>
      <c r="I392" s="17">
        <f>IFERROR(__xludf.DUMMYFUNCTION("""COMPUTED_VALUE"""),0.303)</f>
        <v>0.303</v>
      </c>
      <c r="J392" s="17">
        <f>IFERROR(__xludf.DUMMYFUNCTION("""COMPUTED_VALUE"""),28.0)</f>
        <v>28</v>
      </c>
      <c r="K392" s="17">
        <f>IFERROR(__xludf.DUMMYFUNCTION("""COMPUTED_VALUE"""),5.0)</f>
        <v>5</v>
      </c>
      <c r="L392" s="17">
        <f>IFERROR(__xludf.DUMMYFUNCTION("""COMPUTED_VALUE"""),1.0)</f>
        <v>1</v>
      </c>
      <c r="M392" s="17">
        <f>IFERROR(__xludf.DUMMYFUNCTION("""COMPUTED_VALUE"""),11.0)</f>
        <v>11</v>
      </c>
      <c r="N392" s="17">
        <f>IFERROR(__xludf.DUMMYFUNCTION("""COMPUTED_VALUE"""),35.0)</f>
        <v>35</v>
      </c>
      <c r="O392" s="17">
        <f>IFERROR(__xludf.DUMMYFUNCTION("""COMPUTED_VALUE"""),0.327)</f>
        <v>0.327</v>
      </c>
      <c r="P392" s="17">
        <f>IFERROR(__xludf.DUMMYFUNCTION("""COMPUTED_VALUE"""),0.63)</f>
        <v>0.63</v>
      </c>
      <c r="Q392" s="34">
        <f>IFERROR(__xludf.DUMMYFUNCTION("""COMPUTED_VALUE"""),0.01)</f>
        <v>0.01</v>
      </c>
      <c r="R392" s="34">
        <f>IFERROR(__xludf.DUMMYFUNCTION("""COMPUTED_VALUE"""),0.01)</f>
        <v>0.01</v>
      </c>
      <c r="S392" s="34">
        <f>IFERROR(__xludf.DUMMYFUNCTION("""COMPUTED_VALUE"""),0.0)</f>
        <v>0</v>
      </c>
      <c r="T392" s="17" t="str">
        <f t="shared" si="1"/>
        <v>Brandon Lockridge</v>
      </c>
    </row>
    <row r="393">
      <c r="A393" s="17">
        <f>IFERROR(__xludf.DUMMYFUNCTION("""COMPUTED_VALUE"""),393.0)</f>
        <v>393</v>
      </c>
      <c r="B393" s="17" t="str">
        <f>IFERROR(__xludf.DUMMYFUNCTION("""COMPUTED_VALUE"""),"Christian Vazquez (HOU - C)")</f>
        <v>Christian Vazquez (HOU - C)</v>
      </c>
      <c r="C393" s="17">
        <f>IFERROR(__xludf.DUMMYFUNCTION("""COMPUTED_VALUE"""),155.0)</f>
        <v>155</v>
      </c>
      <c r="D393" s="17">
        <f>IFERROR(__xludf.DUMMYFUNCTION("""COMPUTED_VALUE"""),16.0)</f>
        <v>16</v>
      </c>
      <c r="E393" s="17">
        <f>IFERROR(__xludf.DUMMYFUNCTION("""COMPUTED_VALUE"""),4.0)</f>
        <v>4</v>
      </c>
      <c r="F393" s="17">
        <f>IFERROR(__xludf.DUMMYFUNCTION("""COMPUTED_VALUE"""),16.0)</f>
        <v>16</v>
      </c>
      <c r="G393" s="17">
        <f>IFERROR(__xludf.DUMMYFUNCTION("""COMPUTED_VALUE"""),1.0)</f>
        <v>1</v>
      </c>
      <c r="H393" s="17">
        <f>IFERROR(__xludf.DUMMYFUNCTION("""COMPUTED_VALUE"""),0.225)</f>
        <v>0.225</v>
      </c>
      <c r="I393" s="17">
        <f>IFERROR(__xludf.DUMMYFUNCTION("""COMPUTED_VALUE"""),0.278)</f>
        <v>0.278</v>
      </c>
      <c r="J393" s="17">
        <f>IFERROR(__xludf.DUMMYFUNCTION("""COMPUTED_VALUE"""),35.0)</f>
        <v>35</v>
      </c>
      <c r="K393" s="17">
        <f>IFERROR(__xludf.DUMMYFUNCTION("""COMPUTED_VALUE"""),6.0)</f>
        <v>6</v>
      </c>
      <c r="L393" s="17">
        <f>IFERROR(__xludf.DUMMYFUNCTION("""COMPUTED_VALUE"""),0.0)</f>
        <v>0</v>
      </c>
      <c r="M393" s="17">
        <f>IFERROR(__xludf.DUMMYFUNCTION("""COMPUTED_VALUE"""),11.0)</f>
        <v>11</v>
      </c>
      <c r="N393" s="17">
        <f>IFERROR(__xludf.DUMMYFUNCTION("""COMPUTED_VALUE"""),33.0)</f>
        <v>33</v>
      </c>
      <c r="O393" s="17">
        <f>IFERROR(__xludf.DUMMYFUNCTION("""COMPUTED_VALUE"""),0.336)</f>
        <v>0.336</v>
      </c>
      <c r="P393" s="17">
        <f>IFERROR(__xludf.DUMMYFUNCTION("""COMPUTED_VALUE"""),0.615)</f>
        <v>0.615</v>
      </c>
      <c r="Q393" s="34">
        <f>IFERROR(__xludf.DUMMYFUNCTION("""COMPUTED_VALUE"""),0.01)</f>
        <v>0.01</v>
      </c>
      <c r="R393" s="34">
        <f>IFERROR(__xludf.DUMMYFUNCTION("""COMPUTED_VALUE"""),0.01)</f>
        <v>0.01</v>
      </c>
      <c r="S393" s="34">
        <f>IFERROR(__xludf.DUMMYFUNCTION("""COMPUTED_VALUE"""),0.01)</f>
        <v>0.01</v>
      </c>
      <c r="T393" s="17" t="str">
        <f t="shared" si="1"/>
        <v>Christian Vazquez</v>
      </c>
    </row>
    <row r="394">
      <c r="A394" s="17">
        <f>IFERROR(__xludf.DUMMYFUNCTION("""COMPUTED_VALUE"""),394.0)</f>
        <v>394</v>
      </c>
      <c r="B394" s="17" t="str">
        <f>IFERROR(__xludf.DUMMYFUNCTION("""COMPUTED_VALUE"""),"Jesse Winker (LF,RF,DH) FA")</f>
        <v>Jesse Winker (LF,RF,DH) FA</v>
      </c>
      <c r="C394" s="17">
        <f>IFERROR(__xludf.DUMMYFUNCTION("""COMPUTED_VALUE"""),106.0)</f>
        <v>106</v>
      </c>
      <c r="D394" s="17">
        <f>IFERROR(__xludf.DUMMYFUNCTION("""COMPUTED_VALUE"""),15.0)</f>
        <v>15</v>
      </c>
      <c r="E394" s="17">
        <f>IFERROR(__xludf.DUMMYFUNCTION("""COMPUTED_VALUE"""),3.0)</f>
        <v>3</v>
      </c>
      <c r="F394" s="17">
        <f>IFERROR(__xludf.DUMMYFUNCTION("""COMPUTED_VALUE"""),13.0)</f>
        <v>13</v>
      </c>
      <c r="G394" s="17">
        <f>IFERROR(__xludf.DUMMYFUNCTION("""COMPUTED_VALUE"""),2.0)</f>
        <v>2</v>
      </c>
      <c r="H394" s="17">
        <f>IFERROR(__xludf.DUMMYFUNCTION("""COMPUTED_VALUE"""),0.235)</f>
        <v>0.235</v>
      </c>
      <c r="I394" s="17">
        <f>IFERROR(__xludf.DUMMYFUNCTION("""COMPUTED_VALUE"""),0.351)</f>
        <v>0.351</v>
      </c>
      <c r="J394" s="17">
        <f>IFERROR(__xludf.DUMMYFUNCTION("""COMPUTED_VALUE"""),25.0)</f>
        <v>25</v>
      </c>
      <c r="K394" s="17">
        <f>IFERROR(__xludf.DUMMYFUNCTION("""COMPUTED_VALUE"""),5.0)</f>
        <v>5</v>
      </c>
      <c r="L394" s="17">
        <f>IFERROR(__xludf.DUMMYFUNCTION("""COMPUTED_VALUE"""),0.0)</f>
        <v>0</v>
      </c>
      <c r="M394" s="17">
        <f>IFERROR(__xludf.DUMMYFUNCTION("""COMPUTED_VALUE"""),17.0)</f>
        <v>17</v>
      </c>
      <c r="N394" s="17">
        <f>IFERROR(__xludf.DUMMYFUNCTION("""COMPUTED_VALUE"""),27.0)</f>
        <v>27</v>
      </c>
      <c r="O394" s="17">
        <f>IFERROR(__xludf.DUMMYFUNCTION("""COMPUTED_VALUE"""),0.376)</f>
        <v>0.376</v>
      </c>
      <c r="P394" s="17">
        <f>IFERROR(__xludf.DUMMYFUNCTION("""COMPUTED_VALUE"""),0.727)</f>
        <v>0.727</v>
      </c>
      <c r="Q394" s="34">
        <f>IFERROR(__xludf.DUMMYFUNCTION("""COMPUTED_VALUE"""),0.0)</f>
        <v>0</v>
      </c>
      <c r="R394" s="34">
        <f>IFERROR(__xludf.DUMMYFUNCTION("""COMPUTED_VALUE"""),0.0)</f>
        <v>0</v>
      </c>
      <c r="S394" s="34">
        <f>IFERROR(__xludf.DUMMYFUNCTION("""COMPUTED_VALUE"""),0.0)</f>
        <v>0</v>
      </c>
      <c r="T394" s="17" t="str">
        <f t="shared" si="1"/>
        <v>Jesse Winker</v>
      </c>
    </row>
    <row r="395">
      <c r="A395" s="17">
        <f>IFERROR(__xludf.DUMMYFUNCTION("""COMPUTED_VALUE"""),395.0)</f>
        <v>395</v>
      </c>
      <c r="B395" s="17" t="str">
        <f>IFERROR(__xludf.DUMMYFUNCTION("""COMPUTED_VALUE"""),"Alex Freeland (LAD - 2B,3B,SS)")</f>
        <v>Alex Freeland (LAD - 2B,3B,SS)</v>
      </c>
      <c r="C395" s="17">
        <f>IFERROR(__xludf.DUMMYFUNCTION("""COMPUTED_VALUE"""),119.0)</f>
        <v>119</v>
      </c>
      <c r="D395" s="17">
        <f>IFERROR(__xludf.DUMMYFUNCTION("""COMPUTED_VALUE"""),16.0)</f>
        <v>16</v>
      </c>
      <c r="E395" s="17">
        <f>IFERROR(__xludf.DUMMYFUNCTION("""COMPUTED_VALUE"""),3.0)</f>
        <v>3</v>
      </c>
      <c r="F395" s="17">
        <f>IFERROR(__xludf.DUMMYFUNCTION("""COMPUTED_VALUE"""),14.0)</f>
        <v>14</v>
      </c>
      <c r="G395" s="17">
        <f>IFERROR(__xludf.DUMMYFUNCTION("""COMPUTED_VALUE"""),3.0)</f>
        <v>3</v>
      </c>
      <c r="H395" s="17">
        <f>IFERROR(__xludf.DUMMYFUNCTION("""COMPUTED_VALUE"""),0.218)</f>
        <v>0.218</v>
      </c>
      <c r="I395" s="17">
        <f>IFERROR(__xludf.DUMMYFUNCTION("""COMPUTED_VALUE"""),0.31)</f>
        <v>0.31</v>
      </c>
      <c r="J395" s="17">
        <f>IFERROR(__xludf.DUMMYFUNCTION("""COMPUTED_VALUE"""),26.0)</f>
        <v>26</v>
      </c>
      <c r="K395" s="17">
        <f>IFERROR(__xludf.DUMMYFUNCTION("""COMPUTED_VALUE"""),6.0)</f>
        <v>6</v>
      </c>
      <c r="L395" s="17">
        <f>IFERROR(__xludf.DUMMYFUNCTION("""COMPUTED_VALUE"""),0.0)</f>
        <v>0</v>
      </c>
      <c r="M395" s="17">
        <f>IFERROR(__xludf.DUMMYFUNCTION("""COMPUTED_VALUE"""),15.0)</f>
        <v>15</v>
      </c>
      <c r="N395" s="17">
        <f>IFERROR(__xludf.DUMMYFUNCTION("""COMPUTED_VALUE"""),37.0)</f>
        <v>37</v>
      </c>
      <c r="O395" s="17">
        <f>IFERROR(__xludf.DUMMYFUNCTION("""COMPUTED_VALUE"""),0.351)</f>
        <v>0.351</v>
      </c>
      <c r="P395" s="17">
        <f>IFERROR(__xludf.DUMMYFUNCTION("""COMPUTED_VALUE"""),0.66)</f>
        <v>0.66</v>
      </c>
      <c r="Q395" s="34">
        <f>IFERROR(__xludf.DUMMYFUNCTION("""COMPUTED_VALUE"""),0.01)</f>
        <v>0.01</v>
      </c>
      <c r="R395" s="34">
        <f>IFERROR(__xludf.DUMMYFUNCTION("""COMPUTED_VALUE"""),0.01)</f>
        <v>0.01</v>
      </c>
      <c r="S395" s="34">
        <f>IFERROR(__xludf.DUMMYFUNCTION("""COMPUTED_VALUE"""),0.01)</f>
        <v>0.01</v>
      </c>
      <c r="T395" s="17" t="str">
        <f t="shared" si="1"/>
        <v>Alex Freeland</v>
      </c>
    </row>
    <row r="396">
      <c r="A396" s="17">
        <f>IFERROR(__xludf.DUMMYFUNCTION("""COMPUTED_VALUE"""),396.0)</f>
        <v>396</v>
      </c>
      <c r="B396" s="17" t="str">
        <f>IFERROR(__xludf.DUMMYFUNCTION("""COMPUTED_VALUE"""),"Alex Call (LAD - LF,CF,RF)")</f>
        <v>Alex Call (LAD - LF,CF,RF)</v>
      </c>
      <c r="C396" s="17">
        <f>IFERROR(__xludf.DUMMYFUNCTION("""COMPUTED_VALUE"""),101.0)</f>
        <v>101</v>
      </c>
      <c r="D396" s="17">
        <f>IFERROR(__xludf.DUMMYFUNCTION("""COMPUTED_VALUE"""),15.0)</f>
        <v>15</v>
      </c>
      <c r="E396" s="17">
        <f>IFERROR(__xludf.DUMMYFUNCTION("""COMPUTED_VALUE"""),3.0)</f>
        <v>3</v>
      </c>
      <c r="F396" s="17">
        <f>IFERROR(__xludf.DUMMYFUNCTION("""COMPUTED_VALUE"""),12.0)</f>
        <v>12</v>
      </c>
      <c r="G396" s="17">
        <f>IFERROR(__xludf.DUMMYFUNCTION("""COMPUTED_VALUE"""),2.0)</f>
        <v>2</v>
      </c>
      <c r="H396" s="17">
        <f>IFERROR(__xludf.DUMMYFUNCTION("""COMPUTED_VALUE"""),0.241)</f>
        <v>0.241</v>
      </c>
      <c r="I396" s="17">
        <f>IFERROR(__xludf.DUMMYFUNCTION("""COMPUTED_VALUE"""),0.342)</f>
        <v>0.342</v>
      </c>
      <c r="J396" s="17">
        <f>IFERROR(__xludf.DUMMYFUNCTION("""COMPUTED_VALUE"""),24.0)</f>
        <v>24</v>
      </c>
      <c r="K396" s="17">
        <f>IFERROR(__xludf.DUMMYFUNCTION("""COMPUTED_VALUE"""),5.0)</f>
        <v>5</v>
      </c>
      <c r="L396" s="17">
        <f>IFERROR(__xludf.DUMMYFUNCTION("""COMPUTED_VALUE"""),0.0)</f>
        <v>0</v>
      </c>
      <c r="M396" s="17">
        <f>IFERROR(__xludf.DUMMYFUNCTION("""COMPUTED_VALUE"""),15.0)</f>
        <v>15</v>
      </c>
      <c r="N396" s="17">
        <f>IFERROR(__xludf.DUMMYFUNCTION("""COMPUTED_VALUE"""),22.0)</f>
        <v>22</v>
      </c>
      <c r="O396" s="17">
        <f>IFERROR(__xludf.DUMMYFUNCTION("""COMPUTED_VALUE"""),0.38)</f>
        <v>0.38</v>
      </c>
      <c r="P396" s="17">
        <f>IFERROR(__xludf.DUMMYFUNCTION("""COMPUTED_VALUE"""),0.722)</f>
        <v>0.722</v>
      </c>
      <c r="Q396" s="34">
        <f>IFERROR(__xludf.DUMMYFUNCTION("""COMPUTED_VALUE"""),0.0)</f>
        <v>0</v>
      </c>
      <c r="R396" s="34">
        <f>IFERROR(__xludf.DUMMYFUNCTION("""COMPUTED_VALUE"""),0.0)</f>
        <v>0</v>
      </c>
      <c r="S396" s="34">
        <f>IFERROR(__xludf.DUMMYFUNCTION("""COMPUTED_VALUE"""),0.0)</f>
        <v>0</v>
      </c>
      <c r="T396" s="17" t="str">
        <f t="shared" si="1"/>
        <v>Alex Call</v>
      </c>
    </row>
    <row r="397">
      <c r="A397" s="17">
        <f>IFERROR(__xludf.DUMMYFUNCTION("""COMPUTED_VALUE"""),397.0)</f>
        <v>397</v>
      </c>
      <c r="B397" s="17" t="str">
        <f>IFERROR(__xludf.DUMMYFUNCTION("""COMPUTED_VALUE"""),"Randal Grichuk (NYY - LF,RF,DH) DFA")</f>
        <v>Randal Grichuk (NYY - LF,RF,DH) DFA</v>
      </c>
      <c r="C397" s="17">
        <f>IFERROR(__xludf.DUMMYFUNCTION("""COMPUTED_VALUE"""),111.0)</f>
        <v>111</v>
      </c>
      <c r="D397" s="17">
        <f>IFERROR(__xludf.DUMMYFUNCTION("""COMPUTED_VALUE"""),14.0)</f>
        <v>14</v>
      </c>
      <c r="E397" s="17">
        <f>IFERROR(__xludf.DUMMYFUNCTION("""COMPUTED_VALUE"""),4.0)</f>
        <v>4</v>
      </c>
      <c r="F397" s="17">
        <f>IFERROR(__xludf.DUMMYFUNCTION("""COMPUTED_VALUE"""),15.0)</f>
        <v>15</v>
      </c>
      <c r="G397" s="17">
        <f>IFERROR(__xludf.DUMMYFUNCTION("""COMPUTED_VALUE"""),0.0)</f>
        <v>0</v>
      </c>
      <c r="H397" s="17">
        <f>IFERROR(__xludf.DUMMYFUNCTION("""COMPUTED_VALUE"""),0.235)</f>
        <v>0.235</v>
      </c>
      <c r="I397" s="17">
        <f>IFERROR(__xludf.DUMMYFUNCTION("""COMPUTED_VALUE"""),0.288)</f>
        <v>0.288</v>
      </c>
      <c r="J397" s="17">
        <f>IFERROR(__xludf.DUMMYFUNCTION("""COMPUTED_VALUE"""),26.0)</f>
        <v>26</v>
      </c>
      <c r="K397" s="17">
        <f>IFERROR(__xludf.DUMMYFUNCTION("""COMPUTED_VALUE"""),6.0)</f>
        <v>6</v>
      </c>
      <c r="L397" s="17">
        <f>IFERROR(__xludf.DUMMYFUNCTION("""COMPUTED_VALUE"""),0.0)</f>
        <v>0</v>
      </c>
      <c r="M397" s="17">
        <f>IFERROR(__xludf.DUMMYFUNCTION("""COMPUTED_VALUE"""),8.0)</f>
        <v>8</v>
      </c>
      <c r="N397" s="17">
        <f>IFERROR(__xludf.DUMMYFUNCTION("""COMPUTED_VALUE"""),26.0)</f>
        <v>26</v>
      </c>
      <c r="O397" s="17">
        <f>IFERROR(__xludf.DUMMYFUNCTION("""COMPUTED_VALUE"""),0.406)</f>
        <v>0.406</v>
      </c>
      <c r="P397" s="17">
        <f>IFERROR(__xludf.DUMMYFUNCTION("""COMPUTED_VALUE"""),0.694)</f>
        <v>0.694</v>
      </c>
      <c r="Q397" s="34">
        <f>IFERROR(__xludf.DUMMYFUNCTION("""COMPUTED_VALUE"""),0.0)</f>
        <v>0</v>
      </c>
      <c r="R397" s="34">
        <f>IFERROR(__xludf.DUMMYFUNCTION("""COMPUTED_VALUE"""),0.0)</f>
        <v>0</v>
      </c>
      <c r="S397" s="34">
        <f>IFERROR(__xludf.DUMMYFUNCTION("""COMPUTED_VALUE"""),0.0)</f>
        <v>0</v>
      </c>
      <c r="T397" s="17" t="str">
        <f t="shared" si="1"/>
        <v>Randal Grichuk</v>
      </c>
    </row>
    <row r="398">
      <c r="A398" s="17">
        <f>IFERROR(__xludf.DUMMYFUNCTION("""COMPUTED_VALUE"""),398.0)</f>
        <v>398</v>
      </c>
      <c r="B398" s="17" t="str">
        <f>IFERROR(__xludf.DUMMYFUNCTION("""COMPUTED_VALUE"""),"Isiah Kiner-Falefa (BOS - 2B,3B,SS)")</f>
        <v>Isiah Kiner-Falefa (BOS - 2B,3B,SS)</v>
      </c>
      <c r="C398" s="17">
        <f>IFERROR(__xludf.DUMMYFUNCTION("""COMPUTED_VALUE"""),116.0)</f>
        <v>116</v>
      </c>
      <c r="D398" s="17">
        <f>IFERROR(__xludf.DUMMYFUNCTION("""COMPUTED_VALUE"""),13.0)</f>
        <v>13</v>
      </c>
      <c r="E398" s="17">
        <f>IFERROR(__xludf.DUMMYFUNCTION("""COMPUTED_VALUE"""),1.0)</f>
        <v>1</v>
      </c>
      <c r="F398" s="17">
        <f>IFERROR(__xludf.DUMMYFUNCTION("""COMPUTED_VALUE"""),11.0)</f>
        <v>11</v>
      </c>
      <c r="G398" s="17">
        <f>IFERROR(__xludf.DUMMYFUNCTION("""COMPUTED_VALUE"""),4.0)</f>
        <v>4</v>
      </c>
      <c r="H398" s="17">
        <f>IFERROR(__xludf.DUMMYFUNCTION("""COMPUTED_VALUE"""),0.259)</f>
        <v>0.259</v>
      </c>
      <c r="I398" s="17">
        <f>IFERROR(__xludf.DUMMYFUNCTION("""COMPUTED_VALUE"""),0.302)</f>
        <v>0.302</v>
      </c>
      <c r="J398" s="17">
        <f>IFERROR(__xludf.DUMMYFUNCTION("""COMPUTED_VALUE"""),30.0)</f>
        <v>30</v>
      </c>
      <c r="K398" s="17">
        <f>IFERROR(__xludf.DUMMYFUNCTION("""COMPUTED_VALUE"""),5.0)</f>
        <v>5</v>
      </c>
      <c r="L398" s="17">
        <f>IFERROR(__xludf.DUMMYFUNCTION("""COMPUTED_VALUE"""),1.0)</f>
        <v>1</v>
      </c>
      <c r="M398" s="17">
        <f>IFERROR(__xludf.DUMMYFUNCTION("""COMPUTED_VALUE"""),6.0)</f>
        <v>6</v>
      </c>
      <c r="N398" s="17">
        <f>IFERROR(__xludf.DUMMYFUNCTION("""COMPUTED_VALUE"""),21.0)</f>
        <v>21</v>
      </c>
      <c r="O398" s="17">
        <f>IFERROR(__xludf.DUMMYFUNCTION("""COMPUTED_VALUE"""),0.344)</f>
        <v>0.344</v>
      </c>
      <c r="P398" s="17">
        <f>IFERROR(__xludf.DUMMYFUNCTION("""COMPUTED_VALUE"""),0.646)</f>
        <v>0.646</v>
      </c>
      <c r="Q398" s="34">
        <f>IFERROR(__xludf.DUMMYFUNCTION("""COMPUTED_VALUE"""),0.01)</f>
        <v>0.01</v>
      </c>
      <c r="R398" s="34">
        <f>IFERROR(__xludf.DUMMYFUNCTION("""COMPUTED_VALUE"""),0.01)</f>
        <v>0.01</v>
      </c>
      <c r="S398" s="34">
        <f>IFERROR(__xludf.DUMMYFUNCTION("""COMPUTED_VALUE"""),0.0)</f>
        <v>0</v>
      </c>
      <c r="T398" s="17" t="str">
        <f t="shared" si="1"/>
        <v>Isiah Kiner-Falefa</v>
      </c>
    </row>
    <row r="399">
      <c r="A399" s="17">
        <f>IFERROR(__xludf.DUMMYFUNCTION("""COMPUTED_VALUE"""),399.0)</f>
        <v>399</v>
      </c>
      <c r="B399" s="17" t="str">
        <f>IFERROR(__xludf.DUMMYFUNCTION("""COMPUTED_VALUE"""),"Jorge Mateo (ATL - 2B,SS,CF)")</f>
        <v>Jorge Mateo (ATL - 2B,SS,CF)</v>
      </c>
      <c r="C399" s="17">
        <f>IFERROR(__xludf.DUMMYFUNCTION("""COMPUTED_VALUE"""),86.0)</f>
        <v>86</v>
      </c>
      <c r="D399" s="17">
        <f>IFERROR(__xludf.DUMMYFUNCTION("""COMPUTED_VALUE"""),12.0)</f>
        <v>12</v>
      </c>
      <c r="E399" s="17">
        <f>IFERROR(__xludf.DUMMYFUNCTION("""COMPUTED_VALUE"""),2.0)</f>
        <v>2</v>
      </c>
      <c r="F399" s="17">
        <f>IFERROR(__xludf.DUMMYFUNCTION("""COMPUTED_VALUE"""),9.0)</f>
        <v>9</v>
      </c>
      <c r="G399" s="17">
        <f>IFERROR(__xludf.DUMMYFUNCTION("""COMPUTED_VALUE"""),7.0)</f>
        <v>7</v>
      </c>
      <c r="H399" s="17">
        <f>IFERROR(__xludf.DUMMYFUNCTION("""COMPUTED_VALUE"""),0.226)</f>
        <v>0.226</v>
      </c>
      <c r="I399" s="17">
        <f>IFERROR(__xludf.DUMMYFUNCTION("""COMPUTED_VALUE"""),0.272)</f>
        <v>0.272</v>
      </c>
      <c r="J399" s="17">
        <f>IFERROR(__xludf.DUMMYFUNCTION("""COMPUTED_VALUE"""),20.0)</f>
        <v>20</v>
      </c>
      <c r="K399" s="17">
        <f>IFERROR(__xludf.DUMMYFUNCTION("""COMPUTED_VALUE"""),4.0)</f>
        <v>4</v>
      </c>
      <c r="L399" s="17">
        <f>IFERROR(__xludf.DUMMYFUNCTION("""COMPUTED_VALUE"""),1.0)</f>
        <v>1</v>
      </c>
      <c r="M399" s="17">
        <f>IFERROR(__xludf.DUMMYFUNCTION("""COMPUTED_VALUE"""),5.0)</f>
        <v>5</v>
      </c>
      <c r="N399" s="17">
        <f>IFERROR(__xludf.DUMMYFUNCTION("""COMPUTED_VALUE"""),25.0)</f>
        <v>25</v>
      </c>
      <c r="O399" s="17">
        <f>IFERROR(__xludf.DUMMYFUNCTION("""COMPUTED_VALUE"""),0.367)</f>
        <v>0.367</v>
      </c>
      <c r="P399" s="17">
        <f>IFERROR(__xludf.DUMMYFUNCTION("""COMPUTED_VALUE"""),0.639)</f>
        <v>0.639</v>
      </c>
      <c r="Q399" s="34">
        <f>IFERROR(__xludf.DUMMYFUNCTION("""COMPUTED_VALUE"""),0.0)</f>
        <v>0</v>
      </c>
      <c r="R399" s="34">
        <f>IFERROR(__xludf.DUMMYFUNCTION("""COMPUTED_VALUE"""),0.0)</f>
        <v>0</v>
      </c>
      <c r="S399" s="34">
        <f>IFERROR(__xludf.DUMMYFUNCTION("""COMPUTED_VALUE"""),0.0)</f>
        <v>0</v>
      </c>
      <c r="T399" s="17" t="str">
        <f t="shared" si="1"/>
        <v>Jorge Mateo</v>
      </c>
    </row>
    <row r="400">
      <c r="A400" s="17">
        <f>IFERROR(__xludf.DUMMYFUNCTION("""COMPUTED_VALUE"""),400.0)</f>
        <v>400</v>
      </c>
      <c r="B400" s="17" t="str">
        <f>IFERROR(__xludf.DUMMYFUNCTION("""COMPUTED_VALUE"""),"Charlie Condon (COL - 1B,OF) MiLB")</f>
        <v>Charlie Condon (COL - 1B,OF) MiLB</v>
      </c>
      <c r="C400" s="17">
        <f>IFERROR(__xludf.DUMMYFUNCTION("""COMPUTED_VALUE"""),107.0)</f>
        <v>107</v>
      </c>
      <c r="D400" s="17">
        <f>IFERROR(__xludf.DUMMYFUNCTION("""COMPUTED_VALUE"""),13.0)</f>
        <v>13</v>
      </c>
      <c r="E400" s="17">
        <f>IFERROR(__xludf.DUMMYFUNCTION("""COMPUTED_VALUE"""),3.0)</f>
        <v>3</v>
      </c>
      <c r="F400" s="17">
        <f>IFERROR(__xludf.DUMMYFUNCTION("""COMPUTED_VALUE"""),14.0)</f>
        <v>14</v>
      </c>
      <c r="G400" s="17">
        <f>IFERROR(__xludf.DUMMYFUNCTION("""COMPUTED_VALUE"""),1.0)</f>
        <v>1</v>
      </c>
      <c r="H400" s="17">
        <f>IFERROR(__xludf.DUMMYFUNCTION("""COMPUTED_VALUE"""),0.244)</f>
        <v>0.244</v>
      </c>
      <c r="I400" s="17">
        <f>IFERROR(__xludf.DUMMYFUNCTION("""COMPUTED_VALUE"""),0.318)</f>
        <v>0.318</v>
      </c>
      <c r="J400" s="17">
        <f>IFERROR(__xludf.DUMMYFUNCTION("""COMPUTED_VALUE"""),26.0)</f>
        <v>26</v>
      </c>
      <c r="K400" s="17">
        <f>IFERROR(__xludf.DUMMYFUNCTION("""COMPUTED_VALUE"""),5.0)</f>
        <v>5</v>
      </c>
      <c r="L400" s="17">
        <f>IFERROR(__xludf.DUMMYFUNCTION("""COMPUTED_VALUE"""),1.0)</f>
        <v>1</v>
      </c>
      <c r="M400" s="17">
        <f>IFERROR(__xludf.DUMMYFUNCTION("""COMPUTED_VALUE"""),10.0)</f>
        <v>10</v>
      </c>
      <c r="N400" s="17">
        <f>IFERROR(__xludf.DUMMYFUNCTION("""COMPUTED_VALUE"""),33.0)</f>
        <v>33</v>
      </c>
      <c r="O400" s="17">
        <f>IFERROR(__xludf.DUMMYFUNCTION("""COMPUTED_VALUE"""),0.397)</f>
        <v>0.397</v>
      </c>
      <c r="P400" s="17">
        <f>IFERROR(__xludf.DUMMYFUNCTION("""COMPUTED_VALUE"""),0.716)</f>
        <v>0.716</v>
      </c>
      <c r="Q400" s="34">
        <f>IFERROR(__xludf.DUMMYFUNCTION("""COMPUTED_VALUE"""),0.04)</f>
        <v>0.04</v>
      </c>
      <c r="R400" s="34">
        <f>IFERROR(__xludf.DUMMYFUNCTION("""COMPUTED_VALUE"""),0.07)</f>
        <v>0.07</v>
      </c>
      <c r="S400" s="34">
        <f>IFERROR(__xludf.DUMMYFUNCTION("""COMPUTED_VALUE"""),0.02)</f>
        <v>0.02</v>
      </c>
      <c r="T400" s="17" t="str">
        <f t="shared" si="1"/>
        <v>Charlie Condon</v>
      </c>
    </row>
    <row r="401">
      <c r="A401" s="17">
        <f>IFERROR(__xludf.DUMMYFUNCTION("""COMPUTED_VALUE"""),401.0)</f>
        <v>401</v>
      </c>
      <c r="B401" s="17" t="str">
        <f>IFERROR(__xludf.DUMMYFUNCTION("""COMPUTED_VALUE"""),"Derek Hill (CWS - LF,CF,RF)")</f>
        <v>Derek Hill (CWS - LF,CF,RF)</v>
      </c>
      <c r="C401" s="17">
        <f>IFERROR(__xludf.DUMMYFUNCTION("""COMPUTED_VALUE"""),103.0)</f>
        <v>103</v>
      </c>
      <c r="D401" s="17">
        <f>IFERROR(__xludf.DUMMYFUNCTION("""COMPUTED_VALUE"""),13.0)</f>
        <v>13</v>
      </c>
      <c r="E401" s="17">
        <f>IFERROR(__xludf.DUMMYFUNCTION("""COMPUTED_VALUE"""),3.0)</f>
        <v>3</v>
      </c>
      <c r="F401" s="17">
        <f>IFERROR(__xludf.DUMMYFUNCTION("""COMPUTED_VALUE"""),11.0)</f>
        <v>11</v>
      </c>
      <c r="G401" s="17">
        <f>IFERROR(__xludf.DUMMYFUNCTION("""COMPUTED_VALUE"""),4.0)</f>
        <v>4</v>
      </c>
      <c r="H401" s="17">
        <f>IFERROR(__xludf.DUMMYFUNCTION("""COMPUTED_VALUE"""),0.236)</f>
        <v>0.236</v>
      </c>
      <c r="I401" s="17">
        <f>IFERROR(__xludf.DUMMYFUNCTION("""COMPUTED_VALUE"""),0.29)</f>
        <v>0.29</v>
      </c>
      <c r="J401" s="17">
        <f>IFERROR(__xludf.DUMMYFUNCTION("""COMPUTED_VALUE"""),24.0)</f>
        <v>24</v>
      </c>
      <c r="K401" s="17">
        <f>IFERROR(__xludf.DUMMYFUNCTION("""COMPUTED_VALUE"""),4.0)</f>
        <v>4</v>
      </c>
      <c r="L401" s="17">
        <f>IFERROR(__xludf.DUMMYFUNCTION("""COMPUTED_VALUE"""),1.0)</f>
        <v>1</v>
      </c>
      <c r="M401" s="17">
        <f>IFERROR(__xludf.DUMMYFUNCTION("""COMPUTED_VALUE"""),7.0)</f>
        <v>7</v>
      </c>
      <c r="N401" s="17">
        <f>IFERROR(__xludf.DUMMYFUNCTION("""COMPUTED_VALUE"""),33.0)</f>
        <v>33</v>
      </c>
      <c r="O401" s="17">
        <f>IFERROR(__xludf.DUMMYFUNCTION("""COMPUTED_VALUE"""),0.375)</f>
        <v>0.375</v>
      </c>
      <c r="P401" s="17">
        <f>IFERROR(__xludf.DUMMYFUNCTION("""COMPUTED_VALUE"""),0.665)</f>
        <v>0.665</v>
      </c>
      <c r="Q401" s="34">
        <f>IFERROR(__xludf.DUMMYFUNCTION("""COMPUTED_VALUE"""),0.0)</f>
        <v>0</v>
      </c>
      <c r="R401" s="34">
        <f>IFERROR(__xludf.DUMMYFUNCTION("""COMPUTED_VALUE"""),0.0)</f>
        <v>0</v>
      </c>
      <c r="S401" s="34">
        <f>IFERROR(__xludf.DUMMYFUNCTION("""COMPUTED_VALUE"""),0.0)</f>
        <v>0</v>
      </c>
      <c r="T401" s="17" t="str">
        <f t="shared" si="1"/>
        <v>Derek Hill</v>
      </c>
    </row>
    <row r="402">
      <c r="A402" s="17">
        <f>IFERROR(__xludf.DUMMYFUNCTION("""COMPUTED_VALUE"""),402.0)</f>
        <v>402</v>
      </c>
      <c r="B402" s="17" t="str">
        <f>IFERROR(__xludf.DUMMYFUNCTION("""COMPUTED_VALUE"""),"Jerar Encarnacion (SF - RF)")</f>
        <v>Jerar Encarnacion (SF - RF)</v>
      </c>
      <c r="C402" s="17">
        <f>IFERROR(__xludf.DUMMYFUNCTION("""COMPUTED_VALUE"""),102.0)</f>
        <v>102</v>
      </c>
      <c r="D402" s="17">
        <f>IFERROR(__xludf.DUMMYFUNCTION("""COMPUTED_VALUE"""),12.0)</f>
        <v>12</v>
      </c>
      <c r="E402" s="17">
        <f>IFERROR(__xludf.DUMMYFUNCTION("""COMPUTED_VALUE"""),4.0)</f>
        <v>4</v>
      </c>
      <c r="F402" s="17">
        <f>IFERROR(__xludf.DUMMYFUNCTION("""COMPUTED_VALUE"""),14.0)</f>
        <v>14</v>
      </c>
      <c r="G402" s="17">
        <f>IFERROR(__xludf.DUMMYFUNCTION("""COMPUTED_VALUE"""),1.0)</f>
        <v>1</v>
      </c>
      <c r="H402" s="17">
        <f>IFERROR(__xludf.DUMMYFUNCTION("""COMPUTED_VALUE"""),0.234)</f>
        <v>0.234</v>
      </c>
      <c r="I402" s="17">
        <f>IFERROR(__xludf.DUMMYFUNCTION("""COMPUTED_VALUE"""),0.295)</f>
        <v>0.295</v>
      </c>
      <c r="J402" s="17">
        <f>IFERROR(__xludf.DUMMYFUNCTION("""COMPUTED_VALUE"""),24.0)</f>
        <v>24</v>
      </c>
      <c r="K402" s="17">
        <f>IFERROR(__xludf.DUMMYFUNCTION("""COMPUTED_VALUE"""),4.0)</f>
        <v>4</v>
      </c>
      <c r="L402" s="17">
        <f>IFERROR(__xludf.DUMMYFUNCTION("""COMPUTED_VALUE"""),0.0)</f>
        <v>0</v>
      </c>
      <c r="M402" s="17">
        <f>IFERROR(__xludf.DUMMYFUNCTION("""COMPUTED_VALUE"""),8.0)</f>
        <v>8</v>
      </c>
      <c r="N402" s="17">
        <f>IFERROR(__xludf.DUMMYFUNCTION("""COMPUTED_VALUE"""),34.0)</f>
        <v>34</v>
      </c>
      <c r="O402" s="17">
        <f>IFERROR(__xludf.DUMMYFUNCTION("""COMPUTED_VALUE"""),0.386)</f>
        <v>0.386</v>
      </c>
      <c r="P402" s="17">
        <f>IFERROR(__xludf.DUMMYFUNCTION("""COMPUTED_VALUE"""),0.68)</f>
        <v>0.68</v>
      </c>
      <c r="Q402" s="34">
        <f>IFERROR(__xludf.DUMMYFUNCTION("""COMPUTED_VALUE"""),0.0)</f>
        <v>0</v>
      </c>
      <c r="R402" s="34">
        <f>IFERROR(__xludf.DUMMYFUNCTION("""COMPUTED_VALUE"""),0.0)</f>
        <v>0</v>
      </c>
      <c r="S402" s="34">
        <f>IFERROR(__xludf.DUMMYFUNCTION("""COMPUTED_VALUE"""),0.0)</f>
        <v>0</v>
      </c>
      <c r="T402" s="17" t="str">
        <f t="shared" si="1"/>
        <v>Jerar Encarnacion</v>
      </c>
    </row>
    <row r="403">
      <c r="A403" s="17">
        <f>IFERROR(__xludf.DUMMYFUNCTION("""COMPUTED_VALUE"""),403.0)</f>
        <v>403</v>
      </c>
      <c r="B403" s="17" t="str">
        <f>IFERROR(__xludf.DUMMYFUNCTION("""COMPUTED_VALUE"""),"Will Brennan (SF - LF,CF,RF)")</f>
        <v>Will Brennan (SF - LF,CF,RF)</v>
      </c>
      <c r="C403" s="17">
        <f>IFERROR(__xludf.DUMMYFUNCTION("""COMPUTED_VALUE"""),112.0)</f>
        <v>112</v>
      </c>
      <c r="D403" s="17">
        <f>IFERROR(__xludf.DUMMYFUNCTION("""COMPUTED_VALUE"""),12.0)</f>
        <v>12</v>
      </c>
      <c r="E403" s="17">
        <f>IFERROR(__xludf.DUMMYFUNCTION("""COMPUTED_VALUE"""),2.0)</f>
        <v>2</v>
      </c>
      <c r="F403" s="17">
        <f>IFERROR(__xludf.DUMMYFUNCTION("""COMPUTED_VALUE"""),12.0)</f>
        <v>12</v>
      </c>
      <c r="G403" s="17">
        <f>IFERROR(__xludf.DUMMYFUNCTION("""COMPUTED_VALUE"""),2.0)</f>
        <v>2</v>
      </c>
      <c r="H403" s="17">
        <f>IFERROR(__xludf.DUMMYFUNCTION("""COMPUTED_VALUE"""),0.262)</f>
        <v>0.262</v>
      </c>
      <c r="I403" s="17">
        <f>IFERROR(__xludf.DUMMYFUNCTION("""COMPUTED_VALUE"""),0.305)</f>
        <v>0.305</v>
      </c>
      <c r="J403" s="17">
        <f>IFERROR(__xludf.DUMMYFUNCTION("""COMPUTED_VALUE"""),29.0)</f>
        <v>29</v>
      </c>
      <c r="K403" s="17">
        <f>IFERROR(__xludf.DUMMYFUNCTION("""COMPUTED_VALUE"""),6.0)</f>
        <v>6</v>
      </c>
      <c r="L403" s="17">
        <f>IFERROR(__xludf.DUMMYFUNCTION("""COMPUTED_VALUE"""),1.0)</f>
        <v>1</v>
      </c>
      <c r="M403" s="17">
        <f>IFERROR(__xludf.DUMMYFUNCTION("""COMPUTED_VALUE"""),6.0)</f>
        <v>6</v>
      </c>
      <c r="N403" s="17">
        <f>IFERROR(__xludf.DUMMYFUNCTION("""COMPUTED_VALUE"""),16.0)</f>
        <v>16</v>
      </c>
      <c r="O403" s="17">
        <f>IFERROR(__xludf.DUMMYFUNCTION("""COMPUTED_VALUE"""),0.373)</f>
        <v>0.373</v>
      </c>
      <c r="P403" s="17">
        <f>IFERROR(__xludf.DUMMYFUNCTION("""COMPUTED_VALUE"""),0.678)</f>
        <v>0.678</v>
      </c>
      <c r="Q403" s="34">
        <f>IFERROR(__xludf.DUMMYFUNCTION("""COMPUTED_VALUE"""),0.0)</f>
        <v>0</v>
      </c>
      <c r="R403" s="34">
        <f>IFERROR(__xludf.DUMMYFUNCTION("""COMPUTED_VALUE"""),0.0)</f>
        <v>0</v>
      </c>
      <c r="S403" s="34">
        <f>IFERROR(__xludf.DUMMYFUNCTION("""COMPUTED_VALUE"""),0.0)</f>
        <v>0</v>
      </c>
      <c r="T403" s="17" t="str">
        <f t="shared" si="1"/>
        <v>Will Brennan</v>
      </c>
    </row>
    <row r="404">
      <c r="A404" s="17">
        <f>IFERROR(__xludf.DUMMYFUNCTION("""COMPUTED_VALUE"""),404.0)</f>
        <v>404</v>
      </c>
      <c r="B404" s="17" t="str">
        <f>IFERROR(__xludf.DUMMYFUNCTION("""COMPUTED_VALUE"""),"Cody Freeman (TEX - 2B) IL10")</f>
        <v>Cody Freeman (TEX - 2B) IL10</v>
      </c>
      <c r="C404" s="17">
        <f>IFERROR(__xludf.DUMMYFUNCTION("""COMPUTED_VALUE"""),114.0)</f>
        <v>114</v>
      </c>
      <c r="D404" s="17">
        <f>IFERROR(__xludf.DUMMYFUNCTION("""COMPUTED_VALUE"""),13.0)</f>
        <v>13</v>
      </c>
      <c r="E404" s="17">
        <f>IFERROR(__xludf.DUMMYFUNCTION("""COMPUTED_VALUE"""),3.0)</f>
        <v>3</v>
      </c>
      <c r="F404" s="17">
        <f>IFERROR(__xludf.DUMMYFUNCTION("""COMPUTED_VALUE"""),13.0)</f>
        <v>13</v>
      </c>
      <c r="G404" s="17">
        <f>IFERROR(__xludf.DUMMYFUNCTION("""COMPUTED_VALUE"""),1.0)</f>
        <v>1</v>
      </c>
      <c r="H404" s="17">
        <f>IFERROR(__xludf.DUMMYFUNCTION("""COMPUTED_VALUE"""),0.241)</f>
        <v>0.241</v>
      </c>
      <c r="I404" s="17">
        <f>IFERROR(__xludf.DUMMYFUNCTION("""COMPUTED_VALUE"""),0.288)</f>
        <v>0.288</v>
      </c>
      <c r="J404" s="17">
        <f>IFERROR(__xludf.DUMMYFUNCTION("""COMPUTED_VALUE"""),28.0)</f>
        <v>28</v>
      </c>
      <c r="K404" s="17">
        <f>IFERROR(__xludf.DUMMYFUNCTION("""COMPUTED_VALUE"""),6.0)</f>
        <v>6</v>
      </c>
      <c r="L404" s="17">
        <f>IFERROR(__xludf.DUMMYFUNCTION("""COMPUTED_VALUE"""),0.0)</f>
        <v>0</v>
      </c>
      <c r="M404" s="17">
        <f>IFERROR(__xludf.DUMMYFUNCTION("""COMPUTED_VALUE"""),7.0)</f>
        <v>7</v>
      </c>
      <c r="N404" s="17">
        <f>IFERROR(__xludf.DUMMYFUNCTION("""COMPUTED_VALUE"""),19.0)</f>
        <v>19</v>
      </c>
      <c r="O404" s="17">
        <f>IFERROR(__xludf.DUMMYFUNCTION("""COMPUTED_VALUE"""),0.37)</f>
        <v>0.37</v>
      </c>
      <c r="P404" s="17">
        <f>IFERROR(__xludf.DUMMYFUNCTION("""COMPUTED_VALUE"""),0.658)</f>
        <v>0.658</v>
      </c>
      <c r="Q404" s="34">
        <f>IFERROR(__xludf.DUMMYFUNCTION("""COMPUTED_VALUE"""),0.0)</f>
        <v>0</v>
      </c>
      <c r="R404" s="34">
        <f>IFERROR(__xludf.DUMMYFUNCTION("""COMPUTED_VALUE"""),0.0)</f>
        <v>0</v>
      </c>
      <c r="S404" s="34">
        <f>IFERROR(__xludf.DUMMYFUNCTION("""COMPUTED_VALUE"""),0.0)</f>
        <v>0</v>
      </c>
      <c r="T404" s="17" t="str">
        <f t="shared" si="1"/>
        <v>Cody Freeman</v>
      </c>
    </row>
    <row r="405">
      <c r="A405" s="17">
        <f>IFERROR(__xludf.DUMMYFUNCTION("""COMPUTED_VALUE"""),405.0)</f>
        <v>405</v>
      </c>
      <c r="B405" s="17" t="str">
        <f>IFERROR(__xludf.DUMMYFUNCTION("""COMPUTED_VALUE"""),"Blake Perkins (MIL - LF,CF,RF)")</f>
        <v>Blake Perkins (MIL - LF,CF,RF)</v>
      </c>
      <c r="C405" s="17">
        <f>IFERROR(__xludf.DUMMYFUNCTION("""COMPUTED_VALUE"""),118.0)</f>
        <v>118</v>
      </c>
      <c r="D405" s="17">
        <f>IFERROR(__xludf.DUMMYFUNCTION("""COMPUTED_VALUE"""),15.0)</f>
        <v>15</v>
      </c>
      <c r="E405" s="17">
        <f>IFERROR(__xludf.DUMMYFUNCTION("""COMPUTED_VALUE"""),2.0)</f>
        <v>2</v>
      </c>
      <c r="F405" s="17">
        <f>IFERROR(__xludf.DUMMYFUNCTION("""COMPUTED_VALUE"""),13.0)</f>
        <v>13</v>
      </c>
      <c r="G405" s="17">
        <f>IFERROR(__xludf.DUMMYFUNCTION("""COMPUTED_VALUE"""),4.0)</f>
        <v>4</v>
      </c>
      <c r="H405" s="17">
        <f>IFERROR(__xludf.DUMMYFUNCTION("""COMPUTED_VALUE"""),0.223)</f>
        <v>0.223</v>
      </c>
      <c r="I405" s="17">
        <f>IFERROR(__xludf.DUMMYFUNCTION("""COMPUTED_VALUE"""),0.308)</f>
        <v>0.308</v>
      </c>
      <c r="J405" s="17">
        <f>IFERROR(__xludf.DUMMYFUNCTION("""COMPUTED_VALUE"""),26.0)</f>
        <v>26</v>
      </c>
      <c r="K405" s="17">
        <f>IFERROR(__xludf.DUMMYFUNCTION("""COMPUTED_VALUE"""),5.0)</f>
        <v>5</v>
      </c>
      <c r="L405" s="17">
        <f>IFERROR(__xludf.DUMMYFUNCTION("""COMPUTED_VALUE"""),1.0)</f>
        <v>1</v>
      </c>
      <c r="M405" s="17">
        <f>IFERROR(__xludf.DUMMYFUNCTION("""COMPUTED_VALUE"""),14.0)</f>
        <v>14</v>
      </c>
      <c r="N405" s="17">
        <f>IFERROR(__xludf.DUMMYFUNCTION("""COMPUTED_VALUE"""),36.0)</f>
        <v>36</v>
      </c>
      <c r="O405" s="17">
        <f>IFERROR(__xludf.DUMMYFUNCTION("""COMPUTED_VALUE"""),0.339)</f>
        <v>0.339</v>
      </c>
      <c r="P405" s="17">
        <f>IFERROR(__xludf.DUMMYFUNCTION("""COMPUTED_VALUE"""),0.647)</f>
        <v>0.647</v>
      </c>
      <c r="Q405" s="34">
        <f>IFERROR(__xludf.DUMMYFUNCTION("""COMPUTED_VALUE"""),0.0)</f>
        <v>0</v>
      </c>
      <c r="R405" s="34">
        <f>IFERROR(__xludf.DUMMYFUNCTION("""COMPUTED_VALUE"""),0.0)</f>
        <v>0</v>
      </c>
      <c r="S405" s="34">
        <f>IFERROR(__xludf.DUMMYFUNCTION("""COMPUTED_VALUE"""),0.0)</f>
        <v>0</v>
      </c>
      <c r="T405" s="17" t="str">
        <f t="shared" si="1"/>
        <v>Blake Perkins</v>
      </c>
    </row>
    <row r="406">
      <c r="A406" s="17">
        <f>IFERROR(__xludf.DUMMYFUNCTION("""COMPUTED_VALUE"""),406.0)</f>
        <v>406</v>
      </c>
      <c r="B406" s="17" t="str">
        <f>IFERROR(__xludf.DUMMYFUNCTION("""COMPUTED_VALUE"""),"Nick Loftin (KC - 2B,3B,LF)")</f>
        <v>Nick Loftin (KC - 2B,3B,LF)</v>
      </c>
      <c r="C406" s="17">
        <f>IFERROR(__xludf.DUMMYFUNCTION("""COMPUTED_VALUE"""),107.0)</f>
        <v>107</v>
      </c>
      <c r="D406" s="17">
        <f>IFERROR(__xludf.DUMMYFUNCTION("""COMPUTED_VALUE"""),14.0)</f>
        <v>14</v>
      </c>
      <c r="E406" s="17">
        <f>IFERROR(__xludf.DUMMYFUNCTION("""COMPUTED_VALUE"""),2.0)</f>
        <v>2</v>
      </c>
      <c r="F406" s="17">
        <f>IFERROR(__xludf.DUMMYFUNCTION("""COMPUTED_VALUE"""),12.0)</f>
        <v>12</v>
      </c>
      <c r="G406" s="17">
        <f>IFERROR(__xludf.DUMMYFUNCTION("""COMPUTED_VALUE"""),2.0)</f>
        <v>2</v>
      </c>
      <c r="H406" s="17">
        <f>IFERROR(__xludf.DUMMYFUNCTION("""COMPUTED_VALUE"""),0.242)</f>
        <v>0.242</v>
      </c>
      <c r="I406" s="17">
        <f>IFERROR(__xludf.DUMMYFUNCTION("""COMPUTED_VALUE"""),0.323)</f>
        <v>0.323</v>
      </c>
      <c r="J406" s="17">
        <f>IFERROR(__xludf.DUMMYFUNCTION("""COMPUTED_VALUE"""),26.0)</f>
        <v>26</v>
      </c>
      <c r="K406" s="17">
        <f>IFERROR(__xludf.DUMMYFUNCTION("""COMPUTED_VALUE"""),5.0)</f>
        <v>5</v>
      </c>
      <c r="L406" s="17">
        <f>IFERROR(__xludf.DUMMYFUNCTION("""COMPUTED_VALUE"""),0.0)</f>
        <v>0</v>
      </c>
      <c r="M406" s="17">
        <f>IFERROR(__xludf.DUMMYFUNCTION("""COMPUTED_VALUE"""),12.0)</f>
        <v>12</v>
      </c>
      <c r="N406" s="17">
        <f>IFERROR(__xludf.DUMMYFUNCTION("""COMPUTED_VALUE"""),19.0)</f>
        <v>19</v>
      </c>
      <c r="O406" s="17">
        <f>IFERROR(__xludf.DUMMYFUNCTION("""COMPUTED_VALUE"""),0.367)</f>
        <v>0.367</v>
      </c>
      <c r="P406" s="17">
        <f>IFERROR(__xludf.DUMMYFUNCTION("""COMPUTED_VALUE"""),0.69)</f>
        <v>0.69</v>
      </c>
      <c r="Q406" s="34">
        <f>IFERROR(__xludf.DUMMYFUNCTION("""COMPUTED_VALUE"""),0.0)</f>
        <v>0</v>
      </c>
      <c r="R406" s="34">
        <f>IFERROR(__xludf.DUMMYFUNCTION("""COMPUTED_VALUE"""),0.0)</f>
        <v>0</v>
      </c>
      <c r="S406" s="34">
        <f>IFERROR(__xludf.DUMMYFUNCTION("""COMPUTED_VALUE"""),0.0)</f>
        <v>0</v>
      </c>
      <c r="T406" s="17" t="str">
        <f t="shared" si="1"/>
        <v>Nick Loftin</v>
      </c>
    </row>
    <row r="407">
      <c r="A407" s="17">
        <f>IFERROR(__xludf.DUMMYFUNCTION("""COMPUTED_VALUE"""),407.0)</f>
        <v>407</v>
      </c>
      <c r="B407" s="17" t="str">
        <f>IFERROR(__xludf.DUMMYFUNCTION("""COMPUTED_VALUE"""),"Andres Chaparro (WSH - 1B) MiLB")</f>
        <v>Andres Chaparro (WSH - 1B) MiLB</v>
      </c>
      <c r="C407" s="17">
        <f>IFERROR(__xludf.DUMMYFUNCTION("""COMPUTED_VALUE"""),101.0)</f>
        <v>101</v>
      </c>
      <c r="D407" s="17">
        <f>IFERROR(__xludf.DUMMYFUNCTION("""COMPUTED_VALUE"""),12.0)</f>
        <v>12</v>
      </c>
      <c r="E407" s="17">
        <f>IFERROR(__xludf.DUMMYFUNCTION("""COMPUTED_VALUE"""),4.0)</f>
        <v>4</v>
      </c>
      <c r="F407" s="17">
        <f>IFERROR(__xludf.DUMMYFUNCTION("""COMPUTED_VALUE"""),14.0)</f>
        <v>14</v>
      </c>
      <c r="G407" s="17">
        <f>IFERROR(__xludf.DUMMYFUNCTION("""COMPUTED_VALUE"""),1.0)</f>
        <v>1</v>
      </c>
      <c r="H407" s="17">
        <f>IFERROR(__xludf.DUMMYFUNCTION("""COMPUTED_VALUE"""),0.232)</f>
        <v>0.232</v>
      </c>
      <c r="I407" s="17">
        <f>IFERROR(__xludf.DUMMYFUNCTION("""COMPUTED_VALUE"""),0.3)</f>
        <v>0.3</v>
      </c>
      <c r="J407" s="17">
        <f>IFERROR(__xludf.DUMMYFUNCTION("""COMPUTED_VALUE"""),23.0)</f>
        <v>23</v>
      </c>
      <c r="K407" s="17">
        <f>IFERROR(__xludf.DUMMYFUNCTION("""COMPUTED_VALUE"""),5.0)</f>
        <v>5</v>
      </c>
      <c r="L407" s="17">
        <f>IFERROR(__xludf.DUMMYFUNCTION("""COMPUTED_VALUE"""),0.0)</f>
        <v>0</v>
      </c>
      <c r="M407" s="17">
        <f>IFERROR(__xludf.DUMMYFUNCTION("""COMPUTED_VALUE"""),9.0)</f>
        <v>9</v>
      </c>
      <c r="N407" s="17">
        <f>IFERROR(__xludf.DUMMYFUNCTION("""COMPUTED_VALUE"""),27.0)</f>
        <v>27</v>
      </c>
      <c r="O407" s="17">
        <f>IFERROR(__xludf.DUMMYFUNCTION("""COMPUTED_VALUE"""),0.397)</f>
        <v>0.397</v>
      </c>
      <c r="P407" s="17">
        <f>IFERROR(__xludf.DUMMYFUNCTION("""COMPUTED_VALUE"""),0.697)</f>
        <v>0.697</v>
      </c>
      <c r="Q407" s="34">
        <f>IFERROR(__xludf.DUMMYFUNCTION("""COMPUTED_VALUE"""),0.0)</f>
        <v>0</v>
      </c>
      <c r="R407" s="34">
        <f>IFERROR(__xludf.DUMMYFUNCTION("""COMPUTED_VALUE"""),0.0)</f>
        <v>0</v>
      </c>
      <c r="S407" s="34">
        <f>IFERROR(__xludf.DUMMYFUNCTION("""COMPUTED_VALUE"""),0.0)</f>
        <v>0</v>
      </c>
      <c r="T407" s="17" t="str">
        <f t="shared" si="1"/>
        <v>Andres Chaparro</v>
      </c>
    </row>
    <row r="408">
      <c r="A408" s="17">
        <f>IFERROR(__xludf.DUMMYFUNCTION("""COMPUTED_VALUE"""),408.0)</f>
        <v>408</v>
      </c>
      <c r="B408" s="17" t="str">
        <f>IFERROR(__xludf.DUMMYFUNCTION("""COMPUTED_VALUE"""),"Jake Rogers (DET - C)")</f>
        <v>Jake Rogers (DET - C)</v>
      </c>
      <c r="C408" s="17">
        <f>IFERROR(__xludf.DUMMYFUNCTION("""COMPUTED_VALUE"""),119.0)</f>
        <v>119</v>
      </c>
      <c r="D408" s="17">
        <f>IFERROR(__xludf.DUMMYFUNCTION("""COMPUTED_VALUE"""),15.0)</f>
        <v>15</v>
      </c>
      <c r="E408" s="17">
        <f>IFERROR(__xludf.DUMMYFUNCTION("""COMPUTED_VALUE"""),4.0)</f>
        <v>4</v>
      </c>
      <c r="F408" s="17">
        <f>IFERROR(__xludf.DUMMYFUNCTION("""COMPUTED_VALUE"""),15.0)</f>
        <v>15</v>
      </c>
      <c r="G408" s="17">
        <f>IFERROR(__xludf.DUMMYFUNCTION("""COMPUTED_VALUE"""),1.0)</f>
        <v>1</v>
      </c>
      <c r="H408" s="17">
        <f>IFERROR(__xludf.DUMMYFUNCTION("""COMPUTED_VALUE"""),0.208)</f>
        <v>0.208</v>
      </c>
      <c r="I408" s="17">
        <f>IFERROR(__xludf.DUMMYFUNCTION("""COMPUTED_VALUE"""),0.28)</f>
        <v>0.28</v>
      </c>
      <c r="J408" s="17">
        <f>IFERROR(__xludf.DUMMYFUNCTION("""COMPUTED_VALUE"""),25.0)</f>
        <v>25</v>
      </c>
      <c r="K408" s="17">
        <f>IFERROR(__xludf.DUMMYFUNCTION("""COMPUTED_VALUE"""),5.0)</f>
        <v>5</v>
      </c>
      <c r="L408" s="17">
        <f>IFERROR(__xludf.DUMMYFUNCTION("""COMPUTED_VALUE"""),0.0)</f>
        <v>0</v>
      </c>
      <c r="M408" s="17">
        <f>IFERROR(__xludf.DUMMYFUNCTION("""COMPUTED_VALUE"""),11.0)</f>
        <v>11</v>
      </c>
      <c r="N408" s="17">
        <f>IFERROR(__xludf.DUMMYFUNCTION("""COMPUTED_VALUE"""),39.0)</f>
        <v>39</v>
      </c>
      <c r="O408" s="17">
        <f>IFERROR(__xludf.DUMMYFUNCTION("""COMPUTED_VALUE"""),0.362)</f>
        <v>0.362</v>
      </c>
      <c r="P408" s="17">
        <f>IFERROR(__xludf.DUMMYFUNCTION("""COMPUTED_VALUE"""),0.641)</f>
        <v>0.641</v>
      </c>
      <c r="Q408" s="34">
        <f>IFERROR(__xludf.DUMMYFUNCTION("""COMPUTED_VALUE"""),0.0)</f>
        <v>0</v>
      </c>
      <c r="R408" s="34">
        <f>IFERROR(__xludf.DUMMYFUNCTION("""COMPUTED_VALUE"""),0.0)</f>
        <v>0</v>
      </c>
      <c r="S408" s="34">
        <f>IFERROR(__xludf.DUMMYFUNCTION("""COMPUTED_VALUE"""),0.0)</f>
        <v>0</v>
      </c>
      <c r="T408" s="17" t="str">
        <f t="shared" si="1"/>
        <v>Jake Rogers</v>
      </c>
    </row>
    <row r="409">
      <c r="A409" s="17">
        <f>IFERROR(__xludf.DUMMYFUNCTION("""COMPUTED_VALUE"""),409.0)</f>
        <v>409</v>
      </c>
      <c r="B409" s="17" t="str">
        <f>IFERROR(__xludf.DUMMYFUNCTION("""COMPUTED_VALUE"""),"David Fry (CLE - RF,DH)")</f>
        <v>David Fry (CLE - RF,DH)</v>
      </c>
      <c r="C409" s="17">
        <f>IFERROR(__xludf.DUMMYFUNCTION("""COMPUTED_VALUE"""),104.0)</f>
        <v>104</v>
      </c>
      <c r="D409" s="17">
        <f>IFERROR(__xludf.DUMMYFUNCTION("""COMPUTED_VALUE"""),13.0)</f>
        <v>13</v>
      </c>
      <c r="E409" s="17">
        <f>IFERROR(__xludf.DUMMYFUNCTION("""COMPUTED_VALUE"""),4.0)</f>
        <v>4</v>
      </c>
      <c r="F409" s="17">
        <f>IFERROR(__xludf.DUMMYFUNCTION("""COMPUTED_VALUE"""),14.0)</f>
        <v>14</v>
      </c>
      <c r="G409" s="17">
        <f>IFERROR(__xludf.DUMMYFUNCTION("""COMPUTED_VALUE"""),1.0)</f>
        <v>1</v>
      </c>
      <c r="H409" s="17">
        <f>IFERROR(__xludf.DUMMYFUNCTION("""COMPUTED_VALUE"""),0.217)</f>
        <v>0.217</v>
      </c>
      <c r="I409" s="17">
        <f>IFERROR(__xludf.DUMMYFUNCTION("""COMPUTED_VALUE"""),0.299)</f>
        <v>0.299</v>
      </c>
      <c r="J409" s="17">
        <f>IFERROR(__xludf.DUMMYFUNCTION("""COMPUTED_VALUE"""),23.0)</f>
        <v>23</v>
      </c>
      <c r="K409" s="17">
        <f>IFERROR(__xludf.DUMMYFUNCTION("""COMPUTED_VALUE"""),5.0)</f>
        <v>5</v>
      </c>
      <c r="L409" s="17">
        <f>IFERROR(__xludf.DUMMYFUNCTION("""COMPUTED_VALUE"""),0.0)</f>
        <v>0</v>
      </c>
      <c r="M409" s="17">
        <f>IFERROR(__xludf.DUMMYFUNCTION("""COMPUTED_VALUE"""),11.0)</f>
        <v>11</v>
      </c>
      <c r="N409" s="17">
        <f>IFERROR(__xludf.DUMMYFUNCTION("""COMPUTED_VALUE"""),32.0)</f>
        <v>32</v>
      </c>
      <c r="O409" s="17">
        <f>IFERROR(__xludf.DUMMYFUNCTION("""COMPUTED_VALUE"""),0.373)</f>
        <v>0.373</v>
      </c>
      <c r="P409" s="17">
        <f>IFERROR(__xludf.DUMMYFUNCTION("""COMPUTED_VALUE"""),0.672)</f>
        <v>0.672</v>
      </c>
      <c r="Q409" s="34">
        <f>IFERROR(__xludf.DUMMYFUNCTION("""COMPUTED_VALUE"""),0.0)</f>
        <v>0</v>
      </c>
      <c r="R409" s="34">
        <f>IFERROR(__xludf.DUMMYFUNCTION("""COMPUTED_VALUE"""),0.0)</f>
        <v>0</v>
      </c>
      <c r="S409" s="34">
        <f>IFERROR(__xludf.DUMMYFUNCTION("""COMPUTED_VALUE"""),0.0)</f>
        <v>0</v>
      </c>
      <c r="T409" s="17" t="str">
        <f t="shared" si="1"/>
        <v>David Fry</v>
      </c>
    </row>
    <row r="410">
      <c r="A410" s="17">
        <f>IFERROR(__xludf.DUMMYFUNCTION("""COMPUTED_VALUE"""),410.0)</f>
        <v>410</v>
      </c>
      <c r="B410" s="17" t="str">
        <f>IFERROR(__xludf.DUMMYFUNCTION("""COMPUTED_VALUE"""),"Austin Wynns (ATH - C)")</f>
        <v>Austin Wynns (ATH - C)</v>
      </c>
      <c r="C410" s="17">
        <f>IFERROR(__xludf.DUMMYFUNCTION("""COMPUTED_VALUE"""),122.0)</f>
        <v>122</v>
      </c>
      <c r="D410" s="17">
        <f>IFERROR(__xludf.DUMMYFUNCTION("""COMPUTED_VALUE"""),14.0)</f>
        <v>14</v>
      </c>
      <c r="E410" s="17">
        <f>IFERROR(__xludf.DUMMYFUNCTION("""COMPUTED_VALUE"""),3.0)</f>
        <v>3</v>
      </c>
      <c r="F410" s="17">
        <f>IFERROR(__xludf.DUMMYFUNCTION("""COMPUTED_VALUE"""),14.0)</f>
        <v>14</v>
      </c>
      <c r="G410" s="17">
        <f>IFERROR(__xludf.DUMMYFUNCTION("""COMPUTED_VALUE"""),1.0)</f>
        <v>1</v>
      </c>
      <c r="H410" s="17">
        <f>IFERROR(__xludf.DUMMYFUNCTION("""COMPUTED_VALUE"""),0.227)</f>
        <v>0.227</v>
      </c>
      <c r="I410" s="17">
        <f>IFERROR(__xludf.DUMMYFUNCTION("""COMPUTED_VALUE"""),0.282)</f>
        <v>0.282</v>
      </c>
      <c r="J410" s="17">
        <f>IFERROR(__xludf.DUMMYFUNCTION("""COMPUTED_VALUE"""),28.0)</f>
        <v>28</v>
      </c>
      <c r="K410" s="17">
        <f>IFERROR(__xludf.DUMMYFUNCTION("""COMPUTED_VALUE"""),5.0)</f>
        <v>5</v>
      </c>
      <c r="L410" s="17">
        <f>IFERROR(__xludf.DUMMYFUNCTION("""COMPUTED_VALUE"""),0.0)</f>
        <v>0</v>
      </c>
      <c r="M410" s="17">
        <f>IFERROR(__xludf.DUMMYFUNCTION("""COMPUTED_VALUE"""),9.0)</f>
        <v>9</v>
      </c>
      <c r="N410" s="17">
        <f>IFERROR(__xludf.DUMMYFUNCTION("""COMPUTED_VALUE"""),35.0)</f>
        <v>35</v>
      </c>
      <c r="O410" s="17">
        <f>IFERROR(__xludf.DUMMYFUNCTION("""COMPUTED_VALUE"""),0.352)</f>
        <v>0.352</v>
      </c>
      <c r="P410" s="17">
        <f>IFERROR(__xludf.DUMMYFUNCTION("""COMPUTED_VALUE"""),0.634)</f>
        <v>0.634</v>
      </c>
      <c r="Q410" s="34">
        <f>IFERROR(__xludf.DUMMYFUNCTION("""COMPUTED_VALUE"""),0.0)</f>
        <v>0</v>
      </c>
      <c r="R410" s="34">
        <f>IFERROR(__xludf.DUMMYFUNCTION("""COMPUTED_VALUE"""),0.0)</f>
        <v>0</v>
      </c>
      <c r="S410" s="34">
        <f>IFERROR(__xludf.DUMMYFUNCTION("""COMPUTED_VALUE"""),0.0)</f>
        <v>0</v>
      </c>
      <c r="T410" s="17" t="str">
        <f t="shared" si="1"/>
        <v>Austin Wynns</v>
      </c>
    </row>
    <row r="411">
      <c r="A411" s="17">
        <f>IFERROR(__xludf.DUMMYFUNCTION("""COMPUTED_VALUE"""),411.0)</f>
        <v>411</v>
      </c>
      <c r="B411" s="17" t="str">
        <f>IFERROR(__xludf.DUMMYFUNCTION("""COMPUTED_VALUE"""),"Tyler Heineman (TOR - C)")</f>
        <v>Tyler Heineman (TOR - C)</v>
      </c>
      <c r="C411" s="17">
        <f>IFERROR(__xludf.DUMMYFUNCTION("""COMPUTED_VALUE"""),145.0)</f>
        <v>145</v>
      </c>
      <c r="D411" s="17">
        <f>IFERROR(__xludf.DUMMYFUNCTION("""COMPUTED_VALUE"""),17.0)</f>
        <v>17</v>
      </c>
      <c r="E411" s="17">
        <f>IFERROR(__xludf.DUMMYFUNCTION("""COMPUTED_VALUE"""),2.0)</f>
        <v>2</v>
      </c>
      <c r="F411" s="17">
        <f>IFERROR(__xludf.DUMMYFUNCTION("""COMPUTED_VALUE"""),14.0)</f>
        <v>14</v>
      </c>
      <c r="G411" s="17">
        <f>IFERROR(__xludf.DUMMYFUNCTION("""COMPUTED_VALUE"""),2.0)</f>
        <v>2</v>
      </c>
      <c r="H411" s="17">
        <f>IFERROR(__xludf.DUMMYFUNCTION("""COMPUTED_VALUE"""),0.218)</f>
        <v>0.218</v>
      </c>
      <c r="I411" s="17">
        <f>IFERROR(__xludf.DUMMYFUNCTION("""COMPUTED_VALUE"""),0.292)</f>
        <v>0.292</v>
      </c>
      <c r="J411" s="17">
        <f>IFERROR(__xludf.DUMMYFUNCTION("""COMPUTED_VALUE"""),32.0)</f>
        <v>32</v>
      </c>
      <c r="K411" s="17">
        <f>IFERROR(__xludf.DUMMYFUNCTION("""COMPUTED_VALUE"""),5.0)</f>
        <v>5</v>
      </c>
      <c r="L411" s="17">
        <f>IFERROR(__xludf.DUMMYFUNCTION("""COMPUTED_VALUE"""),1.0)</f>
        <v>1</v>
      </c>
      <c r="M411" s="17">
        <f>IFERROR(__xludf.DUMMYFUNCTION("""COMPUTED_VALUE"""),13.0)</f>
        <v>13</v>
      </c>
      <c r="N411" s="17">
        <f>IFERROR(__xludf.DUMMYFUNCTION("""COMPUTED_VALUE"""),35.0)</f>
        <v>35</v>
      </c>
      <c r="O411" s="17">
        <f>IFERROR(__xludf.DUMMYFUNCTION("""COMPUTED_VALUE"""),0.313)</f>
        <v>0.313</v>
      </c>
      <c r="P411" s="17">
        <f>IFERROR(__xludf.DUMMYFUNCTION("""COMPUTED_VALUE"""),0.605)</f>
        <v>0.605</v>
      </c>
      <c r="Q411" s="34">
        <f>IFERROR(__xludf.DUMMYFUNCTION("""COMPUTED_VALUE"""),0.0)</f>
        <v>0</v>
      </c>
      <c r="R411" s="34">
        <f>IFERROR(__xludf.DUMMYFUNCTION("""COMPUTED_VALUE"""),0.0)</f>
        <v>0</v>
      </c>
      <c r="S411" s="34">
        <f>IFERROR(__xludf.DUMMYFUNCTION("""COMPUTED_VALUE"""),0.0)</f>
        <v>0</v>
      </c>
      <c r="T411" s="17" t="str">
        <f t="shared" si="1"/>
        <v>Tyler Heineman</v>
      </c>
    </row>
    <row r="412">
      <c r="A412" s="17">
        <f>IFERROR(__xludf.DUMMYFUNCTION("""COMPUTED_VALUE"""),412.0)</f>
        <v>412</v>
      </c>
      <c r="B412" s="17" t="str">
        <f>IFERROR(__xludf.DUMMYFUNCTION("""COMPUTED_VALUE"""),"Tim Tawa (ARI - 1B,2B,LF,CF)")</f>
        <v>Tim Tawa (ARI - 1B,2B,LF,CF)</v>
      </c>
      <c r="C412" s="17">
        <f>IFERROR(__xludf.DUMMYFUNCTION("""COMPUTED_VALUE"""),107.0)</f>
        <v>107</v>
      </c>
      <c r="D412" s="17">
        <f>IFERROR(__xludf.DUMMYFUNCTION("""COMPUTED_VALUE"""),13.0)</f>
        <v>13</v>
      </c>
      <c r="E412" s="17">
        <f>IFERROR(__xludf.DUMMYFUNCTION("""COMPUTED_VALUE"""),3.0)</f>
        <v>3</v>
      </c>
      <c r="F412" s="17">
        <f>IFERROR(__xludf.DUMMYFUNCTION("""COMPUTED_VALUE"""),13.0)</f>
        <v>13</v>
      </c>
      <c r="G412" s="17">
        <f>IFERROR(__xludf.DUMMYFUNCTION("""COMPUTED_VALUE"""),2.0)</f>
        <v>2</v>
      </c>
      <c r="H412" s="17">
        <f>IFERROR(__xludf.DUMMYFUNCTION("""COMPUTED_VALUE"""),0.221)</f>
        <v>0.221</v>
      </c>
      <c r="I412" s="17">
        <f>IFERROR(__xludf.DUMMYFUNCTION("""COMPUTED_VALUE"""),0.288)</f>
        <v>0.288</v>
      </c>
      <c r="J412" s="17">
        <f>IFERROR(__xludf.DUMMYFUNCTION("""COMPUTED_VALUE"""),24.0)</f>
        <v>24</v>
      </c>
      <c r="K412" s="17">
        <f>IFERROR(__xludf.DUMMYFUNCTION("""COMPUTED_VALUE"""),5.0)</f>
        <v>5</v>
      </c>
      <c r="L412" s="17">
        <f>IFERROR(__xludf.DUMMYFUNCTION("""COMPUTED_VALUE"""),0.0)</f>
        <v>0</v>
      </c>
      <c r="M412" s="17">
        <f>IFERROR(__xludf.DUMMYFUNCTION("""COMPUTED_VALUE"""),10.0)</f>
        <v>10</v>
      </c>
      <c r="N412" s="17">
        <f>IFERROR(__xludf.DUMMYFUNCTION("""COMPUTED_VALUE"""),29.0)</f>
        <v>29</v>
      </c>
      <c r="O412" s="17">
        <f>IFERROR(__xludf.DUMMYFUNCTION("""COMPUTED_VALUE"""),0.356)</f>
        <v>0.356</v>
      </c>
      <c r="P412" s="17">
        <f>IFERROR(__xludf.DUMMYFUNCTION("""COMPUTED_VALUE"""),0.644)</f>
        <v>0.644</v>
      </c>
      <c r="Q412" s="34">
        <f>IFERROR(__xludf.DUMMYFUNCTION("""COMPUTED_VALUE"""),0.0)</f>
        <v>0</v>
      </c>
      <c r="R412" s="34">
        <f>IFERROR(__xludf.DUMMYFUNCTION("""COMPUTED_VALUE"""),0.0)</f>
        <v>0</v>
      </c>
      <c r="S412" s="34">
        <f>IFERROR(__xludf.DUMMYFUNCTION("""COMPUTED_VALUE"""),0.0)</f>
        <v>0</v>
      </c>
      <c r="T412" s="17" t="str">
        <f t="shared" si="1"/>
        <v>Tim Tawa</v>
      </c>
    </row>
    <row r="413">
      <c r="A413" s="17">
        <f>IFERROR(__xludf.DUMMYFUNCTION("""COMPUTED_VALUE"""),413.0)</f>
        <v>413</v>
      </c>
      <c r="B413" s="17" t="str">
        <f>IFERROR(__xludf.DUMMYFUNCTION("""COMPUTED_VALUE"""),"Alejandro Osuna (TEX - LF,CF,RF)")</f>
        <v>Alejandro Osuna (TEX - LF,CF,RF)</v>
      </c>
      <c r="C413" s="17">
        <f>IFERROR(__xludf.DUMMYFUNCTION("""COMPUTED_VALUE"""),89.0)</f>
        <v>89</v>
      </c>
      <c r="D413" s="17">
        <f>IFERROR(__xludf.DUMMYFUNCTION("""COMPUTED_VALUE"""),12.0)</f>
        <v>12</v>
      </c>
      <c r="E413" s="17">
        <f>IFERROR(__xludf.DUMMYFUNCTION("""COMPUTED_VALUE"""),2.0)</f>
        <v>2</v>
      </c>
      <c r="F413" s="17">
        <f>IFERROR(__xludf.DUMMYFUNCTION("""COMPUTED_VALUE"""),10.0)</f>
        <v>10</v>
      </c>
      <c r="G413" s="17">
        <f>IFERROR(__xludf.DUMMYFUNCTION("""COMPUTED_VALUE"""),3.0)</f>
        <v>3</v>
      </c>
      <c r="H413" s="17">
        <f>IFERROR(__xludf.DUMMYFUNCTION("""COMPUTED_VALUE"""),0.251)</f>
        <v>0.251</v>
      </c>
      <c r="I413" s="17">
        <f>IFERROR(__xludf.DUMMYFUNCTION("""COMPUTED_VALUE"""),0.331)</f>
        <v>0.331</v>
      </c>
      <c r="J413" s="17">
        <f>IFERROR(__xludf.DUMMYFUNCTION("""COMPUTED_VALUE"""),22.0)</f>
        <v>22</v>
      </c>
      <c r="K413" s="17">
        <f>IFERROR(__xludf.DUMMYFUNCTION("""COMPUTED_VALUE"""),4.0)</f>
        <v>4</v>
      </c>
      <c r="L413" s="17">
        <f>IFERROR(__xludf.DUMMYFUNCTION("""COMPUTED_VALUE"""),1.0)</f>
        <v>1</v>
      </c>
      <c r="M413" s="17">
        <f>IFERROR(__xludf.DUMMYFUNCTION("""COMPUTED_VALUE"""),10.0)</f>
        <v>10</v>
      </c>
      <c r="N413" s="17">
        <f>IFERROR(__xludf.DUMMYFUNCTION("""COMPUTED_VALUE"""),21.0)</f>
        <v>21</v>
      </c>
      <c r="O413" s="17">
        <f>IFERROR(__xludf.DUMMYFUNCTION("""COMPUTED_VALUE"""),0.378)</f>
        <v>0.378</v>
      </c>
      <c r="P413" s="17">
        <f>IFERROR(__xludf.DUMMYFUNCTION("""COMPUTED_VALUE"""),0.709)</f>
        <v>0.709</v>
      </c>
      <c r="Q413" s="34">
        <f>IFERROR(__xludf.DUMMYFUNCTION("""COMPUTED_VALUE"""),0.0)</f>
        <v>0</v>
      </c>
      <c r="R413" s="34">
        <f>IFERROR(__xludf.DUMMYFUNCTION("""COMPUTED_VALUE"""),0.0)</f>
        <v>0</v>
      </c>
      <c r="S413" s="34">
        <f>IFERROR(__xludf.DUMMYFUNCTION("""COMPUTED_VALUE"""),0.0)</f>
        <v>0</v>
      </c>
      <c r="T413" s="17" t="str">
        <f t="shared" si="1"/>
        <v>Alejandro Osuna</v>
      </c>
    </row>
    <row r="414">
      <c r="A414" s="17">
        <f>IFERROR(__xludf.DUMMYFUNCTION("""COMPUTED_VALUE"""),414.0)</f>
        <v>414</v>
      </c>
      <c r="B414" s="17" t="str">
        <f>IFERROR(__xludf.DUMMYFUNCTION("""COMPUTED_VALUE"""),"Jhostynxon Garcia (PIT - CF,RF) MiLB")</f>
        <v>Jhostynxon Garcia (PIT - CF,RF) MiLB</v>
      </c>
      <c r="C414" s="17">
        <f>IFERROR(__xludf.DUMMYFUNCTION("""COMPUTED_VALUE"""),102.0)</f>
        <v>102</v>
      </c>
      <c r="D414" s="17">
        <f>IFERROR(__xludf.DUMMYFUNCTION("""COMPUTED_VALUE"""),13.0)</f>
        <v>13</v>
      </c>
      <c r="E414" s="17">
        <f>IFERROR(__xludf.DUMMYFUNCTION("""COMPUTED_VALUE"""),3.0)</f>
        <v>3</v>
      </c>
      <c r="F414" s="17">
        <f>IFERROR(__xludf.DUMMYFUNCTION("""COMPUTED_VALUE"""),12.0)</f>
        <v>12</v>
      </c>
      <c r="G414" s="17">
        <f>IFERROR(__xludf.DUMMYFUNCTION("""COMPUTED_VALUE"""),1.0)</f>
        <v>1</v>
      </c>
      <c r="H414" s="17">
        <f>IFERROR(__xludf.DUMMYFUNCTION("""COMPUTED_VALUE"""),0.235)</f>
        <v>0.235</v>
      </c>
      <c r="I414" s="17">
        <f>IFERROR(__xludf.DUMMYFUNCTION("""COMPUTED_VALUE"""),0.289)</f>
        <v>0.289</v>
      </c>
      <c r="J414" s="17">
        <f>IFERROR(__xludf.DUMMYFUNCTION("""COMPUTED_VALUE"""),24.0)</f>
        <v>24</v>
      </c>
      <c r="K414" s="17">
        <f>IFERROR(__xludf.DUMMYFUNCTION("""COMPUTED_VALUE"""),5.0)</f>
        <v>5</v>
      </c>
      <c r="L414" s="17">
        <f>IFERROR(__xludf.DUMMYFUNCTION("""COMPUTED_VALUE"""),1.0)</f>
        <v>1</v>
      </c>
      <c r="M414" s="17">
        <f>IFERROR(__xludf.DUMMYFUNCTION("""COMPUTED_VALUE"""),7.0)</f>
        <v>7</v>
      </c>
      <c r="N414" s="17">
        <f>IFERROR(__xludf.DUMMYFUNCTION("""COMPUTED_VALUE"""),31.0)</f>
        <v>31</v>
      </c>
      <c r="O414" s="17">
        <f>IFERROR(__xludf.DUMMYFUNCTION("""COMPUTED_VALUE"""),0.383)</f>
        <v>0.383</v>
      </c>
      <c r="P414" s="17">
        <f>IFERROR(__xludf.DUMMYFUNCTION("""COMPUTED_VALUE"""),0.672)</f>
        <v>0.672</v>
      </c>
      <c r="Q414" s="34">
        <f>IFERROR(__xludf.DUMMYFUNCTION("""COMPUTED_VALUE"""),0.01)</f>
        <v>0.01</v>
      </c>
      <c r="R414" s="34">
        <f>IFERROR(__xludf.DUMMYFUNCTION("""COMPUTED_VALUE"""),0.01)</f>
        <v>0.01</v>
      </c>
      <c r="S414" s="34">
        <f>IFERROR(__xludf.DUMMYFUNCTION("""COMPUTED_VALUE"""),0.0)</f>
        <v>0</v>
      </c>
      <c r="T414" s="17" t="str">
        <f t="shared" si="1"/>
        <v>Jhostynxon Garcia</v>
      </c>
    </row>
    <row r="415">
      <c r="A415" s="17">
        <f>IFERROR(__xludf.DUMMYFUNCTION("""COMPUTED_VALUE"""),415.0)</f>
        <v>415</v>
      </c>
      <c r="B415" s="17" t="str">
        <f>IFERROR(__xludf.DUMMYFUNCTION("""COMPUTED_VALUE"""),"Blaine Crim (COL - 1B) MiLB")</f>
        <v>Blaine Crim (COL - 1B) MiLB</v>
      </c>
      <c r="C415" s="17">
        <f>IFERROR(__xludf.DUMMYFUNCTION("""COMPUTED_VALUE"""),78.0)</f>
        <v>78</v>
      </c>
      <c r="D415" s="17">
        <f>IFERROR(__xludf.DUMMYFUNCTION("""COMPUTED_VALUE"""),10.0)</f>
        <v>10</v>
      </c>
      <c r="E415" s="17">
        <f>IFERROR(__xludf.DUMMYFUNCTION("""COMPUTED_VALUE"""),3.0)</f>
        <v>3</v>
      </c>
      <c r="F415" s="17">
        <f>IFERROR(__xludf.DUMMYFUNCTION("""COMPUTED_VALUE"""),11.0)</f>
        <v>11</v>
      </c>
      <c r="G415" s="17">
        <f>IFERROR(__xludf.DUMMYFUNCTION("""COMPUTED_VALUE"""),1.0)</f>
        <v>1</v>
      </c>
      <c r="H415" s="17">
        <f>IFERROR(__xludf.DUMMYFUNCTION("""COMPUTED_VALUE"""),0.251)</f>
        <v>0.251</v>
      </c>
      <c r="I415" s="17">
        <f>IFERROR(__xludf.DUMMYFUNCTION("""COMPUTED_VALUE"""),0.319)</f>
        <v>0.319</v>
      </c>
      <c r="J415" s="17">
        <f>IFERROR(__xludf.DUMMYFUNCTION("""COMPUTED_VALUE"""),20.0)</f>
        <v>20</v>
      </c>
      <c r="K415" s="17">
        <f>IFERROR(__xludf.DUMMYFUNCTION("""COMPUTED_VALUE"""),4.0)</f>
        <v>4</v>
      </c>
      <c r="L415" s="17">
        <f>IFERROR(__xludf.DUMMYFUNCTION("""COMPUTED_VALUE"""),0.0)</f>
        <v>0</v>
      </c>
      <c r="M415" s="17">
        <f>IFERROR(__xludf.DUMMYFUNCTION("""COMPUTED_VALUE"""),7.0)</f>
        <v>7</v>
      </c>
      <c r="N415" s="17">
        <f>IFERROR(__xludf.DUMMYFUNCTION("""COMPUTED_VALUE"""),19.0)</f>
        <v>19</v>
      </c>
      <c r="O415" s="17">
        <f>IFERROR(__xludf.DUMMYFUNCTION("""COMPUTED_VALUE"""),0.413)</f>
        <v>0.413</v>
      </c>
      <c r="P415" s="17">
        <f>IFERROR(__xludf.DUMMYFUNCTION("""COMPUTED_VALUE"""),0.732)</f>
        <v>0.732</v>
      </c>
      <c r="Q415" s="34">
        <f>IFERROR(__xludf.DUMMYFUNCTION("""COMPUTED_VALUE"""),0.0)</f>
        <v>0</v>
      </c>
      <c r="R415" s="34">
        <f>IFERROR(__xludf.DUMMYFUNCTION("""COMPUTED_VALUE"""),0.0)</f>
        <v>0</v>
      </c>
      <c r="S415" s="34">
        <f>IFERROR(__xludf.DUMMYFUNCTION("""COMPUTED_VALUE"""),0.0)</f>
        <v>0</v>
      </c>
      <c r="T415" s="17" t="str">
        <f t="shared" si="1"/>
        <v>Blaine Crim</v>
      </c>
    </row>
    <row r="416">
      <c r="A416" s="17">
        <f>IFERROR(__xludf.DUMMYFUNCTION("""COMPUTED_VALUE"""),416.0)</f>
        <v>416</v>
      </c>
      <c r="B416" s="17" t="str">
        <f>IFERROR(__xludf.DUMMYFUNCTION("""COMPUTED_VALUE"""),"Colby Thomas (ATH - LF,CF,RF)")</f>
        <v>Colby Thomas (ATH - LF,CF,RF)</v>
      </c>
      <c r="C416" s="17">
        <f>IFERROR(__xludf.DUMMYFUNCTION("""COMPUTED_VALUE"""),83.0)</f>
        <v>83</v>
      </c>
      <c r="D416" s="17">
        <f>IFERROR(__xludf.DUMMYFUNCTION("""COMPUTED_VALUE"""),11.0)</f>
        <v>11</v>
      </c>
      <c r="E416" s="17">
        <f>IFERROR(__xludf.DUMMYFUNCTION("""COMPUTED_VALUE"""),3.0)</f>
        <v>3</v>
      </c>
      <c r="F416" s="17">
        <f>IFERROR(__xludf.DUMMYFUNCTION("""COMPUTED_VALUE"""),12.0)</f>
        <v>12</v>
      </c>
      <c r="G416" s="17">
        <f>IFERROR(__xludf.DUMMYFUNCTION("""COMPUTED_VALUE"""),1.0)</f>
        <v>1</v>
      </c>
      <c r="H416" s="17">
        <f>IFERROR(__xludf.DUMMYFUNCTION("""COMPUTED_VALUE"""),0.236)</f>
        <v>0.236</v>
      </c>
      <c r="I416" s="17">
        <f>IFERROR(__xludf.DUMMYFUNCTION("""COMPUTED_VALUE"""),0.294)</f>
        <v>0.294</v>
      </c>
      <c r="J416" s="17">
        <f>IFERROR(__xludf.DUMMYFUNCTION("""COMPUTED_VALUE"""),20.0)</f>
        <v>20</v>
      </c>
      <c r="K416" s="17">
        <f>IFERROR(__xludf.DUMMYFUNCTION("""COMPUTED_VALUE"""),5.0)</f>
        <v>5</v>
      </c>
      <c r="L416" s="17">
        <f>IFERROR(__xludf.DUMMYFUNCTION("""COMPUTED_VALUE"""),0.0)</f>
        <v>0</v>
      </c>
      <c r="M416" s="17">
        <f>IFERROR(__xludf.DUMMYFUNCTION("""COMPUTED_VALUE"""),6.0)</f>
        <v>6</v>
      </c>
      <c r="N416" s="17">
        <f>IFERROR(__xludf.DUMMYFUNCTION("""COMPUTED_VALUE"""),28.0)</f>
        <v>28</v>
      </c>
      <c r="O416" s="17">
        <f>IFERROR(__xludf.DUMMYFUNCTION("""COMPUTED_VALUE"""),0.418)</f>
        <v>0.418</v>
      </c>
      <c r="P416" s="17">
        <f>IFERROR(__xludf.DUMMYFUNCTION("""COMPUTED_VALUE"""),0.712)</f>
        <v>0.712</v>
      </c>
      <c r="Q416" s="34">
        <f>IFERROR(__xludf.DUMMYFUNCTION("""COMPUTED_VALUE"""),0.0)</f>
        <v>0</v>
      </c>
      <c r="R416" s="34">
        <f>IFERROR(__xludf.DUMMYFUNCTION("""COMPUTED_VALUE"""),0.0)</f>
        <v>0</v>
      </c>
      <c r="S416" s="34">
        <f>IFERROR(__xludf.DUMMYFUNCTION("""COMPUTED_VALUE"""),0.0)</f>
        <v>0</v>
      </c>
      <c r="T416" s="17" t="str">
        <f t="shared" si="1"/>
        <v>Colby Thomas</v>
      </c>
    </row>
    <row r="417">
      <c r="A417" s="17">
        <f>IFERROR(__xludf.DUMMYFUNCTION("""COMPUTED_VALUE"""),417.0)</f>
        <v>417</v>
      </c>
      <c r="B417" s="17" t="str">
        <f>IFERROR(__xludf.DUMMYFUNCTION("""COMPUTED_VALUE"""),"Triston Casas (BOS - 1B) IL60")</f>
        <v>Triston Casas (BOS - 1B) IL60</v>
      </c>
      <c r="C417" s="17">
        <f>IFERROR(__xludf.DUMMYFUNCTION("""COMPUTED_VALUE"""),80.0)</f>
        <v>80</v>
      </c>
      <c r="D417" s="17">
        <f>IFERROR(__xludf.DUMMYFUNCTION("""COMPUTED_VALUE"""),11.0)</f>
        <v>11</v>
      </c>
      <c r="E417" s="17">
        <f>IFERROR(__xludf.DUMMYFUNCTION("""COMPUTED_VALUE"""),4.0)</f>
        <v>4</v>
      </c>
      <c r="F417" s="17">
        <f>IFERROR(__xludf.DUMMYFUNCTION("""COMPUTED_VALUE"""),12.0)</f>
        <v>12</v>
      </c>
      <c r="G417" s="17">
        <f>IFERROR(__xludf.DUMMYFUNCTION("""COMPUTED_VALUE"""),0.0)</f>
        <v>0</v>
      </c>
      <c r="H417" s="17">
        <f>IFERROR(__xludf.DUMMYFUNCTION("""COMPUTED_VALUE"""),0.237)</f>
        <v>0.237</v>
      </c>
      <c r="I417" s="17">
        <f>IFERROR(__xludf.DUMMYFUNCTION("""COMPUTED_VALUE"""),0.346)</f>
        <v>0.346</v>
      </c>
      <c r="J417" s="17">
        <f>IFERROR(__xludf.DUMMYFUNCTION("""COMPUTED_VALUE"""),19.0)</f>
        <v>19</v>
      </c>
      <c r="K417" s="17">
        <f>IFERROR(__xludf.DUMMYFUNCTION("""COMPUTED_VALUE"""),4.0)</f>
        <v>4</v>
      </c>
      <c r="L417" s="17">
        <f>IFERROR(__xludf.DUMMYFUNCTION("""COMPUTED_VALUE"""),0.0)</f>
        <v>0</v>
      </c>
      <c r="M417" s="17">
        <f>IFERROR(__xludf.DUMMYFUNCTION("""COMPUTED_VALUE"""),12.0)</f>
        <v>12</v>
      </c>
      <c r="N417" s="17">
        <f>IFERROR(__xludf.DUMMYFUNCTION("""COMPUTED_VALUE"""),24.0)</f>
        <v>24</v>
      </c>
      <c r="O417" s="17">
        <f>IFERROR(__xludf.DUMMYFUNCTION("""COMPUTED_VALUE"""),0.428)</f>
        <v>0.428</v>
      </c>
      <c r="P417" s="17">
        <f>IFERROR(__xludf.DUMMYFUNCTION("""COMPUTED_VALUE"""),0.773)</f>
        <v>0.773</v>
      </c>
      <c r="Q417" s="34">
        <f>IFERROR(__xludf.DUMMYFUNCTION("""COMPUTED_VALUE"""),0.01)</f>
        <v>0.01</v>
      </c>
      <c r="R417" s="34">
        <f>IFERROR(__xludf.DUMMYFUNCTION("""COMPUTED_VALUE"""),0.01)</f>
        <v>0.01</v>
      </c>
      <c r="S417" s="34">
        <f>IFERROR(__xludf.DUMMYFUNCTION("""COMPUTED_VALUE"""),0.01)</f>
        <v>0.01</v>
      </c>
      <c r="T417" s="17" t="str">
        <f t="shared" si="1"/>
        <v>Triston Casas</v>
      </c>
    </row>
    <row r="418">
      <c r="A418" s="17">
        <f>IFERROR(__xludf.DUMMYFUNCTION("""COMPUTED_VALUE"""),418.0)</f>
        <v>418</v>
      </c>
      <c r="B418" s="17" t="str">
        <f>IFERROR(__xludf.DUMMYFUNCTION("""COMPUTED_VALUE"""),"Brice Matthews (HOU - 2B,LF,CF)")</f>
        <v>Brice Matthews (HOU - 2B,LF,CF)</v>
      </c>
      <c r="C418" s="17">
        <f>IFERROR(__xludf.DUMMYFUNCTION("""COMPUTED_VALUE"""),90.0)</f>
        <v>90</v>
      </c>
      <c r="D418" s="17">
        <f>IFERROR(__xludf.DUMMYFUNCTION("""COMPUTED_VALUE"""),12.0)</f>
        <v>12</v>
      </c>
      <c r="E418" s="17">
        <f>IFERROR(__xludf.DUMMYFUNCTION("""COMPUTED_VALUE"""),3.0)</f>
        <v>3</v>
      </c>
      <c r="F418" s="17">
        <f>IFERROR(__xludf.DUMMYFUNCTION("""COMPUTED_VALUE"""),11.0)</f>
        <v>11</v>
      </c>
      <c r="G418" s="17">
        <f>IFERROR(__xludf.DUMMYFUNCTION("""COMPUTED_VALUE"""),4.0)</f>
        <v>4</v>
      </c>
      <c r="H418" s="17">
        <f>IFERROR(__xludf.DUMMYFUNCTION("""COMPUTED_VALUE"""),0.212)</f>
        <v>0.212</v>
      </c>
      <c r="I418" s="17">
        <f>IFERROR(__xludf.DUMMYFUNCTION("""COMPUTED_VALUE"""),0.295)</f>
        <v>0.295</v>
      </c>
      <c r="J418" s="17">
        <f>IFERROR(__xludf.DUMMYFUNCTION("""COMPUTED_VALUE"""),19.0)</f>
        <v>19</v>
      </c>
      <c r="K418" s="17">
        <f>IFERROR(__xludf.DUMMYFUNCTION("""COMPUTED_VALUE"""),4.0)</f>
        <v>4</v>
      </c>
      <c r="L418" s="17">
        <f>IFERROR(__xludf.DUMMYFUNCTION("""COMPUTED_VALUE"""),1.0)</f>
        <v>1</v>
      </c>
      <c r="M418" s="17">
        <f>IFERROR(__xludf.DUMMYFUNCTION("""COMPUTED_VALUE"""),10.0)</f>
        <v>10</v>
      </c>
      <c r="N418" s="17">
        <f>IFERROR(__xludf.DUMMYFUNCTION("""COMPUTED_VALUE"""),34.0)</f>
        <v>34</v>
      </c>
      <c r="O418" s="17">
        <f>IFERROR(__xludf.DUMMYFUNCTION("""COMPUTED_VALUE"""),0.369)</f>
        <v>0.369</v>
      </c>
      <c r="P418" s="17">
        <f>IFERROR(__xludf.DUMMYFUNCTION("""COMPUTED_VALUE"""),0.663)</f>
        <v>0.663</v>
      </c>
      <c r="Q418" s="34">
        <f>IFERROR(__xludf.DUMMYFUNCTION("""COMPUTED_VALUE"""),0.01)</f>
        <v>0.01</v>
      </c>
      <c r="R418" s="34">
        <f>IFERROR(__xludf.DUMMYFUNCTION("""COMPUTED_VALUE"""),0.01)</f>
        <v>0.01</v>
      </c>
      <c r="S418" s="34">
        <f>IFERROR(__xludf.DUMMYFUNCTION("""COMPUTED_VALUE"""),0.0)</f>
        <v>0</v>
      </c>
      <c r="T418" s="17" t="str">
        <f t="shared" si="1"/>
        <v>Brice Matthews</v>
      </c>
    </row>
    <row r="419">
      <c r="A419" s="17">
        <f>IFERROR(__xludf.DUMMYFUNCTION("""COMPUTED_VALUE"""),419.0)</f>
        <v>419</v>
      </c>
      <c r="B419" s="17" t="str">
        <f>IFERROR(__xludf.DUMMYFUNCTION("""COMPUTED_VALUE"""),"Luis Matos (MIL - LF,CF,RF) MiLB")</f>
        <v>Luis Matos (MIL - LF,CF,RF) MiLB</v>
      </c>
      <c r="C419" s="17">
        <f>IFERROR(__xludf.DUMMYFUNCTION("""COMPUTED_VALUE"""),79.0)</f>
        <v>79</v>
      </c>
      <c r="D419" s="17">
        <f>IFERROR(__xludf.DUMMYFUNCTION("""COMPUTED_VALUE"""),10.0)</f>
        <v>10</v>
      </c>
      <c r="E419" s="17">
        <f>IFERROR(__xludf.DUMMYFUNCTION("""COMPUTED_VALUE"""),3.0)</f>
        <v>3</v>
      </c>
      <c r="F419" s="17">
        <f>IFERROR(__xludf.DUMMYFUNCTION("""COMPUTED_VALUE"""),11.0)</f>
        <v>11</v>
      </c>
      <c r="G419" s="17">
        <f>IFERROR(__xludf.DUMMYFUNCTION("""COMPUTED_VALUE"""),2.0)</f>
        <v>2</v>
      </c>
      <c r="H419" s="17">
        <f>IFERROR(__xludf.DUMMYFUNCTION("""COMPUTED_VALUE"""),0.244)</f>
        <v>0.244</v>
      </c>
      <c r="I419" s="17">
        <f>IFERROR(__xludf.DUMMYFUNCTION("""COMPUTED_VALUE"""),0.302)</f>
        <v>0.302</v>
      </c>
      <c r="J419" s="17">
        <f>IFERROR(__xludf.DUMMYFUNCTION("""COMPUTED_VALUE"""),19.0)</f>
        <v>19</v>
      </c>
      <c r="K419" s="17">
        <f>IFERROR(__xludf.DUMMYFUNCTION("""COMPUTED_VALUE"""),4.0)</f>
        <v>4</v>
      </c>
      <c r="L419" s="17">
        <f>IFERROR(__xludf.DUMMYFUNCTION("""COMPUTED_VALUE"""),0.0)</f>
        <v>0</v>
      </c>
      <c r="M419" s="17">
        <f>IFERROR(__xludf.DUMMYFUNCTION("""COMPUTED_VALUE"""),6.0)</f>
        <v>6</v>
      </c>
      <c r="N419" s="17">
        <f>IFERROR(__xludf.DUMMYFUNCTION("""COMPUTED_VALUE"""),13.0)</f>
        <v>13</v>
      </c>
      <c r="O419" s="17">
        <f>IFERROR(__xludf.DUMMYFUNCTION("""COMPUTED_VALUE"""),0.41)</f>
        <v>0.41</v>
      </c>
      <c r="P419" s="17">
        <f>IFERROR(__xludf.DUMMYFUNCTION("""COMPUTED_VALUE"""),0.712)</f>
        <v>0.712</v>
      </c>
      <c r="Q419" s="34">
        <f>IFERROR(__xludf.DUMMYFUNCTION("""COMPUTED_VALUE"""),0.0)</f>
        <v>0</v>
      </c>
      <c r="R419" s="34">
        <f>IFERROR(__xludf.DUMMYFUNCTION("""COMPUTED_VALUE"""),0.0)</f>
        <v>0</v>
      </c>
      <c r="S419" s="34">
        <f>IFERROR(__xludf.DUMMYFUNCTION("""COMPUTED_VALUE"""),0.0)</f>
        <v>0</v>
      </c>
      <c r="T419" s="17" t="str">
        <f t="shared" si="1"/>
        <v>Luis Matos</v>
      </c>
    </row>
    <row r="420">
      <c r="A420" s="17">
        <f>IFERROR(__xludf.DUMMYFUNCTION("""COMPUTED_VALUE"""),420.0)</f>
        <v>420</v>
      </c>
      <c r="B420" s="17" t="str">
        <f>IFERROR(__xludf.DUMMYFUNCTION("""COMPUTED_VALUE"""),"Dylan Moore (PHI - 1B,2B,3B,LF,RF)")</f>
        <v>Dylan Moore (PHI - 1B,2B,3B,LF,RF)</v>
      </c>
      <c r="C420" s="17">
        <f>IFERROR(__xludf.DUMMYFUNCTION("""COMPUTED_VALUE"""),78.0)</f>
        <v>78</v>
      </c>
      <c r="D420" s="17">
        <f>IFERROR(__xludf.DUMMYFUNCTION("""COMPUTED_VALUE"""),11.0)</f>
        <v>11</v>
      </c>
      <c r="E420" s="17">
        <f>IFERROR(__xludf.DUMMYFUNCTION("""COMPUTED_VALUE"""),3.0)</f>
        <v>3</v>
      </c>
      <c r="F420" s="17">
        <f>IFERROR(__xludf.DUMMYFUNCTION("""COMPUTED_VALUE"""),10.0)</f>
        <v>10</v>
      </c>
      <c r="G420" s="17">
        <f>IFERROR(__xludf.DUMMYFUNCTION("""COMPUTED_VALUE"""),5.0)</f>
        <v>5</v>
      </c>
      <c r="H420" s="17">
        <f>IFERROR(__xludf.DUMMYFUNCTION("""COMPUTED_VALUE"""),0.204)</f>
        <v>0.204</v>
      </c>
      <c r="I420" s="17">
        <f>IFERROR(__xludf.DUMMYFUNCTION("""COMPUTED_VALUE"""),0.301)</f>
        <v>0.301</v>
      </c>
      <c r="J420" s="17">
        <f>IFERROR(__xludf.DUMMYFUNCTION("""COMPUTED_VALUE"""),16.0)</f>
        <v>16</v>
      </c>
      <c r="K420" s="17">
        <f>IFERROR(__xludf.DUMMYFUNCTION("""COMPUTED_VALUE"""),3.0)</f>
        <v>3</v>
      </c>
      <c r="L420" s="17">
        <f>IFERROR(__xludf.DUMMYFUNCTION("""COMPUTED_VALUE"""),0.0)</f>
        <v>0</v>
      </c>
      <c r="M420" s="17">
        <f>IFERROR(__xludf.DUMMYFUNCTION("""COMPUTED_VALUE"""),9.0)</f>
        <v>9</v>
      </c>
      <c r="N420" s="17">
        <f>IFERROR(__xludf.DUMMYFUNCTION("""COMPUTED_VALUE"""),27.0)</f>
        <v>27</v>
      </c>
      <c r="O420" s="17">
        <f>IFERROR(__xludf.DUMMYFUNCTION("""COMPUTED_VALUE"""),0.365)</f>
        <v>0.365</v>
      </c>
      <c r="P420" s="17">
        <f>IFERROR(__xludf.DUMMYFUNCTION("""COMPUTED_VALUE"""),0.666)</f>
        <v>0.666</v>
      </c>
      <c r="Q420" s="34">
        <f>IFERROR(__xludf.DUMMYFUNCTION("""COMPUTED_VALUE"""),0.0)</f>
        <v>0</v>
      </c>
      <c r="R420" s="34">
        <f>IFERROR(__xludf.DUMMYFUNCTION("""COMPUTED_VALUE"""),0.0)</f>
        <v>0</v>
      </c>
      <c r="S420" s="34">
        <f>IFERROR(__xludf.DUMMYFUNCTION("""COMPUTED_VALUE"""),0.0)</f>
        <v>0</v>
      </c>
      <c r="T420" s="17" t="str">
        <f t="shared" si="1"/>
        <v>Dylan Moore</v>
      </c>
    </row>
    <row r="421">
      <c r="A421" s="17">
        <f>IFERROR(__xludf.DUMMYFUNCTION("""COMPUTED_VALUE"""),421.0)</f>
        <v>421</v>
      </c>
      <c r="B421" s="17" t="str">
        <f>IFERROR(__xludf.DUMMYFUNCTION("""COMPUTED_VALUE"""),"Andruw Monasterio (BOS - 1B,2B,3B,SS)")</f>
        <v>Andruw Monasterio (BOS - 1B,2B,3B,SS)</v>
      </c>
      <c r="C421" s="17">
        <f>IFERROR(__xludf.DUMMYFUNCTION("""COMPUTED_VALUE"""),87.0)</f>
        <v>87</v>
      </c>
      <c r="D421" s="17">
        <f>IFERROR(__xludf.DUMMYFUNCTION("""COMPUTED_VALUE"""),11.0)</f>
        <v>11</v>
      </c>
      <c r="E421" s="17">
        <f>IFERROR(__xludf.DUMMYFUNCTION("""COMPUTED_VALUE"""),2.0)</f>
        <v>2</v>
      </c>
      <c r="F421" s="17">
        <f>IFERROR(__xludf.DUMMYFUNCTION("""COMPUTED_VALUE"""),10.0)</f>
        <v>10</v>
      </c>
      <c r="G421" s="17">
        <f>IFERROR(__xludf.DUMMYFUNCTION("""COMPUTED_VALUE"""),3.0)</f>
        <v>3</v>
      </c>
      <c r="H421" s="17">
        <f>IFERROR(__xludf.DUMMYFUNCTION("""COMPUTED_VALUE"""),0.245)</f>
        <v>0.245</v>
      </c>
      <c r="I421" s="17">
        <f>IFERROR(__xludf.DUMMYFUNCTION("""COMPUTED_VALUE"""),0.322)</f>
        <v>0.322</v>
      </c>
      <c r="J421" s="17">
        <f>IFERROR(__xludf.DUMMYFUNCTION("""COMPUTED_VALUE"""),21.0)</f>
        <v>21</v>
      </c>
      <c r="K421" s="17">
        <f>IFERROR(__xludf.DUMMYFUNCTION("""COMPUTED_VALUE"""),5.0)</f>
        <v>5</v>
      </c>
      <c r="L421" s="17">
        <f>IFERROR(__xludf.DUMMYFUNCTION("""COMPUTED_VALUE"""),0.0)</f>
        <v>0</v>
      </c>
      <c r="M421" s="17">
        <f>IFERROR(__xludf.DUMMYFUNCTION("""COMPUTED_VALUE"""),9.0)</f>
        <v>9</v>
      </c>
      <c r="N421" s="17">
        <f>IFERROR(__xludf.DUMMYFUNCTION("""COMPUTED_VALUE"""),22.0)</f>
        <v>22</v>
      </c>
      <c r="O421" s="17">
        <f>IFERROR(__xludf.DUMMYFUNCTION("""COMPUTED_VALUE"""),0.369)</f>
        <v>0.369</v>
      </c>
      <c r="P421" s="17">
        <f>IFERROR(__xludf.DUMMYFUNCTION("""COMPUTED_VALUE"""),0.691)</f>
        <v>0.691</v>
      </c>
      <c r="Q421" s="34">
        <f>IFERROR(__xludf.DUMMYFUNCTION("""COMPUTED_VALUE"""),0.0)</f>
        <v>0</v>
      </c>
      <c r="R421" s="34">
        <f>IFERROR(__xludf.DUMMYFUNCTION("""COMPUTED_VALUE"""),0.0)</f>
        <v>0</v>
      </c>
      <c r="S421" s="34">
        <f>IFERROR(__xludf.DUMMYFUNCTION("""COMPUTED_VALUE"""),0.0)</f>
        <v>0</v>
      </c>
      <c r="T421" s="17" t="str">
        <f t="shared" si="1"/>
        <v>Andruw Monasterio</v>
      </c>
    </row>
    <row r="422">
      <c r="A422" s="17">
        <f>IFERROR(__xludf.DUMMYFUNCTION("""COMPUTED_VALUE"""),422.0)</f>
        <v>422</v>
      </c>
      <c r="B422" s="17" t="str">
        <f>IFERROR(__xludf.DUMMYFUNCTION("""COMPUTED_VALUE"""),"Tyler Tolbert (KC - LF,CF) MiLB")</f>
        <v>Tyler Tolbert (KC - LF,CF) MiLB</v>
      </c>
      <c r="C422" s="17">
        <f>IFERROR(__xludf.DUMMYFUNCTION("""COMPUTED_VALUE"""),85.0)</f>
        <v>85</v>
      </c>
      <c r="D422" s="17">
        <f>IFERROR(__xludf.DUMMYFUNCTION("""COMPUTED_VALUE"""),11.0)</f>
        <v>11</v>
      </c>
      <c r="E422" s="17">
        <f>IFERROR(__xludf.DUMMYFUNCTION("""COMPUTED_VALUE"""),1.0)</f>
        <v>1</v>
      </c>
      <c r="F422" s="17">
        <f>IFERROR(__xludf.DUMMYFUNCTION("""COMPUTED_VALUE"""),8.0)</f>
        <v>8</v>
      </c>
      <c r="G422" s="17">
        <f>IFERROR(__xludf.DUMMYFUNCTION("""COMPUTED_VALUE"""),7.0)</f>
        <v>7</v>
      </c>
      <c r="H422" s="17">
        <f>IFERROR(__xludf.DUMMYFUNCTION("""COMPUTED_VALUE"""),0.224)</f>
        <v>0.224</v>
      </c>
      <c r="I422" s="17">
        <f>IFERROR(__xludf.DUMMYFUNCTION("""COMPUTED_VALUE"""),0.276)</f>
        <v>0.276</v>
      </c>
      <c r="J422" s="17">
        <f>IFERROR(__xludf.DUMMYFUNCTION("""COMPUTED_VALUE"""),19.0)</f>
        <v>19</v>
      </c>
      <c r="K422" s="17">
        <f>IFERROR(__xludf.DUMMYFUNCTION("""COMPUTED_VALUE"""),4.0)</f>
        <v>4</v>
      </c>
      <c r="L422" s="17">
        <f>IFERROR(__xludf.DUMMYFUNCTION("""COMPUTED_VALUE"""),1.0)</f>
        <v>1</v>
      </c>
      <c r="M422" s="17">
        <f>IFERROR(__xludf.DUMMYFUNCTION("""COMPUTED_VALUE"""),6.0)</f>
        <v>6</v>
      </c>
      <c r="N422" s="17">
        <f>IFERROR(__xludf.DUMMYFUNCTION("""COMPUTED_VALUE"""),24.0)</f>
        <v>24</v>
      </c>
      <c r="O422" s="17">
        <f>IFERROR(__xludf.DUMMYFUNCTION("""COMPUTED_VALUE"""),0.321)</f>
        <v>0.321</v>
      </c>
      <c r="P422" s="17">
        <f>IFERROR(__xludf.DUMMYFUNCTION("""COMPUTED_VALUE"""),0.598)</f>
        <v>0.598</v>
      </c>
      <c r="Q422" s="34">
        <f>IFERROR(__xludf.DUMMYFUNCTION("""COMPUTED_VALUE"""),0.0)</f>
        <v>0</v>
      </c>
      <c r="R422" s="34">
        <f>IFERROR(__xludf.DUMMYFUNCTION("""COMPUTED_VALUE"""),0.0)</f>
        <v>0</v>
      </c>
      <c r="S422" s="34">
        <f>IFERROR(__xludf.DUMMYFUNCTION("""COMPUTED_VALUE"""),0.0)</f>
        <v>0</v>
      </c>
      <c r="T422" s="17" t="str">
        <f t="shared" si="1"/>
        <v>Tyler Tolbert</v>
      </c>
    </row>
    <row r="423">
      <c r="A423" s="17">
        <f>IFERROR(__xludf.DUMMYFUNCTION("""COMPUTED_VALUE"""),423.0)</f>
        <v>423</v>
      </c>
      <c r="B423" s="17" t="str">
        <f>IFERROR(__xludf.DUMMYFUNCTION("""COMPUTED_VALUE"""),"Brett Sullivan (COL - C)")</f>
        <v>Brett Sullivan (COL - C)</v>
      </c>
      <c r="C423" s="17">
        <f>IFERROR(__xludf.DUMMYFUNCTION("""COMPUTED_VALUE"""),125.0)</f>
        <v>125</v>
      </c>
      <c r="D423" s="17">
        <f>IFERROR(__xludf.DUMMYFUNCTION("""COMPUTED_VALUE"""),14.0)</f>
        <v>14</v>
      </c>
      <c r="E423" s="17">
        <f>IFERROR(__xludf.DUMMYFUNCTION("""COMPUTED_VALUE"""),2.0)</f>
        <v>2</v>
      </c>
      <c r="F423" s="17">
        <f>IFERROR(__xludf.DUMMYFUNCTION("""COMPUTED_VALUE"""),14.0)</f>
        <v>14</v>
      </c>
      <c r="G423" s="17">
        <f>IFERROR(__xludf.DUMMYFUNCTION("""COMPUTED_VALUE"""),1.0)</f>
        <v>1</v>
      </c>
      <c r="H423" s="17">
        <f>IFERROR(__xludf.DUMMYFUNCTION("""COMPUTED_VALUE"""),0.228)</f>
        <v>0.228</v>
      </c>
      <c r="I423" s="17">
        <f>IFERROR(__xludf.DUMMYFUNCTION("""COMPUTED_VALUE"""),0.283)</f>
        <v>0.283</v>
      </c>
      <c r="J423" s="17">
        <f>IFERROR(__xludf.DUMMYFUNCTION("""COMPUTED_VALUE"""),28.0)</f>
        <v>28</v>
      </c>
      <c r="K423" s="17">
        <f>IFERROR(__xludf.DUMMYFUNCTION("""COMPUTED_VALUE"""),7.0)</f>
        <v>7</v>
      </c>
      <c r="L423" s="17">
        <f>IFERROR(__xludf.DUMMYFUNCTION("""COMPUTED_VALUE"""),1.0)</f>
        <v>1</v>
      </c>
      <c r="M423" s="17">
        <f>IFERROR(__xludf.DUMMYFUNCTION("""COMPUTED_VALUE"""),9.0)</f>
        <v>9</v>
      </c>
      <c r="N423" s="17">
        <f>IFERROR(__xludf.DUMMYFUNCTION("""COMPUTED_VALUE"""),24.0)</f>
        <v>24</v>
      </c>
      <c r="O423" s="17">
        <f>IFERROR(__xludf.DUMMYFUNCTION("""COMPUTED_VALUE"""),0.347)</f>
        <v>0.347</v>
      </c>
      <c r="P423" s="17">
        <f>IFERROR(__xludf.DUMMYFUNCTION("""COMPUTED_VALUE"""),0.63)</f>
        <v>0.63</v>
      </c>
      <c r="Q423" s="34">
        <f>IFERROR(__xludf.DUMMYFUNCTION("""COMPUTED_VALUE"""),0.0)</f>
        <v>0</v>
      </c>
      <c r="R423" s="34">
        <f>IFERROR(__xludf.DUMMYFUNCTION("""COMPUTED_VALUE"""),0.0)</f>
        <v>0</v>
      </c>
      <c r="S423" s="34">
        <f>IFERROR(__xludf.DUMMYFUNCTION("""COMPUTED_VALUE"""),0.0)</f>
        <v>0</v>
      </c>
      <c r="T423" s="17" t="str">
        <f t="shared" si="1"/>
        <v>Brett Sullivan</v>
      </c>
    </row>
    <row r="424">
      <c r="A424" s="17">
        <f>IFERROR(__xludf.DUMMYFUNCTION("""COMPUTED_VALUE"""),424.0)</f>
        <v>424</v>
      </c>
      <c r="B424" s="17" t="str">
        <f>IFERROR(__xludf.DUMMYFUNCTION("""COMPUTED_VALUE"""),"Zac Veen (COL - LF,RF) MiLB")</f>
        <v>Zac Veen (COL - LF,RF) MiLB</v>
      </c>
      <c r="C424" s="17">
        <f>IFERROR(__xludf.DUMMYFUNCTION("""COMPUTED_VALUE"""),76.0)</f>
        <v>76</v>
      </c>
      <c r="D424" s="17">
        <f>IFERROR(__xludf.DUMMYFUNCTION("""COMPUTED_VALUE"""),10.0)</f>
        <v>10</v>
      </c>
      <c r="E424" s="17">
        <f>IFERROR(__xludf.DUMMYFUNCTION("""COMPUTED_VALUE"""),2.0)</f>
        <v>2</v>
      </c>
      <c r="F424" s="17">
        <f>IFERROR(__xludf.DUMMYFUNCTION("""COMPUTED_VALUE"""),9.0)</f>
        <v>9</v>
      </c>
      <c r="G424" s="17">
        <f>IFERROR(__xludf.DUMMYFUNCTION("""COMPUTED_VALUE"""),3.0)</f>
        <v>3</v>
      </c>
      <c r="H424" s="17">
        <f>IFERROR(__xludf.DUMMYFUNCTION("""COMPUTED_VALUE"""),0.246)</f>
        <v>0.246</v>
      </c>
      <c r="I424" s="17">
        <f>IFERROR(__xludf.DUMMYFUNCTION("""COMPUTED_VALUE"""),0.308)</f>
        <v>0.308</v>
      </c>
      <c r="J424" s="17">
        <f>IFERROR(__xludf.DUMMYFUNCTION("""COMPUTED_VALUE"""),19.0)</f>
        <v>19</v>
      </c>
      <c r="K424" s="17">
        <f>IFERROR(__xludf.DUMMYFUNCTION("""COMPUTED_VALUE"""),4.0)</f>
        <v>4</v>
      </c>
      <c r="L424" s="17">
        <f>IFERROR(__xludf.DUMMYFUNCTION("""COMPUTED_VALUE"""),1.0)</f>
        <v>1</v>
      </c>
      <c r="M424" s="17">
        <f>IFERROR(__xludf.DUMMYFUNCTION("""COMPUTED_VALUE"""),6.0)</f>
        <v>6</v>
      </c>
      <c r="N424" s="17">
        <f>IFERROR(__xludf.DUMMYFUNCTION("""COMPUTED_VALUE"""),20.0)</f>
        <v>20</v>
      </c>
      <c r="O424" s="17">
        <f>IFERROR(__xludf.DUMMYFUNCTION("""COMPUTED_VALUE"""),0.388)</f>
        <v>0.388</v>
      </c>
      <c r="P424" s="17">
        <f>IFERROR(__xludf.DUMMYFUNCTION("""COMPUTED_VALUE"""),0.696)</f>
        <v>0.696</v>
      </c>
      <c r="Q424" s="34">
        <f>IFERROR(__xludf.DUMMYFUNCTION("""COMPUTED_VALUE"""),0.01)</f>
        <v>0.01</v>
      </c>
      <c r="R424" s="34">
        <f>IFERROR(__xludf.DUMMYFUNCTION("""COMPUTED_VALUE"""),0.01)</f>
        <v>0.01</v>
      </c>
      <c r="S424" s="34">
        <f>IFERROR(__xludf.DUMMYFUNCTION("""COMPUTED_VALUE"""),0.0)</f>
        <v>0</v>
      </c>
      <c r="T424" s="17" t="str">
        <f t="shared" si="1"/>
        <v>Zac Veen</v>
      </c>
    </row>
    <row r="425">
      <c r="A425" s="17">
        <f>IFERROR(__xludf.DUMMYFUNCTION("""COMPUTED_VALUE"""),425.0)</f>
        <v>425</v>
      </c>
      <c r="B425" s="17" t="str">
        <f>IFERROR(__xludf.DUMMYFUNCTION("""COMPUTED_VALUE"""),"Daniel Susac (SF - C) IL10")</f>
        <v>Daniel Susac (SF - C) IL10</v>
      </c>
      <c r="C425" s="17">
        <f>IFERROR(__xludf.DUMMYFUNCTION("""COMPUTED_VALUE"""),101.0)</f>
        <v>101</v>
      </c>
      <c r="D425" s="17">
        <f>IFERROR(__xludf.DUMMYFUNCTION("""COMPUTED_VALUE"""),10.0)</f>
        <v>10</v>
      </c>
      <c r="E425" s="17">
        <f>IFERROR(__xludf.DUMMYFUNCTION("""COMPUTED_VALUE"""),3.0)</f>
        <v>3</v>
      </c>
      <c r="F425" s="17">
        <f>IFERROR(__xludf.DUMMYFUNCTION("""COMPUTED_VALUE"""),12.0)</f>
        <v>12</v>
      </c>
      <c r="G425" s="17">
        <f>IFERROR(__xludf.DUMMYFUNCTION("""COMPUTED_VALUE"""),1.0)</f>
        <v>1</v>
      </c>
      <c r="H425" s="17">
        <f>IFERROR(__xludf.DUMMYFUNCTION("""COMPUTED_VALUE"""),0.239)</f>
        <v>0.239</v>
      </c>
      <c r="I425" s="17">
        <f>IFERROR(__xludf.DUMMYFUNCTION("""COMPUTED_VALUE"""),0.287)</f>
        <v>0.287</v>
      </c>
      <c r="J425" s="17">
        <f>IFERROR(__xludf.DUMMYFUNCTION("""COMPUTED_VALUE"""),24.0)</f>
        <v>24</v>
      </c>
      <c r="K425" s="17">
        <f>IFERROR(__xludf.DUMMYFUNCTION("""COMPUTED_VALUE"""),4.0)</f>
        <v>4</v>
      </c>
      <c r="L425" s="17">
        <f>IFERROR(__xludf.DUMMYFUNCTION("""COMPUTED_VALUE"""),1.0)</f>
        <v>1</v>
      </c>
      <c r="M425" s="17">
        <f>IFERROR(__xludf.DUMMYFUNCTION("""COMPUTED_VALUE"""),6.0)</f>
        <v>6</v>
      </c>
      <c r="N425" s="17">
        <f>IFERROR(__xludf.DUMMYFUNCTION("""COMPUTED_VALUE"""),30.0)</f>
        <v>30</v>
      </c>
      <c r="O425" s="17">
        <f>IFERROR(__xludf.DUMMYFUNCTION("""COMPUTED_VALUE"""),0.372)</f>
        <v>0.372</v>
      </c>
      <c r="P425" s="17">
        <f>IFERROR(__xludf.DUMMYFUNCTION("""COMPUTED_VALUE"""),0.658)</f>
        <v>0.658</v>
      </c>
      <c r="Q425" s="34">
        <f>IFERROR(__xludf.DUMMYFUNCTION("""COMPUTED_VALUE"""),0.01)</f>
        <v>0.01</v>
      </c>
      <c r="R425" s="34">
        <f>IFERROR(__xludf.DUMMYFUNCTION("""COMPUTED_VALUE"""),0.01)</f>
        <v>0.01</v>
      </c>
      <c r="S425" s="34">
        <f>IFERROR(__xludf.DUMMYFUNCTION("""COMPUTED_VALUE"""),0.01)</f>
        <v>0.01</v>
      </c>
      <c r="T425" s="17" t="str">
        <f t="shared" si="1"/>
        <v>Daniel Susac</v>
      </c>
    </row>
    <row r="426">
      <c r="A426" s="17">
        <f>IFERROR(__xludf.DUMMYFUNCTION("""COMPUTED_VALUE"""),426.0)</f>
        <v>426</v>
      </c>
      <c r="B426" s="17" t="str">
        <f>IFERROR(__xludf.DUMMYFUNCTION("""COMPUTED_VALUE"""),"Jon Berti (2B,3B) FA")</f>
        <v>Jon Berti (2B,3B) FA</v>
      </c>
      <c r="C426" s="17">
        <f>IFERROR(__xludf.DUMMYFUNCTION("""COMPUTED_VALUE"""),80.0)</f>
        <v>80</v>
      </c>
      <c r="D426" s="17">
        <f>IFERROR(__xludf.DUMMYFUNCTION("""COMPUTED_VALUE"""),10.0)</f>
        <v>10</v>
      </c>
      <c r="E426" s="17">
        <f>IFERROR(__xludf.DUMMYFUNCTION("""COMPUTED_VALUE"""),1.0)</f>
        <v>1</v>
      </c>
      <c r="F426" s="17">
        <f>IFERROR(__xludf.DUMMYFUNCTION("""COMPUTED_VALUE"""),7.0)</f>
        <v>7</v>
      </c>
      <c r="G426" s="17">
        <f>IFERROR(__xludf.DUMMYFUNCTION("""COMPUTED_VALUE"""),5.0)</f>
        <v>5</v>
      </c>
      <c r="H426" s="17">
        <f>IFERROR(__xludf.DUMMYFUNCTION("""COMPUTED_VALUE"""),0.245)</f>
        <v>0.245</v>
      </c>
      <c r="I426" s="17">
        <f>IFERROR(__xludf.DUMMYFUNCTION("""COMPUTED_VALUE"""),0.308)</f>
        <v>0.308</v>
      </c>
      <c r="J426" s="17">
        <f>IFERROR(__xludf.DUMMYFUNCTION("""COMPUTED_VALUE"""),20.0)</f>
        <v>20</v>
      </c>
      <c r="K426" s="17">
        <f>IFERROR(__xludf.DUMMYFUNCTION("""COMPUTED_VALUE"""),3.0)</f>
        <v>3</v>
      </c>
      <c r="L426" s="17">
        <f>IFERROR(__xludf.DUMMYFUNCTION("""COMPUTED_VALUE"""),0.0)</f>
        <v>0</v>
      </c>
      <c r="M426" s="17">
        <f>IFERROR(__xludf.DUMMYFUNCTION("""COMPUTED_VALUE"""),7.0)</f>
        <v>7</v>
      </c>
      <c r="N426" s="17">
        <f>IFERROR(__xludf.DUMMYFUNCTION("""COMPUTED_VALUE"""),19.0)</f>
        <v>19</v>
      </c>
      <c r="O426" s="17">
        <f>IFERROR(__xludf.DUMMYFUNCTION("""COMPUTED_VALUE"""),0.327)</f>
        <v>0.327</v>
      </c>
      <c r="P426" s="17">
        <f>IFERROR(__xludf.DUMMYFUNCTION("""COMPUTED_VALUE"""),0.635)</f>
        <v>0.635</v>
      </c>
      <c r="Q426" s="34">
        <f>IFERROR(__xludf.DUMMYFUNCTION("""COMPUTED_VALUE"""),0.0)</f>
        <v>0</v>
      </c>
      <c r="R426" s="34">
        <f>IFERROR(__xludf.DUMMYFUNCTION("""COMPUTED_VALUE"""),0.0)</f>
        <v>0</v>
      </c>
      <c r="S426" s="34">
        <f>IFERROR(__xludf.DUMMYFUNCTION("""COMPUTED_VALUE"""),0.0)</f>
        <v>0</v>
      </c>
      <c r="T426" s="17" t="str">
        <f t="shared" si="1"/>
        <v>Jon Berti</v>
      </c>
    </row>
    <row r="427">
      <c r="A427" s="17">
        <f>IFERROR(__xludf.DUMMYFUNCTION("""COMPUTED_VALUE"""),427.0)</f>
        <v>427</v>
      </c>
      <c r="B427" s="17" t="str">
        <f>IFERROR(__xludf.DUMMYFUNCTION("""COMPUTED_VALUE"""),"Wilmer Flores (1B,DH) FA")</f>
        <v>Wilmer Flores (1B,DH) FA</v>
      </c>
      <c r="C427" s="17">
        <f>IFERROR(__xludf.DUMMYFUNCTION("""COMPUTED_VALUE"""),94.0)</f>
        <v>94</v>
      </c>
      <c r="D427" s="17">
        <f>IFERROR(__xludf.DUMMYFUNCTION("""COMPUTED_VALUE"""),11.0)</f>
        <v>11</v>
      </c>
      <c r="E427" s="17">
        <f>IFERROR(__xludf.DUMMYFUNCTION("""COMPUTED_VALUE"""),3.0)</f>
        <v>3</v>
      </c>
      <c r="F427" s="17">
        <f>IFERROR(__xludf.DUMMYFUNCTION("""COMPUTED_VALUE"""),12.0)</f>
        <v>12</v>
      </c>
      <c r="G427" s="17">
        <f>IFERROR(__xludf.DUMMYFUNCTION("""COMPUTED_VALUE"""),0.0)</f>
        <v>0</v>
      </c>
      <c r="H427" s="17">
        <f>IFERROR(__xludf.DUMMYFUNCTION("""COMPUTED_VALUE"""),0.232)</f>
        <v>0.232</v>
      </c>
      <c r="I427" s="17">
        <f>IFERROR(__xludf.DUMMYFUNCTION("""COMPUTED_VALUE"""),0.305)</f>
        <v>0.305</v>
      </c>
      <c r="J427" s="17">
        <f>IFERROR(__xludf.DUMMYFUNCTION("""COMPUTED_VALUE"""),22.0)</f>
        <v>22</v>
      </c>
      <c r="K427" s="17">
        <f>IFERROR(__xludf.DUMMYFUNCTION("""COMPUTED_VALUE"""),4.0)</f>
        <v>4</v>
      </c>
      <c r="L427" s="17">
        <f>IFERROR(__xludf.DUMMYFUNCTION("""COMPUTED_VALUE"""),0.0)</f>
        <v>0</v>
      </c>
      <c r="M427" s="17">
        <f>IFERROR(__xludf.DUMMYFUNCTION("""COMPUTED_VALUE"""),9.0)</f>
        <v>9</v>
      </c>
      <c r="N427" s="17">
        <f>IFERROR(__xludf.DUMMYFUNCTION("""COMPUTED_VALUE"""),19.0)</f>
        <v>19</v>
      </c>
      <c r="O427" s="17">
        <f>IFERROR(__xludf.DUMMYFUNCTION("""COMPUTED_VALUE"""),0.383)</f>
        <v>0.383</v>
      </c>
      <c r="P427" s="17">
        <f>IFERROR(__xludf.DUMMYFUNCTION("""COMPUTED_VALUE"""),0.688)</f>
        <v>0.688</v>
      </c>
      <c r="Q427" s="34">
        <f>IFERROR(__xludf.DUMMYFUNCTION("""COMPUTED_VALUE"""),0.0)</f>
        <v>0</v>
      </c>
      <c r="R427" s="34">
        <f>IFERROR(__xludf.DUMMYFUNCTION("""COMPUTED_VALUE"""),0.0)</f>
        <v>0</v>
      </c>
      <c r="S427" s="34">
        <f>IFERROR(__xludf.DUMMYFUNCTION("""COMPUTED_VALUE"""),0.0)</f>
        <v>0</v>
      </c>
      <c r="T427" s="17" t="str">
        <f t="shared" si="1"/>
        <v>Wilmer Flores</v>
      </c>
    </row>
    <row r="428">
      <c r="A428" s="17">
        <f>IFERROR(__xludf.DUMMYFUNCTION("""COMPUTED_VALUE"""),428.0)</f>
        <v>428</v>
      </c>
      <c r="B428" s="17" t="str">
        <f>IFERROR(__xludf.DUMMYFUNCTION("""COMPUTED_VALUE"""),"Leo Jimenez (MIA - 2B)")</f>
        <v>Leo Jimenez (MIA - 2B)</v>
      </c>
      <c r="C428" s="17">
        <f>IFERROR(__xludf.DUMMYFUNCTION("""COMPUTED_VALUE"""),92.0)</f>
        <v>92</v>
      </c>
      <c r="D428" s="17">
        <f>IFERROR(__xludf.DUMMYFUNCTION("""COMPUTED_VALUE"""),12.0)</f>
        <v>12</v>
      </c>
      <c r="E428" s="17">
        <f>IFERROR(__xludf.DUMMYFUNCTION("""COMPUTED_VALUE"""),2.0)</f>
        <v>2</v>
      </c>
      <c r="F428" s="17">
        <f>IFERROR(__xludf.DUMMYFUNCTION("""COMPUTED_VALUE"""),10.0)</f>
        <v>10</v>
      </c>
      <c r="G428" s="17">
        <f>IFERROR(__xludf.DUMMYFUNCTION("""COMPUTED_VALUE"""),1.0)</f>
        <v>1</v>
      </c>
      <c r="H428" s="17">
        <f>IFERROR(__xludf.DUMMYFUNCTION("""COMPUTED_VALUE"""),0.235)</f>
        <v>0.235</v>
      </c>
      <c r="I428" s="17">
        <f>IFERROR(__xludf.DUMMYFUNCTION("""COMPUTED_VALUE"""),0.324)</f>
        <v>0.324</v>
      </c>
      <c r="J428" s="17">
        <f>IFERROR(__xludf.DUMMYFUNCTION("""COMPUTED_VALUE"""),22.0)</f>
        <v>22</v>
      </c>
      <c r="K428" s="17">
        <f>IFERROR(__xludf.DUMMYFUNCTION("""COMPUTED_VALUE"""),4.0)</f>
        <v>4</v>
      </c>
      <c r="L428" s="17">
        <f>IFERROR(__xludf.DUMMYFUNCTION("""COMPUTED_VALUE"""),0.0)</f>
        <v>0</v>
      </c>
      <c r="M428" s="17">
        <f>IFERROR(__xludf.DUMMYFUNCTION("""COMPUTED_VALUE"""),9.0)</f>
        <v>9</v>
      </c>
      <c r="N428" s="17">
        <f>IFERROR(__xludf.DUMMYFUNCTION("""COMPUTED_VALUE"""),23.0)</f>
        <v>23</v>
      </c>
      <c r="O428" s="17">
        <f>IFERROR(__xludf.DUMMYFUNCTION("""COMPUTED_VALUE"""),0.348)</f>
        <v>0.348</v>
      </c>
      <c r="P428" s="17">
        <f>IFERROR(__xludf.DUMMYFUNCTION("""COMPUTED_VALUE"""),0.672)</f>
        <v>0.672</v>
      </c>
      <c r="Q428" s="34">
        <f>IFERROR(__xludf.DUMMYFUNCTION("""COMPUTED_VALUE"""),0.0)</f>
        <v>0</v>
      </c>
      <c r="R428" s="34">
        <f>IFERROR(__xludf.DUMMYFUNCTION("""COMPUTED_VALUE"""),0.0)</f>
        <v>0</v>
      </c>
      <c r="S428" s="34">
        <f>IFERROR(__xludf.DUMMYFUNCTION("""COMPUTED_VALUE"""),0.0)</f>
        <v>0</v>
      </c>
      <c r="T428" s="17" t="str">
        <f t="shared" si="1"/>
        <v>Leo Jimenez</v>
      </c>
    </row>
    <row r="429">
      <c r="A429" s="17">
        <f>IFERROR(__xludf.DUMMYFUNCTION("""COMPUTED_VALUE"""),429.0)</f>
        <v>429</v>
      </c>
      <c r="B429" s="17" t="str">
        <f>IFERROR(__xludf.DUMMYFUNCTION("""COMPUTED_VALUE"""),"Max Kepler (LF,RF) FA")</f>
        <v>Max Kepler (LF,RF) FA</v>
      </c>
      <c r="C429" s="17">
        <f>IFERROR(__xludf.DUMMYFUNCTION("""COMPUTED_VALUE"""),71.0)</f>
        <v>71</v>
      </c>
      <c r="D429" s="17">
        <f>IFERROR(__xludf.DUMMYFUNCTION("""COMPUTED_VALUE"""),9.0)</f>
        <v>9</v>
      </c>
      <c r="E429" s="17">
        <f>IFERROR(__xludf.DUMMYFUNCTION("""COMPUTED_VALUE"""),3.0)</f>
        <v>3</v>
      </c>
      <c r="F429" s="17">
        <f>IFERROR(__xludf.DUMMYFUNCTION("""COMPUTED_VALUE"""),10.0)</f>
        <v>10</v>
      </c>
      <c r="G429" s="17">
        <f>IFERROR(__xludf.DUMMYFUNCTION("""COMPUTED_VALUE"""),1.0)</f>
        <v>1</v>
      </c>
      <c r="H429" s="17">
        <f>IFERROR(__xludf.DUMMYFUNCTION("""COMPUTED_VALUE"""),0.236)</f>
        <v>0.236</v>
      </c>
      <c r="I429" s="17">
        <f>IFERROR(__xludf.DUMMYFUNCTION("""COMPUTED_VALUE"""),0.316)</f>
        <v>0.316</v>
      </c>
      <c r="J429" s="17">
        <f>IFERROR(__xludf.DUMMYFUNCTION("""COMPUTED_VALUE"""),17.0)</f>
        <v>17</v>
      </c>
      <c r="K429" s="17">
        <f>IFERROR(__xludf.DUMMYFUNCTION("""COMPUTED_VALUE"""),4.0)</f>
        <v>4</v>
      </c>
      <c r="L429" s="17">
        <f>IFERROR(__xludf.DUMMYFUNCTION("""COMPUTED_VALUE"""),0.0)</f>
        <v>0</v>
      </c>
      <c r="M429" s="17">
        <f>IFERROR(__xludf.DUMMYFUNCTION("""COMPUTED_VALUE"""),8.0)</f>
        <v>8</v>
      </c>
      <c r="N429" s="17">
        <f>IFERROR(__xludf.DUMMYFUNCTION("""COMPUTED_VALUE"""),16.0)</f>
        <v>16</v>
      </c>
      <c r="O429" s="17">
        <f>IFERROR(__xludf.DUMMYFUNCTION("""COMPUTED_VALUE"""),0.404)</f>
        <v>0.404</v>
      </c>
      <c r="P429" s="17">
        <f>IFERROR(__xludf.DUMMYFUNCTION("""COMPUTED_VALUE"""),0.719)</f>
        <v>0.719</v>
      </c>
      <c r="Q429" s="34">
        <f>IFERROR(__xludf.DUMMYFUNCTION("""COMPUTED_VALUE"""),0.0)</f>
        <v>0</v>
      </c>
      <c r="R429" s="34">
        <f>IFERROR(__xludf.DUMMYFUNCTION("""COMPUTED_VALUE"""),0.0)</f>
        <v>0</v>
      </c>
      <c r="S429" s="34">
        <f>IFERROR(__xludf.DUMMYFUNCTION("""COMPUTED_VALUE"""),0.0)</f>
        <v>0</v>
      </c>
      <c r="T429" s="17" t="str">
        <f t="shared" si="1"/>
        <v>Max Kepler</v>
      </c>
    </row>
    <row r="430">
      <c r="A430" s="17">
        <f>IFERROR(__xludf.DUMMYFUNCTION("""COMPUTED_VALUE"""),430.0)</f>
        <v>430</v>
      </c>
      <c r="B430" s="17" t="str">
        <f>IFERROR(__xludf.DUMMYFUNCTION("""COMPUTED_VALUE"""),"Leo Rivas (SEA - 2B,3B,SS)")</f>
        <v>Leo Rivas (SEA - 2B,3B,SS)</v>
      </c>
      <c r="C430" s="17">
        <f>IFERROR(__xludf.DUMMYFUNCTION("""COMPUTED_VALUE"""),99.0)</f>
        <v>99</v>
      </c>
      <c r="D430" s="17">
        <f>IFERROR(__xludf.DUMMYFUNCTION("""COMPUTED_VALUE"""),14.0)</f>
        <v>14</v>
      </c>
      <c r="E430" s="17">
        <f>IFERROR(__xludf.DUMMYFUNCTION("""COMPUTED_VALUE"""),1.0)</f>
        <v>1</v>
      </c>
      <c r="F430" s="17">
        <f>IFERROR(__xludf.DUMMYFUNCTION("""COMPUTED_VALUE"""),9.0)</f>
        <v>9</v>
      </c>
      <c r="G430" s="17">
        <f>IFERROR(__xludf.DUMMYFUNCTION("""COMPUTED_VALUE"""),4.0)</f>
        <v>4</v>
      </c>
      <c r="H430" s="17">
        <f>IFERROR(__xludf.DUMMYFUNCTION("""COMPUTED_VALUE"""),0.214)</f>
        <v>0.214</v>
      </c>
      <c r="I430" s="17">
        <f>IFERROR(__xludf.DUMMYFUNCTION("""COMPUTED_VALUE"""),0.327)</f>
        <v>0.327</v>
      </c>
      <c r="J430" s="17">
        <f>IFERROR(__xludf.DUMMYFUNCTION("""COMPUTED_VALUE"""),21.0)</f>
        <v>21</v>
      </c>
      <c r="K430" s="17">
        <f>IFERROR(__xludf.DUMMYFUNCTION("""COMPUTED_VALUE"""),3.0)</f>
        <v>3</v>
      </c>
      <c r="L430" s="17">
        <f>IFERROR(__xludf.DUMMYFUNCTION("""COMPUTED_VALUE"""),1.0)</f>
        <v>1</v>
      </c>
      <c r="M430" s="17">
        <f>IFERROR(__xludf.DUMMYFUNCTION("""COMPUTED_VALUE"""),16.0)</f>
        <v>16</v>
      </c>
      <c r="N430" s="17">
        <f>IFERROR(__xludf.DUMMYFUNCTION("""COMPUTED_VALUE"""),30.0)</f>
        <v>30</v>
      </c>
      <c r="O430" s="17">
        <f>IFERROR(__xludf.DUMMYFUNCTION("""COMPUTED_VALUE"""),0.301)</f>
        <v>0.301</v>
      </c>
      <c r="P430" s="17">
        <f>IFERROR(__xludf.DUMMYFUNCTION("""COMPUTED_VALUE"""),0.628)</f>
        <v>0.628</v>
      </c>
      <c r="Q430" s="34">
        <f>IFERROR(__xludf.DUMMYFUNCTION("""COMPUTED_VALUE"""),0.0)</f>
        <v>0</v>
      </c>
      <c r="R430" s="34">
        <f>IFERROR(__xludf.DUMMYFUNCTION("""COMPUTED_VALUE"""),0.0)</f>
        <v>0</v>
      </c>
      <c r="S430" s="34">
        <f>IFERROR(__xludf.DUMMYFUNCTION("""COMPUTED_VALUE"""),0.0)</f>
        <v>0</v>
      </c>
      <c r="T430" s="17" t="str">
        <f t="shared" si="1"/>
        <v>Leo Rivas</v>
      </c>
    </row>
    <row r="431">
      <c r="A431" s="17">
        <f>IFERROR(__xludf.DUMMYFUNCTION("""COMPUTED_VALUE"""),431.0)</f>
        <v>431</v>
      </c>
      <c r="B431" s="17" t="str">
        <f>IFERROR(__xludf.DUMMYFUNCTION("""COMPUTED_VALUE"""),"Max Clark (DET - CF) MiLB")</f>
        <v>Max Clark (DET - CF) MiLB</v>
      </c>
      <c r="C431" s="17">
        <f>IFERROR(__xludf.DUMMYFUNCTION("""COMPUTED_VALUE"""),69.0)</f>
        <v>69</v>
      </c>
      <c r="D431" s="17">
        <f>IFERROR(__xludf.DUMMYFUNCTION("""COMPUTED_VALUE"""),10.0)</f>
        <v>10</v>
      </c>
      <c r="E431" s="17">
        <f>IFERROR(__xludf.DUMMYFUNCTION("""COMPUTED_VALUE"""),2.0)</f>
        <v>2</v>
      </c>
      <c r="F431" s="17">
        <f>IFERROR(__xludf.DUMMYFUNCTION("""COMPUTED_VALUE"""),8.0)</f>
        <v>8</v>
      </c>
      <c r="G431" s="17">
        <f>IFERROR(__xludf.DUMMYFUNCTION("""COMPUTED_VALUE"""),2.0)</f>
        <v>2</v>
      </c>
      <c r="H431" s="17">
        <f>IFERROR(__xludf.DUMMYFUNCTION("""COMPUTED_VALUE"""),0.245)</f>
        <v>0.245</v>
      </c>
      <c r="I431" s="17">
        <f>IFERROR(__xludf.DUMMYFUNCTION("""COMPUTED_VALUE"""),0.329)</f>
        <v>0.329</v>
      </c>
      <c r="J431" s="17">
        <f>IFERROR(__xludf.DUMMYFUNCTION("""COMPUTED_VALUE"""),17.0)</f>
        <v>17</v>
      </c>
      <c r="K431" s="17">
        <f>IFERROR(__xludf.DUMMYFUNCTION("""COMPUTED_VALUE"""),3.0)</f>
        <v>3</v>
      </c>
      <c r="L431" s="17">
        <f>IFERROR(__xludf.DUMMYFUNCTION("""COMPUTED_VALUE"""),1.0)</f>
        <v>1</v>
      </c>
      <c r="M431" s="17">
        <f>IFERROR(__xludf.DUMMYFUNCTION("""COMPUTED_VALUE"""),8.0)</f>
        <v>8</v>
      </c>
      <c r="N431" s="17">
        <f>IFERROR(__xludf.DUMMYFUNCTION("""COMPUTED_VALUE"""),16.0)</f>
        <v>16</v>
      </c>
      <c r="O431" s="17">
        <f>IFERROR(__xludf.DUMMYFUNCTION("""COMPUTED_VALUE"""),0.377)</f>
        <v>0.377</v>
      </c>
      <c r="P431" s="17">
        <f>IFERROR(__xludf.DUMMYFUNCTION("""COMPUTED_VALUE"""),0.706)</f>
        <v>0.706</v>
      </c>
      <c r="Q431" s="34">
        <f>IFERROR(__xludf.DUMMYFUNCTION("""COMPUTED_VALUE"""),0.06)</f>
        <v>0.06</v>
      </c>
      <c r="R431" s="34">
        <f>IFERROR(__xludf.DUMMYFUNCTION("""COMPUTED_VALUE"""),0.09)</f>
        <v>0.09</v>
      </c>
      <c r="S431" s="34">
        <f>IFERROR(__xludf.DUMMYFUNCTION("""COMPUTED_VALUE"""),0.03)</f>
        <v>0.03</v>
      </c>
      <c r="T431" s="17" t="str">
        <f t="shared" si="1"/>
        <v>Max Clark</v>
      </c>
    </row>
    <row r="432">
      <c r="A432" s="17">
        <f>IFERROR(__xludf.DUMMYFUNCTION("""COMPUTED_VALUE"""),432.0)</f>
        <v>432</v>
      </c>
      <c r="B432" s="17" t="str">
        <f>IFERROR(__xludf.DUMMYFUNCTION("""COMPUTED_VALUE"""),"J.C. Escarra (NYY - C)")</f>
        <v>J.C. Escarra (NYY - C)</v>
      </c>
      <c r="C432" s="17">
        <f>IFERROR(__xludf.DUMMYFUNCTION("""COMPUTED_VALUE"""),97.0)</f>
        <v>97</v>
      </c>
      <c r="D432" s="17">
        <f>IFERROR(__xludf.DUMMYFUNCTION("""COMPUTED_VALUE"""),12.0)</f>
        <v>12</v>
      </c>
      <c r="E432" s="17">
        <f>IFERROR(__xludf.DUMMYFUNCTION("""COMPUTED_VALUE"""),2.0)</f>
        <v>2</v>
      </c>
      <c r="F432" s="17">
        <f>IFERROR(__xludf.DUMMYFUNCTION("""COMPUTED_VALUE"""),11.0)</f>
        <v>11</v>
      </c>
      <c r="G432" s="17">
        <f>IFERROR(__xludf.DUMMYFUNCTION("""COMPUTED_VALUE"""),1.0)</f>
        <v>1</v>
      </c>
      <c r="H432" s="17">
        <f>IFERROR(__xludf.DUMMYFUNCTION("""COMPUTED_VALUE"""),0.223)</f>
        <v>0.223</v>
      </c>
      <c r="I432" s="17">
        <f>IFERROR(__xludf.DUMMYFUNCTION("""COMPUTED_VALUE"""),0.297)</f>
        <v>0.297</v>
      </c>
      <c r="J432" s="17">
        <f>IFERROR(__xludf.DUMMYFUNCTION("""COMPUTED_VALUE"""),22.0)</f>
        <v>22</v>
      </c>
      <c r="K432" s="17">
        <f>IFERROR(__xludf.DUMMYFUNCTION("""COMPUTED_VALUE"""),5.0)</f>
        <v>5</v>
      </c>
      <c r="L432" s="17">
        <f>IFERROR(__xludf.DUMMYFUNCTION("""COMPUTED_VALUE"""),1.0)</f>
        <v>1</v>
      </c>
      <c r="M432" s="17">
        <f>IFERROR(__xludf.DUMMYFUNCTION("""COMPUTED_VALUE"""),10.0)</f>
        <v>10</v>
      </c>
      <c r="N432" s="17">
        <f>IFERROR(__xludf.DUMMYFUNCTION("""COMPUTED_VALUE"""),21.0)</f>
        <v>21</v>
      </c>
      <c r="O432" s="17">
        <f>IFERROR(__xludf.DUMMYFUNCTION("""COMPUTED_VALUE"""),0.349)</f>
        <v>0.349</v>
      </c>
      <c r="P432" s="17">
        <f>IFERROR(__xludf.DUMMYFUNCTION("""COMPUTED_VALUE"""),0.646)</f>
        <v>0.646</v>
      </c>
      <c r="Q432" s="34">
        <f>IFERROR(__xludf.DUMMYFUNCTION("""COMPUTED_VALUE"""),0.0)</f>
        <v>0</v>
      </c>
      <c r="R432" s="34">
        <f>IFERROR(__xludf.DUMMYFUNCTION("""COMPUTED_VALUE"""),0.0)</f>
        <v>0</v>
      </c>
      <c r="S432" s="34">
        <f>IFERROR(__xludf.DUMMYFUNCTION("""COMPUTED_VALUE"""),0.0)</f>
        <v>0</v>
      </c>
      <c r="T432" s="17" t="str">
        <f t="shared" si="1"/>
        <v>J.C. Escarra</v>
      </c>
    </row>
    <row r="433">
      <c r="A433" s="17">
        <f>IFERROR(__xludf.DUMMYFUNCTION("""COMPUTED_VALUE"""),433.0)</f>
        <v>433</v>
      </c>
      <c r="B433" s="17" t="str">
        <f>IFERROR(__xludf.DUMMYFUNCTION("""COMPUTED_VALUE"""),"Rafael Marchan (PHI - C)")</f>
        <v>Rafael Marchan (PHI - C)</v>
      </c>
      <c r="C433" s="17">
        <f>IFERROR(__xludf.DUMMYFUNCTION("""COMPUTED_VALUE"""),116.0)</f>
        <v>116</v>
      </c>
      <c r="D433" s="17">
        <f>IFERROR(__xludf.DUMMYFUNCTION("""COMPUTED_VALUE"""),13.0)</f>
        <v>13</v>
      </c>
      <c r="E433" s="17">
        <f>IFERROR(__xludf.DUMMYFUNCTION("""COMPUTED_VALUE"""),2.0)</f>
        <v>2</v>
      </c>
      <c r="F433" s="17">
        <f>IFERROR(__xludf.DUMMYFUNCTION("""COMPUTED_VALUE"""),13.0)</f>
        <v>13</v>
      </c>
      <c r="G433" s="17">
        <f>IFERROR(__xludf.DUMMYFUNCTION("""COMPUTED_VALUE"""),1.0)</f>
        <v>1</v>
      </c>
      <c r="H433" s="17">
        <f>IFERROR(__xludf.DUMMYFUNCTION("""COMPUTED_VALUE"""),0.219)</f>
        <v>0.219</v>
      </c>
      <c r="I433" s="17">
        <f>IFERROR(__xludf.DUMMYFUNCTION("""COMPUTED_VALUE"""),0.289)</f>
        <v>0.289</v>
      </c>
      <c r="J433" s="17">
        <f>IFERROR(__xludf.DUMMYFUNCTION("""COMPUTED_VALUE"""),25.0)</f>
        <v>25</v>
      </c>
      <c r="K433" s="17">
        <f>IFERROR(__xludf.DUMMYFUNCTION("""COMPUTED_VALUE"""),5.0)</f>
        <v>5</v>
      </c>
      <c r="L433" s="17">
        <f>IFERROR(__xludf.DUMMYFUNCTION("""COMPUTED_VALUE"""),0.0)</f>
        <v>0</v>
      </c>
      <c r="M433" s="17">
        <f>IFERROR(__xludf.DUMMYFUNCTION("""COMPUTED_VALUE"""),10.0)</f>
        <v>10</v>
      </c>
      <c r="N433" s="17">
        <f>IFERROR(__xludf.DUMMYFUNCTION("""COMPUTED_VALUE"""),23.0)</f>
        <v>23</v>
      </c>
      <c r="O433" s="17">
        <f>IFERROR(__xludf.DUMMYFUNCTION("""COMPUTED_VALUE"""),0.324)</f>
        <v>0.324</v>
      </c>
      <c r="P433" s="17">
        <f>IFERROR(__xludf.DUMMYFUNCTION("""COMPUTED_VALUE"""),0.613)</f>
        <v>0.613</v>
      </c>
      <c r="Q433" s="34">
        <f>IFERROR(__xludf.DUMMYFUNCTION("""COMPUTED_VALUE"""),0.0)</f>
        <v>0</v>
      </c>
      <c r="R433" s="34">
        <f>IFERROR(__xludf.DUMMYFUNCTION("""COMPUTED_VALUE"""),0.0)</f>
        <v>0</v>
      </c>
      <c r="S433" s="34">
        <f>IFERROR(__xludf.DUMMYFUNCTION("""COMPUTED_VALUE"""),0.0)</f>
        <v>0</v>
      </c>
      <c r="T433" s="17" t="str">
        <f t="shared" si="1"/>
        <v>Rafael Marchan</v>
      </c>
    </row>
    <row r="434">
      <c r="A434" s="17">
        <f>IFERROR(__xludf.DUMMYFUNCTION("""COMPUTED_VALUE"""),434.0)</f>
        <v>434</v>
      </c>
      <c r="B434" s="17" t="str">
        <f>IFERROR(__xludf.DUMMYFUNCTION("""COMPUTED_VALUE"""),"Ryan Ritter (COL - 2B,SS) MiLB")</f>
        <v>Ryan Ritter (COL - 2B,SS) MiLB</v>
      </c>
      <c r="C434" s="17">
        <f>IFERROR(__xludf.DUMMYFUNCTION("""COMPUTED_VALUE"""),70.0)</f>
        <v>70</v>
      </c>
      <c r="D434" s="17">
        <f>IFERROR(__xludf.DUMMYFUNCTION("""COMPUTED_VALUE"""),10.0)</f>
        <v>10</v>
      </c>
      <c r="E434" s="17">
        <f>IFERROR(__xludf.DUMMYFUNCTION("""COMPUTED_VALUE"""),2.0)</f>
        <v>2</v>
      </c>
      <c r="F434" s="17">
        <f>IFERROR(__xludf.DUMMYFUNCTION("""COMPUTED_VALUE"""),8.0)</f>
        <v>8</v>
      </c>
      <c r="G434" s="17">
        <f>IFERROR(__xludf.DUMMYFUNCTION("""COMPUTED_VALUE"""),1.0)</f>
        <v>1</v>
      </c>
      <c r="H434" s="17">
        <f>IFERROR(__xludf.DUMMYFUNCTION("""COMPUTED_VALUE"""),0.253)</f>
        <v>0.253</v>
      </c>
      <c r="I434" s="17">
        <f>IFERROR(__xludf.DUMMYFUNCTION("""COMPUTED_VALUE"""),0.323)</f>
        <v>0.323</v>
      </c>
      <c r="J434" s="17">
        <f>IFERROR(__xludf.DUMMYFUNCTION("""COMPUTED_VALUE"""),18.0)</f>
        <v>18</v>
      </c>
      <c r="K434" s="17">
        <f>IFERROR(__xludf.DUMMYFUNCTION("""COMPUTED_VALUE"""),3.0)</f>
        <v>3</v>
      </c>
      <c r="L434" s="17">
        <f>IFERROR(__xludf.DUMMYFUNCTION("""COMPUTED_VALUE"""),1.0)</f>
        <v>1</v>
      </c>
      <c r="M434" s="17">
        <f>IFERROR(__xludf.DUMMYFUNCTION("""COMPUTED_VALUE"""),6.0)</f>
        <v>6</v>
      </c>
      <c r="N434" s="17">
        <f>IFERROR(__xludf.DUMMYFUNCTION("""COMPUTED_VALUE"""),21.0)</f>
        <v>21</v>
      </c>
      <c r="O434" s="17">
        <f>IFERROR(__xludf.DUMMYFUNCTION("""COMPUTED_VALUE"""),0.404)</f>
        <v>0.404</v>
      </c>
      <c r="P434" s="17">
        <f>IFERROR(__xludf.DUMMYFUNCTION("""COMPUTED_VALUE"""),0.726)</f>
        <v>0.726</v>
      </c>
      <c r="Q434" s="34">
        <f>IFERROR(__xludf.DUMMYFUNCTION("""COMPUTED_VALUE"""),0.0)</f>
        <v>0</v>
      </c>
      <c r="R434" s="34">
        <f>IFERROR(__xludf.DUMMYFUNCTION("""COMPUTED_VALUE"""),0.0)</f>
        <v>0</v>
      </c>
      <c r="S434" s="34">
        <f>IFERROR(__xludf.DUMMYFUNCTION("""COMPUTED_VALUE"""),0.0)</f>
        <v>0</v>
      </c>
      <c r="T434" s="17" t="str">
        <f t="shared" si="1"/>
        <v>Ryan Ritter</v>
      </c>
    </row>
    <row r="435">
      <c r="A435" s="17">
        <f>IFERROR(__xludf.DUMMYFUNCTION("""COMPUTED_VALUE"""),435.0)</f>
        <v>435</v>
      </c>
      <c r="B435" s="17" t="str">
        <f>IFERROR(__xludf.DUMMYFUNCTION("""COMPUTED_VALUE"""),"Santiago Espinal (LAD - 2B,3B,LF,RF)")</f>
        <v>Santiago Espinal (LAD - 2B,3B,LF,RF)</v>
      </c>
      <c r="C435" s="17">
        <f>IFERROR(__xludf.DUMMYFUNCTION("""COMPUTED_VALUE"""),98.0)</f>
        <v>98</v>
      </c>
      <c r="D435" s="17">
        <f>IFERROR(__xludf.DUMMYFUNCTION("""COMPUTED_VALUE"""),11.0)</f>
        <v>11</v>
      </c>
      <c r="E435" s="17">
        <f>IFERROR(__xludf.DUMMYFUNCTION("""COMPUTED_VALUE"""),1.0)</f>
        <v>1</v>
      </c>
      <c r="F435" s="17">
        <f>IFERROR(__xludf.DUMMYFUNCTION("""COMPUTED_VALUE"""),10.0)</f>
        <v>10</v>
      </c>
      <c r="G435" s="17">
        <f>IFERROR(__xludf.DUMMYFUNCTION("""COMPUTED_VALUE"""),1.0)</f>
        <v>1</v>
      </c>
      <c r="H435" s="17">
        <f>IFERROR(__xludf.DUMMYFUNCTION("""COMPUTED_VALUE"""),0.247)</f>
        <v>0.247</v>
      </c>
      <c r="I435" s="17">
        <f>IFERROR(__xludf.DUMMYFUNCTION("""COMPUTED_VALUE"""),0.3)</f>
        <v>0.3</v>
      </c>
      <c r="J435" s="17">
        <f>IFERROR(__xludf.DUMMYFUNCTION("""COMPUTED_VALUE"""),24.0)</f>
        <v>24</v>
      </c>
      <c r="K435" s="17">
        <f>IFERROR(__xludf.DUMMYFUNCTION("""COMPUTED_VALUE"""),4.0)</f>
        <v>4</v>
      </c>
      <c r="L435" s="17">
        <f>IFERROR(__xludf.DUMMYFUNCTION("""COMPUTED_VALUE"""),0.0)</f>
        <v>0</v>
      </c>
      <c r="M435" s="17">
        <f>IFERROR(__xludf.DUMMYFUNCTION("""COMPUTED_VALUE"""),7.0)</f>
        <v>7</v>
      </c>
      <c r="N435" s="17">
        <f>IFERROR(__xludf.DUMMYFUNCTION("""COMPUTED_VALUE"""),14.0)</f>
        <v>14</v>
      </c>
      <c r="O435" s="17">
        <f>IFERROR(__xludf.DUMMYFUNCTION("""COMPUTED_VALUE"""),0.331)</f>
        <v>0.331</v>
      </c>
      <c r="P435" s="17">
        <f>IFERROR(__xludf.DUMMYFUNCTION("""COMPUTED_VALUE"""),0.631)</f>
        <v>0.631</v>
      </c>
      <c r="Q435" s="34">
        <f>IFERROR(__xludf.DUMMYFUNCTION("""COMPUTED_VALUE"""),0.0)</f>
        <v>0</v>
      </c>
      <c r="R435" s="34">
        <f>IFERROR(__xludf.DUMMYFUNCTION("""COMPUTED_VALUE"""),0.0)</f>
        <v>0</v>
      </c>
      <c r="S435" s="34">
        <f>IFERROR(__xludf.DUMMYFUNCTION("""COMPUTED_VALUE"""),0.0)</f>
        <v>0</v>
      </c>
      <c r="T435" s="17" t="str">
        <f t="shared" si="1"/>
        <v>Santiago Espinal</v>
      </c>
    </row>
    <row r="436">
      <c r="A436" s="17">
        <f>IFERROR(__xludf.DUMMYFUNCTION("""COMPUTED_VALUE"""),436.0)</f>
        <v>436</v>
      </c>
      <c r="B436" s="17" t="str">
        <f>IFERROR(__xludf.DUMMYFUNCTION("""COMPUTED_VALUE"""),"Brett Harris (ATH - 3B)")</f>
        <v>Brett Harris (ATH - 3B)</v>
      </c>
      <c r="C436" s="17">
        <f>IFERROR(__xludf.DUMMYFUNCTION("""COMPUTED_VALUE"""),87.0)</f>
        <v>87</v>
      </c>
      <c r="D436" s="17">
        <f>IFERROR(__xludf.DUMMYFUNCTION("""COMPUTED_VALUE"""),11.0)</f>
        <v>11</v>
      </c>
      <c r="E436" s="17">
        <f>IFERROR(__xludf.DUMMYFUNCTION("""COMPUTED_VALUE"""),2.0)</f>
        <v>2</v>
      </c>
      <c r="F436" s="17">
        <f>IFERROR(__xludf.DUMMYFUNCTION("""COMPUTED_VALUE"""),10.0)</f>
        <v>10</v>
      </c>
      <c r="G436" s="17">
        <f>IFERROR(__xludf.DUMMYFUNCTION("""COMPUTED_VALUE"""),1.0)</f>
        <v>1</v>
      </c>
      <c r="H436" s="17">
        <f>IFERROR(__xludf.DUMMYFUNCTION("""COMPUTED_VALUE"""),0.231)</f>
        <v>0.231</v>
      </c>
      <c r="I436" s="17">
        <f>IFERROR(__xludf.DUMMYFUNCTION("""COMPUTED_VALUE"""),0.313)</f>
        <v>0.313</v>
      </c>
      <c r="J436" s="17">
        <f>IFERROR(__xludf.DUMMYFUNCTION("""COMPUTED_VALUE"""),20.0)</f>
        <v>20</v>
      </c>
      <c r="K436" s="17">
        <f>IFERROR(__xludf.DUMMYFUNCTION("""COMPUTED_VALUE"""),4.0)</f>
        <v>4</v>
      </c>
      <c r="L436" s="17">
        <f>IFERROR(__xludf.DUMMYFUNCTION("""COMPUTED_VALUE"""),0.0)</f>
        <v>0</v>
      </c>
      <c r="M436" s="17">
        <f>IFERROR(__xludf.DUMMYFUNCTION("""COMPUTED_VALUE"""),9.0)</f>
        <v>9</v>
      </c>
      <c r="N436" s="17">
        <f>IFERROR(__xludf.DUMMYFUNCTION("""COMPUTED_VALUE"""),21.0)</f>
        <v>21</v>
      </c>
      <c r="O436" s="17">
        <f>IFERROR(__xludf.DUMMYFUNCTION("""COMPUTED_VALUE"""),0.353)</f>
        <v>0.353</v>
      </c>
      <c r="P436" s="17">
        <f>IFERROR(__xludf.DUMMYFUNCTION("""COMPUTED_VALUE"""),0.666)</f>
        <v>0.666</v>
      </c>
      <c r="Q436" s="34">
        <f>IFERROR(__xludf.DUMMYFUNCTION("""COMPUTED_VALUE"""),0.0)</f>
        <v>0</v>
      </c>
      <c r="R436" s="34">
        <f>IFERROR(__xludf.DUMMYFUNCTION("""COMPUTED_VALUE"""),0.0)</f>
        <v>0</v>
      </c>
      <c r="S436" s="34">
        <f>IFERROR(__xludf.DUMMYFUNCTION("""COMPUTED_VALUE"""),0.0)</f>
        <v>0</v>
      </c>
      <c r="T436" s="17" t="str">
        <f t="shared" si="1"/>
        <v>Brett Harris</v>
      </c>
    </row>
    <row r="437">
      <c r="A437" s="17">
        <f>IFERROR(__xludf.DUMMYFUNCTION("""COMPUTED_VALUE"""),437.0)</f>
        <v>437</v>
      </c>
      <c r="B437" s="17" t="str">
        <f>IFERROR(__xludf.DUMMYFUNCTION("""COMPUTED_VALUE"""),"Ryan Mountcastle (BAL - 1B,DH) IL60")</f>
        <v>Ryan Mountcastle (BAL - 1B,DH) IL60</v>
      </c>
      <c r="C437" s="17">
        <f>IFERROR(__xludf.DUMMYFUNCTION("""COMPUTED_VALUE"""),71.0)</f>
        <v>71</v>
      </c>
      <c r="D437" s="17">
        <f>IFERROR(__xludf.DUMMYFUNCTION("""COMPUTED_VALUE"""),9.0)</f>
        <v>9</v>
      </c>
      <c r="E437" s="17">
        <f>IFERROR(__xludf.DUMMYFUNCTION("""COMPUTED_VALUE"""),2.0)</f>
        <v>2</v>
      </c>
      <c r="F437" s="17">
        <f>IFERROR(__xludf.DUMMYFUNCTION("""COMPUTED_VALUE"""),10.0)</f>
        <v>10</v>
      </c>
      <c r="G437" s="17">
        <f>IFERROR(__xludf.DUMMYFUNCTION("""COMPUTED_VALUE"""),0.0)</f>
        <v>0</v>
      </c>
      <c r="H437" s="17">
        <f>IFERROR(__xludf.DUMMYFUNCTION("""COMPUTED_VALUE"""),0.251)</f>
        <v>0.251</v>
      </c>
      <c r="I437" s="17">
        <f>IFERROR(__xludf.DUMMYFUNCTION("""COMPUTED_VALUE"""),0.3)</f>
        <v>0.3</v>
      </c>
      <c r="J437" s="17">
        <f>IFERROR(__xludf.DUMMYFUNCTION("""COMPUTED_VALUE"""),18.0)</f>
        <v>18</v>
      </c>
      <c r="K437" s="17">
        <f>IFERROR(__xludf.DUMMYFUNCTION("""COMPUTED_VALUE"""),4.0)</f>
        <v>4</v>
      </c>
      <c r="L437" s="17">
        <f>IFERROR(__xludf.DUMMYFUNCTION("""COMPUTED_VALUE"""),0.0)</f>
        <v>0</v>
      </c>
      <c r="M437" s="17">
        <f>IFERROR(__xludf.DUMMYFUNCTION("""COMPUTED_VALUE"""),5.0)</f>
        <v>5</v>
      </c>
      <c r="N437" s="17">
        <f>IFERROR(__xludf.DUMMYFUNCTION("""COMPUTED_VALUE"""),19.0)</f>
        <v>19</v>
      </c>
      <c r="O437" s="17">
        <f>IFERROR(__xludf.DUMMYFUNCTION("""COMPUTED_VALUE"""),0.402)</f>
        <v>0.402</v>
      </c>
      <c r="P437" s="17">
        <f>IFERROR(__xludf.DUMMYFUNCTION("""COMPUTED_VALUE"""),0.702)</f>
        <v>0.702</v>
      </c>
      <c r="Q437" s="34">
        <f>IFERROR(__xludf.DUMMYFUNCTION("""COMPUTED_VALUE"""),0.0)</f>
        <v>0</v>
      </c>
      <c r="R437" s="34">
        <f>IFERROR(__xludf.DUMMYFUNCTION("""COMPUTED_VALUE"""),0.0)</f>
        <v>0</v>
      </c>
      <c r="S437" s="34">
        <f>IFERROR(__xludf.DUMMYFUNCTION("""COMPUTED_VALUE"""),0.0)</f>
        <v>0</v>
      </c>
      <c r="T437" s="17" t="str">
        <f t="shared" si="1"/>
        <v>Ryan Mountcastle</v>
      </c>
    </row>
    <row r="438">
      <c r="A438" s="17">
        <f>IFERROR(__xludf.DUMMYFUNCTION("""COMPUTED_VALUE"""),438.0)</f>
        <v>438</v>
      </c>
      <c r="B438" s="17" t="str">
        <f>IFERROR(__xludf.DUMMYFUNCTION("""COMPUTED_VALUE"""),"Michael Conforto (CHC - LF,RF,DH)")</f>
        <v>Michael Conforto (CHC - LF,RF,DH)</v>
      </c>
      <c r="C438" s="17">
        <f>IFERROR(__xludf.DUMMYFUNCTION("""COMPUTED_VALUE"""),85.0)</f>
        <v>85</v>
      </c>
      <c r="D438" s="17">
        <f>IFERROR(__xludf.DUMMYFUNCTION("""COMPUTED_VALUE"""),11.0)</f>
        <v>11</v>
      </c>
      <c r="E438" s="17">
        <f>IFERROR(__xludf.DUMMYFUNCTION("""COMPUTED_VALUE"""),3.0)</f>
        <v>3</v>
      </c>
      <c r="F438" s="17">
        <f>IFERROR(__xludf.DUMMYFUNCTION("""COMPUTED_VALUE"""),10.0)</f>
        <v>10</v>
      </c>
      <c r="G438" s="17">
        <f>IFERROR(__xludf.DUMMYFUNCTION("""COMPUTED_VALUE"""),0.0)</f>
        <v>0</v>
      </c>
      <c r="H438" s="17">
        <f>IFERROR(__xludf.DUMMYFUNCTION("""COMPUTED_VALUE"""),0.218)</f>
        <v>0.218</v>
      </c>
      <c r="I438" s="17">
        <f>IFERROR(__xludf.DUMMYFUNCTION("""COMPUTED_VALUE"""),0.313)</f>
        <v>0.313</v>
      </c>
      <c r="J438" s="17">
        <f>IFERROR(__xludf.DUMMYFUNCTION("""COMPUTED_VALUE"""),19.0)</f>
        <v>19</v>
      </c>
      <c r="K438" s="17">
        <f>IFERROR(__xludf.DUMMYFUNCTION("""COMPUTED_VALUE"""),4.0)</f>
        <v>4</v>
      </c>
      <c r="L438" s="17">
        <f>IFERROR(__xludf.DUMMYFUNCTION("""COMPUTED_VALUE"""),0.0)</f>
        <v>0</v>
      </c>
      <c r="M438" s="17">
        <f>IFERROR(__xludf.DUMMYFUNCTION("""COMPUTED_VALUE"""),11.0)</f>
        <v>11</v>
      </c>
      <c r="N438" s="17">
        <f>IFERROR(__xludf.DUMMYFUNCTION("""COMPUTED_VALUE"""),25.0)</f>
        <v>25</v>
      </c>
      <c r="O438" s="17">
        <f>IFERROR(__xludf.DUMMYFUNCTION("""COMPUTED_VALUE"""),0.358)</f>
        <v>0.358</v>
      </c>
      <c r="P438" s="17">
        <f>IFERROR(__xludf.DUMMYFUNCTION("""COMPUTED_VALUE"""),0.671)</f>
        <v>0.671</v>
      </c>
      <c r="Q438" s="34">
        <f>IFERROR(__xludf.DUMMYFUNCTION("""COMPUTED_VALUE"""),0.0)</f>
        <v>0</v>
      </c>
      <c r="R438" s="34">
        <f>IFERROR(__xludf.DUMMYFUNCTION("""COMPUTED_VALUE"""),0.0)</f>
        <v>0</v>
      </c>
      <c r="S438" s="34">
        <f>IFERROR(__xludf.DUMMYFUNCTION("""COMPUTED_VALUE"""),0.0)</f>
        <v>0</v>
      </c>
      <c r="T438" s="17" t="str">
        <f t="shared" si="1"/>
        <v>Michael Conforto</v>
      </c>
    </row>
    <row r="439">
      <c r="A439" s="17">
        <f>IFERROR(__xludf.DUMMYFUNCTION("""COMPUTED_VALUE"""),439.0)</f>
        <v>439</v>
      </c>
      <c r="B439" s="17" t="str">
        <f>IFERROR(__xludf.DUMMYFUNCTION("""COMPUTED_VALUE"""),"Bryce Johnson (SD - LF,CF,RF)")</f>
        <v>Bryce Johnson (SD - LF,CF,RF)</v>
      </c>
      <c r="C439" s="17">
        <f>IFERROR(__xludf.DUMMYFUNCTION("""COMPUTED_VALUE"""),90.0)</f>
        <v>90</v>
      </c>
      <c r="D439" s="17">
        <f>IFERROR(__xludf.DUMMYFUNCTION("""COMPUTED_VALUE"""),11.0)</f>
        <v>11</v>
      </c>
      <c r="E439" s="17">
        <f>IFERROR(__xludf.DUMMYFUNCTION("""COMPUTED_VALUE"""),1.0)</f>
        <v>1</v>
      </c>
      <c r="F439" s="17">
        <f>IFERROR(__xludf.DUMMYFUNCTION("""COMPUTED_VALUE"""),8.0)</f>
        <v>8</v>
      </c>
      <c r="G439" s="17">
        <f>IFERROR(__xludf.DUMMYFUNCTION("""COMPUTED_VALUE"""),4.0)</f>
        <v>4</v>
      </c>
      <c r="H439" s="17">
        <f>IFERROR(__xludf.DUMMYFUNCTION("""COMPUTED_VALUE"""),0.223)</f>
        <v>0.223</v>
      </c>
      <c r="I439" s="17">
        <f>IFERROR(__xludf.DUMMYFUNCTION("""COMPUTED_VALUE"""),0.294)</f>
        <v>0.294</v>
      </c>
      <c r="J439" s="17">
        <f>IFERROR(__xludf.DUMMYFUNCTION("""COMPUTED_VALUE"""),20.0)</f>
        <v>20</v>
      </c>
      <c r="K439" s="17">
        <f>IFERROR(__xludf.DUMMYFUNCTION("""COMPUTED_VALUE"""),4.0)</f>
        <v>4</v>
      </c>
      <c r="L439" s="17">
        <f>IFERROR(__xludf.DUMMYFUNCTION("""COMPUTED_VALUE"""),0.0)</f>
        <v>0</v>
      </c>
      <c r="M439" s="17">
        <f>IFERROR(__xludf.DUMMYFUNCTION("""COMPUTED_VALUE"""),8.0)</f>
        <v>8</v>
      </c>
      <c r="N439" s="17">
        <f>IFERROR(__xludf.DUMMYFUNCTION("""COMPUTED_VALUE"""),28.0)</f>
        <v>28</v>
      </c>
      <c r="O439" s="17">
        <f>IFERROR(__xludf.DUMMYFUNCTION("""COMPUTED_VALUE"""),0.31)</f>
        <v>0.31</v>
      </c>
      <c r="P439" s="17">
        <f>IFERROR(__xludf.DUMMYFUNCTION("""COMPUTED_VALUE"""),0.603)</f>
        <v>0.603</v>
      </c>
      <c r="Q439" s="34">
        <f>IFERROR(__xludf.DUMMYFUNCTION("""COMPUTED_VALUE"""),0.0)</f>
        <v>0</v>
      </c>
      <c r="R439" s="34">
        <f>IFERROR(__xludf.DUMMYFUNCTION("""COMPUTED_VALUE"""),0.0)</f>
        <v>0</v>
      </c>
      <c r="S439" s="34">
        <f>IFERROR(__xludf.DUMMYFUNCTION("""COMPUTED_VALUE"""),0.0)</f>
        <v>0</v>
      </c>
      <c r="T439" s="17" t="str">
        <f t="shared" si="1"/>
        <v>Bryce Johnson</v>
      </c>
    </row>
    <row r="440">
      <c r="A440" s="17">
        <f>IFERROR(__xludf.DUMMYFUNCTION("""COMPUTED_VALUE"""),440.0)</f>
        <v>440</v>
      </c>
      <c r="B440" s="17" t="str">
        <f>IFERROR(__xludf.DUMMYFUNCTION("""COMPUTED_VALUE"""),"Austin Hedges (CLE - C)")</f>
        <v>Austin Hedges (CLE - C)</v>
      </c>
      <c r="C440" s="17">
        <f>IFERROR(__xludf.DUMMYFUNCTION("""COMPUTED_VALUE"""),145.0)</f>
        <v>145</v>
      </c>
      <c r="D440" s="17">
        <f>IFERROR(__xludf.DUMMYFUNCTION("""COMPUTED_VALUE"""),15.0)</f>
        <v>15</v>
      </c>
      <c r="E440" s="17">
        <f>IFERROR(__xludf.DUMMYFUNCTION("""COMPUTED_VALUE"""),3.0)</f>
        <v>3</v>
      </c>
      <c r="F440" s="17">
        <f>IFERROR(__xludf.DUMMYFUNCTION("""COMPUTED_VALUE"""),13.0)</f>
        <v>13</v>
      </c>
      <c r="G440" s="17">
        <f>IFERROR(__xludf.DUMMYFUNCTION("""COMPUTED_VALUE"""),2.0)</f>
        <v>2</v>
      </c>
      <c r="H440" s="17">
        <f>IFERROR(__xludf.DUMMYFUNCTION("""COMPUTED_VALUE"""),0.195)</f>
        <v>0.195</v>
      </c>
      <c r="I440" s="17">
        <f>IFERROR(__xludf.DUMMYFUNCTION("""COMPUTED_VALUE"""),0.263)</f>
        <v>0.263</v>
      </c>
      <c r="J440" s="17">
        <f>IFERROR(__xludf.DUMMYFUNCTION("""COMPUTED_VALUE"""),28.0)</f>
        <v>28</v>
      </c>
      <c r="K440" s="17">
        <f>IFERROR(__xludf.DUMMYFUNCTION("""COMPUTED_VALUE"""),5.0)</f>
        <v>5</v>
      </c>
      <c r="L440" s="17">
        <f>IFERROR(__xludf.DUMMYFUNCTION("""COMPUTED_VALUE"""),0.0)</f>
        <v>0</v>
      </c>
      <c r="M440" s="17">
        <f>IFERROR(__xludf.DUMMYFUNCTION("""COMPUTED_VALUE"""),13.0)</f>
        <v>13</v>
      </c>
      <c r="N440" s="17">
        <f>IFERROR(__xludf.DUMMYFUNCTION("""COMPUTED_VALUE"""),42.0)</f>
        <v>42</v>
      </c>
      <c r="O440" s="17">
        <f>IFERROR(__xludf.DUMMYFUNCTION("""COMPUTED_VALUE"""),0.298)</f>
        <v>0.298</v>
      </c>
      <c r="P440" s="17">
        <f>IFERROR(__xludf.DUMMYFUNCTION("""COMPUTED_VALUE"""),0.561)</f>
        <v>0.561</v>
      </c>
      <c r="Q440" s="34">
        <f>IFERROR(__xludf.DUMMYFUNCTION("""COMPUTED_VALUE"""),0.0)</f>
        <v>0</v>
      </c>
      <c r="R440" s="34">
        <f>IFERROR(__xludf.DUMMYFUNCTION("""COMPUTED_VALUE"""),0.0)</f>
        <v>0</v>
      </c>
      <c r="S440" s="34">
        <f>IFERROR(__xludf.DUMMYFUNCTION("""COMPUTED_VALUE"""),0.0)</f>
        <v>0</v>
      </c>
      <c r="T440" s="17" t="str">
        <f t="shared" si="1"/>
        <v>Austin Hedges</v>
      </c>
    </row>
    <row r="441">
      <c r="A441" s="17">
        <f>IFERROR(__xludf.DUMMYFUNCTION("""COMPUTED_VALUE"""),441.0)</f>
        <v>441</v>
      </c>
      <c r="B441" s="17" t="str">
        <f>IFERROR(__xludf.DUMMYFUNCTION("""COMPUTED_VALUE"""),"Mitch Garver (SEA - C,DH)")</f>
        <v>Mitch Garver (SEA - C,DH)</v>
      </c>
      <c r="C441" s="17">
        <f>IFERROR(__xludf.DUMMYFUNCTION("""COMPUTED_VALUE"""),85.0)</f>
        <v>85</v>
      </c>
      <c r="D441" s="17">
        <f>IFERROR(__xludf.DUMMYFUNCTION("""COMPUTED_VALUE"""),11.0)</f>
        <v>11</v>
      </c>
      <c r="E441" s="17">
        <f>IFERROR(__xludf.DUMMYFUNCTION("""COMPUTED_VALUE"""),3.0)</f>
        <v>3</v>
      </c>
      <c r="F441" s="17">
        <f>IFERROR(__xludf.DUMMYFUNCTION("""COMPUTED_VALUE"""),11.0)</f>
        <v>11</v>
      </c>
      <c r="G441" s="17">
        <f>IFERROR(__xludf.DUMMYFUNCTION("""COMPUTED_VALUE"""),1.0)</f>
        <v>1</v>
      </c>
      <c r="H441" s="17">
        <f>IFERROR(__xludf.DUMMYFUNCTION("""COMPUTED_VALUE"""),0.204)</f>
        <v>0.204</v>
      </c>
      <c r="I441" s="17">
        <f>IFERROR(__xludf.DUMMYFUNCTION("""COMPUTED_VALUE"""),0.304)</f>
        <v>0.304</v>
      </c>
      <c r="J441" s="17">
        <f>IFERROR(__xludf.DUMMYFUNCTION("""COMPUTED_VALUE"""),17.0)</f>
        <v>17</v>
      </c>
      <c r="K441" s="17">
        <f>IFERROR(__xludf.DUMMYFUNCTION("""COMPUTED_VALUE"""),3.0)</f>
        <v>3</v>
      </c>
      <c r="L441" s="17">
        <f>IFERROR(__xludf.DUMMYFUNCTION("""COMPUTED_VALUE"""),0.0)</f>
        <v>0</v>
      </c>
      <c r="M441" s="17">
        <f>IFERROR(__xludf.DUMMYFUNCTION("""COMPUTED_VALUE"""),11.0)</f>
        <v>11</v>
      </c>
      <c r="N441" s="17">
        <f>IFERROR(__xludf.DUMMYFUNCTION("""COMPUTED_VALUE"""),28.0)</f>
        <v>28</v>
      </c>
      <c r="O441" s="17">
        <f>IFERROR(__xludf.DUMMYFUNCTION("""COMPUTED_VALUE"""),0.364)</f>
        <v>0.364</v>
      </c>
      <c r="P441" s="17">
        <f>IFERROR(__xludf.DUMMYFUNCTION("""COMPUTED_VALUE"""),0.669)</f>
        <v>0.669</v>
      </c>
      <c r="Q441" s="34">
        <f>IFERROR(__xludf.DUMMYFUNCTION("""COMPUTED_VALUE"""),0.0)</f>
        <v>0</v>
      </c>
      <c r="R441" s="34">
        <f>IFERROR(__xludf.DUMMYFUNCTION("""COMPUTED_VALUE"""),0.0)</f>
        <v>0</v>
      </c>
      <c r="S441" s="34">
        <f>IFERROR(__xludf.DUMMYFUNCTION("""COMPUTED_VALUE"""),0.0)</f>
        <v>0</v>
      </c>
      <c r="T441" s="17" t="str">
        <f t="shared" si="1"/>
        <v>Mitch Garver</v>
      </c>
    </row>
    <row r="442">
      <c r="A442" s="17">
        <f>IFERROR(__xludf.DUMMYFUNCTION("""COMPUTED_VALUE"""),442.0)</f>
        <v>442</v>
      </c>
      <c r="B442" s="17" t="str">
        <f>IFERROR(__xludf.DUMMYFUNCTION("""COMPUTED_VALUE"""),"Jorge Barrosa (ARI - LF,CF,RF)")</f>
        <v>Jorge Barrosa (ARI - LF,CF,RF)</v>
      </c>
      <c r="C442" s="17">
        <f>IFERROR(__xludf.DUMMYFUNCTION("""COMPUTED_VALUE"""),100.0)</f>
        <v>100</v>
      </c>
      <c r="D442" s="17">
        <f>IFERROR(__xludf.DUMMYFUNCTION("""COMPUTED_VALUE"""),12.0)</f>
        <v>12</v>
      </c>
      <c r="E442" s="17">
        <f>IFERROR(__xludf.DUMMYFUNCTION("""COMPUTED_VALUE"""),1.0)</f>
        <v>1</v>
      </c>
      <c r="F442" s="17">
        <f>IFERROR(__xludf.DUMMYFUNCTION("""COMPUTED_VALUE"""),10.0)</f>
        <v>10</v>
      </c>
      <c r="G442" s="17">
        <f>IFERROR(__xludf.DUMMYFUNCTION("""COMPUTED_VALUE"""),2.0)</f>
        <v>2</v>
      </c>
      <c r="H442" s="17">
        <f>IFERROR(__xludf.DUMMYFUNCTION("""COMPUTED_VALUE"""),0.224)</f>
        <v>0.224</v>
      </c>
      <c r="I442" s="17">
        <f>IFERROR(__xludf.DUMMYFUNCTION("""COMPUTED_VALUE"""),0.29)</f>
        <v>0.29</v>
      </c>
      <c r="J442" s="17">
        <f>IFERROR(__xludf.DUMMYFUNCTION("""COMPUTED_VALUE"""),22.0)</f>
        <v>22</v>
      </c>
      <c r="K442" s="17">
        <f>IFERROR(__xludf.DUMMYFUNCTION("""COMPUTED_VALUE"""),5.0)</f>
        <v>5</v>
      </c>
      <c r="L442" s="17">
        <f>IFERROR(__xludf.DUMMYFUNCTION("""COMPUTED_VALUE"""),1.0)</f>
        <v>1</v>
      </c>
      <c r="M442" s="17">
        <f>IFERROR(__xludf.DUMMYFUNCTION("""COMPUTED_VALUE"""),9.0)</f>
        <v>9</v>
      </c>
      <c r="N442" s="17">
        <f>IFERROR(__xludf.DUMMYFUNCTION("""COMPUTED_VALUE"""),26.0)</f>
        <v>26</v>
      </c>
      <c r="O442" s="17">
        <f>IFERROR(__xludf.DUMMYFUNCTION("""COMPUTED_VALUE"""),0.329)</f>
        <v>0.329</v>
      </c>
      <c r="P442" s="17">
        <f>IFERROR(__xludf.DUMMYFUNCTION("""COMPUTED_VALUE"""),0.619)</f>
        <v>0.619</v>
      </c>
      <c r="Q442" s="34">
        <f>IFERROR(__xludf.DUMMYFUNCTION("""COMPUTED_VALUE"""),0.0)</f>
        <v>0</v>
      </c>
      <c r="R442" s="34">
        <f>IFERROR(__xludf.DUMMYFUNCTION("""COMPUTED_VALUE"""),0.0)</f>
        <v>0</v>
      </c>
      <c r="S442" s="34">
        <f>IFERROR(__xludf.DUMMYFUNCTION("""COMPUTED_VALUE"""),0.0)</f>
        <v>0</v>
      </c>
      <c r="T442" s="17" t="str">
        <f t="shared" si="1"/>
        <v>Jorge Barrosa</v>
      </c>
    </row>
    <row r="443">
      <c r="A443" s="17">
        <f>IFERROR(__xludf.DUMMYFUNCTION("""COMPUTED_VALUE"""),443.0)</f>
        <v>443</v>
      </c>
      <c r="B443" s="17" t="str">
        <f>IFERROR(__xludf.DUMMYFUNCTION("""COMPUTED_VALUE"""),"Jett Williams (MIL - 2B,SS,OF) MiLB")</f>
        <v>Jett Williams (MIL - 2B,SS,OF) MiLB</v>
      </c>
      <c r="C443" s="17">
        <f>IFERROR(__xludf.DUMMYFUNCTION("""COMPUTED_VALUE"""),67.0)</f>
        <v>67</v>
      </c>
      <c r="D443" s="17">
        <f>IFERROR(__xludf.DUMMYFUNCTION("""COMPUTED_VALUE"""),9.0)</f>
        <v>9</v>
      </c>
      <c r="E443" s="17">
        <f>IFERROR(__xludf.DUMMYFUNCTION("""COMPUTED_VALUE"""),2.0)</f>
        <v>2</v>
      </c>
      <c r="F443" s="17">
        <f>IFERROR(__xludf.DUMMYFUNCTION("""COMPUTED_VALUE"""),8.0)</f>
        <v>8</v>
      </c>
      <c r="G443" s="17">
        <f>IFERROR(__xludf.DUMMYFUNCTION("""COMPUTED_VALUE"""),2.0)</f>
        <v>2</v>
      </c>
      <c r="H443" s="17">
        <f>IFERROR(__xludf.DUMMYFUNCTION("""COMPUTED_VALUE"""),0.217)</f>
        <v>0.217</v>
      </c>
      <c r="I443" s="17">
        <f>IFERROR(__xludf.DUMMYFUNCTION("""COMPUTED_VALUE"""),0.302)</f>
        <v>0.302</v>
      </c>
      <c r="J443" s="17">
        <f>IFERROR(__xludf.DUMMYFUNCTION("""COMPUTED_VALUE"""),15.0)</f>
        <v>15</v>
      </c>
      <c r="K443" s="17">
        <f>IFERROR(__xludf.DUMMYFUNCTION("""COMPUTED_VALUE"""),3.0)</f>
        <v>3</v>
      </c>
      <c r="L443" s="17">
        <f>IFERROR(__xludf.DUMMYFUNCTION("""COMPUTED_VALUE"""),0.0)</f>
        <v>0</v>
      </c>
      <c r="M443" s="17">
        <f>IFERROR(__xludf.DUMMYFUNCTION("""COMPUTED_VALUE"""),8.0)</f>
        <v>8</v>
      </c>
      <c r="N443" s="17">
        <f>IFERROR(__xludf.DUMMYFUNCTION("""COMPUTED_VALUE"""),20.0)</f>
        <v>20</v>
      </c>
      <c r="O443" s="17">
        <f>IFERROR(__xludf.DUMMYFUNCTION("""COMPUTED_VALUE"""),0.355)</f>
        <v>0.355</v>
      </c>
      <c r="P443" s="17">
        <f>IFERROR(__xludf.DUMMYFUNCTION("""COMPUTED_VALUE"""),0.657)</f>
        <v>0.657</v>
      </c>
      <c r="Q443" s="34">
        <f>IFERROR(__xludf.DUMMYFUNCTION("""COMPUTED_VALUE"""),0.01)</f>
        <v>0.01</v>
      </c>
      <c r="R443" s="34">
        <f>IFERROR(__xludf.DUMMYFUNCTION("""COMPUTED_VALUE"""),0.02)</f>
        <v>0.02</v>
      </c>
      <c r="S443" s="34">
        <f>IFERROR(__xludf.DUMMYFUNCTION("""COMPUTED_VALUE"""),0.0)</f>
        <v>0</v>
      </c>
      <c r="T443" s="17" t="str">
        <f t="shared" si="1"/>
        <v>Jett Williams</v>
      </c>
    </row>
    <row r="444">
      <c r="A444" s="17">
        <f>IFERROR(__xludf.DUMMYFUNCTION("""COMPUTED_VALUE"""),444.0)</f>
        <v>444</v>
      </c>
      <c r="B444" s="17" t="str">
        <f>IFERROR(__xludf.DUMMYFUNCTION("""COMPUTED_VALUE"""),"Jacob Melton (TB - LF,CF) MiLB")</f>
        <v>Jacob Melton (TB - LF,CF) MiLB</v>
      </c>
      <c r="C444" s="17">
        <f>IFERROR(__xludf.DUMMYFUNCTION("""COMPUTED_VALUE"""),68.0)</f>
        <v>68</v>
      </c>
      <c r="D444" s="17">
        <f>IFERROR(__xludf.DUMMYFUNCTION("""COMPUTED_VALUE"""),9.0)</f>
        <v>9</v>
      </c>
      <c r="E444" s="17">
        <f>IFERROR(__xludf.DUMMYFUNCTION("""COMPUTED_VALUE"""),2.0)</f>
        <v>2</v>
      </c>
      <c r="F444" s="17">
        <f>IFERROR(__xludf.DUMMYFUNCTION("""COMPUTED_VALUE"""),7.0)</f>
        <v>7</v>
      </c>
      <c r="G444" s="17">
        <f>IFERROR(__xludf.DUMMYFUNCTION("""COMPUTED_VALUE"""),4.0)</f>
        <v>4</v>
      </c>
      <c r="H444" s="17">
        <f>IFERROR(__xludf.DUMMYFUNCTION("""COMPUTED_VALUE"""),0.21)</f>
        <v>0.21</v>
      </c>
      <c r="I444" s="17">
        <f>IFERROR(__xludf.DUMMYFUNCTION("""COMPUTED_VALUE"""),0.275)</f>
        <v>0.275</v>
      </c>
      <c r="J444" s="17">
        <f>IFERROR(__xludf.DUMMYFUNCTION("""COMPUTED_VALUE"""),14.0)</f>
        <v>14</v>
      </c>
      <c r="K444" s="17">
        <f>IFERROR(__xludf.DUMMYFUNCTION("""COMPUTED_VALUE"""),3.0)</f>
        <v>3</v>
      </c>
      <c r="L444" s="17">
        <f>IFERROR(__xludf.DUMMYFUNCTION("""COMPUTED_VALUE"""),0.0)</f>
        <v>0</v>
      </c>
      <c r="M444" s="17">
        <f>IFERROR(__xludf.DUMMYFUNCTION("""COMPUTED_VALUE"""),6.0)</f>
        <v>6</v>
      </c>
      <c r="N444" s="17">
        <f>IFERROR(__xludf.DUMMYFUNCTION("""COMPUTED_VALUE"""),22.0)</f>
        <v>22</v>
      </c>
      <c r="O444" s="17">
        <f>IFERROR(__xludf.DUMMYFUNCTION("""COMPUTED_VALUE"""),0.341)</f>
        <v>0.341</v>
      </c>
      <c r="P444" s="17">
        <f>IFERROR(__xludf.DUMMYFUNCTION("""COMPUTED_VALUE"""),0.616)</f>
        <v>0.616</v>
      </c>
      <c r="Q444" s="34">
        <f>IFERROR(__xludf.DUMMYFUNCTION("""COMPUTED_VALUE"""),0.0)</f>
        <v>0</v>
      </c>
      <c r="R444" s="34">
        <f>IFERROR(__xludf.DUMMYFUNCTION("""COMPUTED_VALUE"""),0.0)</f>
        <v>0</v>
      </c>
      <c r="S444" s="34">
        <f>IFERROR(__xludf.DUMMYFUNCTION("""COMPUTED_VALUE"""),0.0)</f>
        <v>0</v>
      </c>
      <c r="T444" s="17" t="str">
        <f t="shared" si="1"/>
        <v>Jacob Melton</v>
      </c>
    </row>
    <row r="445">
      <c r="A445" s="17">
        <f>IFERROR(__xludf.DUMMYFUNCTION("""COMPUTED_VALUE"""),445.0)</f>
        <v>445</v>
      </c>
      <c r="B445" s="17" t="str">
        <f>IFERROR(__xludf.DUMMYFUNCTION("""COMPUTED_VALUE"""),"Braden Montgomery (CWS - CF) MiLB")</f>
        <v>Braden Montgomery (CWS - CF) MiLB</v>
      </c>
      <c r="C445" s="17">
        <f>IFERROR(__xludf.DUMMYFUNCTION("""COMPUTED_VALUE"""),82.0)</f>
        <v>82</v>
      </c>
      <c r="D445" s="17">
        <f>IFERROR(__xludf.DUMMYFUNCTION("""COMPUTED_VALUE"""),9.0)</f>
        <v>9</v>
      </c>
      <c r="E445" s="17">
        <f>IFERROR(__xludf.DUMMYFUNCTION("""COMPUTED_VALUE"""),2.0)</f>
        <v>2</v>
      </c>
      <c r="F445" s="17">
        <f>IFERROR(__xludf.DUMMYFUNCTION("""COMPUTED_VALUE"""),9.0)</f>
        <v>9</v>
      </c>
      <c r="G445" s="17">
        <f>IFERROR(__xludf.DUMMYFUNCTION("""COMPUTED_VALUE"""),1.0)</f>
        <v>1</v>
      </c>
      <c r="H445" s="17">
        <f>IFERROR(__xludf.DUMMYFUNCTION("""COMPUTED_VALUE"""),0.227)</f>
        <v>0.227</v>
      </c>
      <c r="I445" s="17">
        <f>IFERROR(__xludf.DUMMYFUNCTION("""COMPUTED_VALUE"""),0.293)</f>
        <v>0.293</v>
      </c>
      <c r="J445" s="17">
        <f>IFERROR(__xludf.DUMMYFUNCTION("""COMPUTED_VALUE"""),19.0)</f>
        <v>19</v>
      </c>
      <c r="K445" s="17">
        <f>IFERROR(__xludf.DUMMYFUNCTION("""COMPUTED_VALUE"""),4.0)</f>
        <v>4</v>
      </c>
      <c r="L445" s="17">
        <f>IFERROR(__xludf.DUMMYFUNCTION("""COMPUTED_VALUE"""),1.0)</f>
        <v>1</v>
      </c>
      <c r="M445" s="17">
        <f>IFERROR(__xludf.DUMMYFUNCTION("""COMPUTED_VALUE"""),7.0)</f>
        <v>7</v>
      </c>
      <c r="N445" s="17">
        <f>IFERROR(__xludf.DUMMYFUNCTION("""COMPUTED_VALUE"""),26.0)</f>
        <v>26</v>
      </c>
      <c r="O445" s="17">
        <f>IFERROR(__xludf.DUMMYFUNCTION("""COMPUTED_VALUE"""),0.366)</f>
        <v>0.366</v>
      </c>
      <c r="P445" s="17">
        <f>IFERROR(__xludf.DUMMYFUNCTION("""COMPUTED_VALUE"""),0.659)</f>
        <v>0.659</v>
      </c>
      <c r="Q445" s="34">
        <f>IFERROR(__xludf.DUMMYFUNCTION("""COMPUTED_VALUE"""),0.01)</f>
        <v>0.01</v>
      </c>
      <c r="R445" s="34">
        <f>IFERROR(__xludf.DUMMYFUNCTION("""COMPUTED_VALUE"""),0.02)</f>
        <v>0.02</v>
      </c>
      <c r="S445" s="34">
        <f>IFERROR(__xludf.DUMMYFUNCTION("""COMPUTED_VALUE"""),0.0)</f>
        <v>0</v>
      </c>
      <c r="T445" s="17" t="str">
        <f t="shared" si="1"/>
        <v>Braden Montgomery</v>
      </c>
    </row>
    <row r="446">
      <c r="A446" s="17">
        <f>IFERROR(__xludf.DUMMYFUNCTION("""COMPUTED_VALUE"""),446.0)</f>
        <v>446</v>
      </c>
      <c r="B446" s="17" t="str">
        <f>IFERROR(__xludf.DUMMYFUNCTION("""COMPUTED_VALUE"""),"Austin Slater (NYM - LF,CF,RF)")</f>
        <v>Austin Slater (NYM - LF,CF,RF)</v>
      </c>
      <c r="C446" s="17">
        <f>IFERROR(__xludf.DUMMYFUNCTION("""COMPUTED_VALUE"""),75.0)</f>
        <v>75</v>
      </c>
      <c r="D446" s="17">
        <f>IFERROR(__xludf.DUMMYFUNCTION("""COMPUTED_VALUE"""),10.0)</f>
        <v>10</v>
      </c>
      <c r="E446" s="17">
        <f>IFERROR(__xludf.DUMMYFUNCTION("""COMPUTED_VALUE"""),2.0)</f>
        <v>2</v>
      </c>
      <c r="F446" s="17">
        <f>IFERROR(__xludf.DUMMYFUNCTION("""COMPUTED_VALUE"""),8.0)</f>
        <v>8</v>
      </c>
      <c r="G446" s="17">
        <f>IFERROR(__xludf.DUMMYFUNCTION("""COMPUTED_VALUE"""),1.0)</f>
        <v>1</v>
      </c>
      <c r="H446" s="17">
        <f>IFERROR(__xludf.DUMMYFUNCTION("""COMPUTED_VALUE"""),0.224)</f>
        <v>0.224</v>
      </c>
      <c r="I446" s="17">
        <f>IFERROR(__xludf.DUMMYFUNCTION("""COMPUTED_VALUE"""),0.313)</f>
        <v>0.313</v>
      </c>
      <c r="J446" s="17">
        <f>IFERROR(__xludf.DUMMYFUNCTION("""COMPUTED_VALUE"""),17.0)</f>
        <v>17</v>
      </c>
      <c r="K446" s="17">
        <f>IFERROR(__xludf.DUMMYFUNCTION("""COMPUTED_VALUE"""),3.0)</f>
        <v>3</v>
      </c>
      <c r="L446" s="17">
        <f>IFERROR(__xludf.DUMMYFUNCTION("""COMPUTED_VALUE"""),0.0)</f>
        <v>0</v>
      </c>
      <c r="M446" s="17">
        <f>IFERROR(__xludf.DUMMYFUNCTION("""COMPUTED_VALUE"""),9.0)</f>
        <v>9</v>
      </c>
      <c r="N446" s="17">
        <f>IFERROR(__xludf.DUMMYFUNCTION("""COMPUTED_VALUE"""),25.0)</f>
        <v>25</v>
      </c>
      <c r="O446" s="17">
        <f>IFERROR(__xludf.DUMMYFUNCTION("""COMPUTED_VALUE"""),0.344)</f>
        <v>0.344</v>
      </c>
      <c r="P446" s="17">
        <f>IFERROR(__xludf.DUMMYFUNCTION("""COMPUTED_VALUE"""),0.658)</f>
        <v>0.658</v>
      </c>
      <c r="Q446" s="34">
        <f>IFERROR(__xludf.DUMMYFUNCTION("""COMPUTED_VALUE"""),0.0)</f>
        <v>0</v>
      </c>
      <c r="R446" s="34">
        <f>IFERROR(__xludf.DUMMYFUNCTION("""COMPUTED_VALUE"""),0.0)</f>
        <v>0</v>
      </c>
      <c r="S446" s="34">
        <f>IFERROR(__xludf.DUMMYFUNCTION("""COMPUTED_VALUE"""),0.0)</f>
        <v>0</v>
      </c>
      <c r="T446" s="17" t="str">
        <f t="shared" si="1"/>
        <v>Austin Slater</v>
      </c>
    </row>
    <row r="447">
      <c r="A447" s="17">
        <f>IFERROR(__xludf.DUMMYFUNCTION("""COMPUTED_VALUE"""),447.0)</f>
        <v>447</v>
      </c>
      <c r="B447" s="17" t="str">
        <f>IFERROR(__xludf.DUMMYFUNCTION("""COMPUTED_VALUE"""),"Justin Turner (1B,3B) FA")</f>
        <v>Justin Turner (1B,3B) FA</v>
      </c>
      <c r="C447" s="17">
        <f>IFERROR(__xludf.DUMMYFUNCTION("""COMPUTED_VALUE"""),80.0)</f>
        <v>80</v>
      </c>
      <c r="D447" s="17">
        <f>IFERROR(__xludf.DUMMYFUNCTION("""COMPUTED_VALUE"""),9.0)</f>
        <v>9</v>
      </c>
      <c r="E447" s="17">
        <f>IFERROR(__xludf.DUMMYFUNCTION("""COMPUTED_VALUE"""),2.0)</f>
        <v>2</v>
      </c>
      <c r="F447" s="17">
        <f>IFERROR(__xludf.DUMMYFUNCTION("""COMPUTED_VALUE"""),9.0)</f>
        <v>9</v>
      </c>
      <c r="G447" s="17">
        <f>IFERROR(__xludf.DUMMYFUNCTION("""COMPUTED_VALUE"""),0.0)</f>
        <v>0</v>
      </c>
      <c r="H447" s="17">
        <f>IFERROR(__xludf.DUMMYFUNCTION("""COMPUTED_VALUE"""),0.24)</f>
        <v>0.24</v>
      </c>
      <c r="I447" s="17">
        <f>IFERROR(__xludf.DUMMYFUNCTION("""COMPUTED_VALUE"""),0.313)</f>
        <v>0.313</v>
      </c>
      <c r="J447" s="17">
        <f>IFERROR(__xludf.DUMMYFUNCTION("""COMPUTED_VALUE"""),19.0)</f>
        <v>19</v>
      </c>
      <c r="K447" s="17">
        <f>IFERROR(__xludf.DUMMYFUNCTION("""COMPUTED_VALUE"""),4.0)</f>
        <v>4</v>
      </c>
      <c r="L447" s="17">
        <f>IFERROR(__xludf.DUMMYFUNCTION("""COMPUTED_VALUE"""),0.0)</f>
        <v>0</v>
      </c>
      <c r="M447" s="17">
        <f>IFERROR(__xludf.DUMMYFUNCTION("""COMPUTED_VALUE"""),8.0)</f>
        <v>8</v>
      </c>
      <c r="N447" s="17">
        <f>IFERROR(__xludf.DUMMYFUNCTION("""COMPUTED_VALUE"""),17.0)</f>
        <v>17</v>
      </c>
      <c r="O447" s="17">
        <f>IFERROR(__xludf.DUMMYFUNCTION("""COMPUTED_VALUE"""),0.359)</f>
        <v>0.359</v>
      </c>
      <c r="P447" s="17">
        <f>IFERROR(__xludf.DUMMYFUNCTION("""COMPUTED_VALUE"""),0.672)</f>
        <v>0.672</v>
      </c>
      <c r="Q447" s="34">
        <f>IFERROR(__xludf.DUMMYFUNCTION("""COMPUTED_VALUE"""),0.0)</f>
        <v>0</v>
      </c>
      <c r="R447" s="34">
        <f>IFERROR(__xludf.DUMMYFUNCTION("""COMPUTED_VALUE"""),0.0)</f>
        <v>0</v>
      </c>
      <c r="S447" s="34">
        <f>IFERROR(__xludf.DUMMYFUNCTION("""COMPUTED_VALUE"""),0.0)</f>
        <v>0</v>
      </c>
      <c r="T447" s="17" t="str">
        <f t="shared" si="1"/>
        <v>Justin Turner</v>
      </c>
    </row>
    <row r="448">
      <c r="A448" s="17">
        <f>IFERROR(__xludf.DUMMYFUNCTION("""COMPUTED_VALUE"""),448.0)</f>
        <v>448</v>
      </c>
      <c r="B448" s="17" t="str">
        <f>IFERROR(__xludf.DUMMYFUNCTION("""COMPUTED_VALUE"""),"Tyler Locklear (ARI - 1B) IL10")</f>
        <v>Tyler Locklear (ARI - 1B) IL10</v>
      </c>
      <c r="C448" s="17">
        <f>IFERROR(__xludf.DUMMYFUNCTION("""COMPUTED_VALUE"""),60.0)</f>
        <v>60</v>
      </c>
      <c r="D448" s="17">
        <f>IFERROR(__xludf.DUMMYFUNCTION("""COMPUTED_VALUE"""),8.0)</f>
        <v>8</v>
      </c>
      <c r="E448" s="17">
        <f>IFERROR(__xludf.DUMMYFUNCTION("""COMPUTED_VALUE"""),2.0)</f>
        <v>2</v>
      </c>
      <c r="F448" s="17">
        <f>IFERROR(__xludf.DUMMYFUNCTION("""COMPUTED_VALUE"""),8.0)</f>
        <v>8</v>
      </c>
      <c r="G448" s="17">
        <f>IFERROR(__xludf.DUMMYFUNCTION("""COMPUTED_VALUE"""),1.0)</f>
        <v>1</v>
      </c>
      <c r="H448" s="17">
        <f>IFERROR(__xludf.DUMMYFUNCTION("""COMPUTED_VALUE"""),0.236)</f>
        <v>0.236</v>
      </c>
      <c r="I448" s="17">
        <f>IFERROR(__xludf.DUMMYFUNCTION("""COMPUTED_VALUE"""),0.316)</f>
        <v>0.316</v>
      </c>
      <c r="J448" s="17">
        <f>IFERROR(__xludf.DUMMYFUNCTION("""COMPUTED_VALUE"""),14.0)</f>
        <v>14</v>
      </c>
      <c r="K448" s="17">
        <f>IFERROR(__xludf.DUMMYFUNCTION("""COMPUTED_VALUE"""),3.0)</f>
        <v>3</v>
      </c>
      <c r="L448" s="17">
        <f>IFERROR(__xludf.DUMMYFUNCTION("""COMPUTED_VALUE"""),0.0)</f>
        <v>0</v>
      </c>
      <c r="M448" s="17">
        <f>IFERROR(__xludf.DUMMYFUNCTION("""COMPUTED_VALUE"""),6.0)</f>
        <v>6</v>
      </c>
      <c r="N448" s="17">
        <f>IFERROR(__xludf.DUMMYFUNCTION("""COMPUTED_VALUE"""),18.0)</f>
        <v>18</v>
      </c>
      <c r="O448" s="17">
        <f>IFERROR(__xludf.DUMMYFUNCTION("""COMPUTED_VALUE"""),0.374)</f>
        <v>0.374</v>
      </c>
      <c r="P448" s="17">
        <f>IFERROR(__xludf.DUMMYFUNCTION("""COMPUTED_VALUE"""),0.69)</f>
        <v>0.69</v>
      </c>
      <c r="Q448" s="34">
        <f>IFERROR(__xludf.DUMMYFUNCTION("""COMPUTED_VALUE"""),0.0)</f>
        <v>0</v>
      </c>
      <c r="R448" s="34">
        <f>IFERROR(__xludf.DUMMYFUNCTION("""COMPUTED_VALUE"""),0.0)</f>
        <v>0</v>
      </c>
      <c r="S448" s="34">
        <f>IFERROR(__xludf.DUMMYFUNCTION("""COMPUTED_VALUE"""),0.0)</f>
        <v>0</v>
      </c>
      <c r="T448" s="17" t="str">
        <f t="shared" si="1"/>
        <v>Tyler Locklear</v>
      </c>
    </row>
    <row r="449">
      <c r="A449" s="17">
        <f>IFERROR(__xludf.DUMMYFUNCTION("""COMPUTED_VALUE"""),449.0)</f>
        <v>449</v>
      </c>
      <c r="B449" s="17" t="str">
        <f>IFERROR(__xludf.DUMMYFUNCTION("""COMPUTED_VALUE"""),"Otto Kemp (PHI - 1B,3B,LF) MiLB")</f>
        <v>Otto Kemp (PHI - 1B,3B,LF) MiLB</v>
      </c>
      <c r="C449" s="17">
        <f>IFERROR(__xludf.DUMMYFUNCTION("""COMPUTED_VALUE"""),69.0)</f>
        <v>69</v>
      </c>
      <c r="D449" s="17">
        <f>IFERROR(__xludf.DUMMYFUNCTION("""COMPUTED_VALUE"""),9.0)</f>
        <v>9</v>
      </c>
      <c r="E449" s="17">
        <f>IFERROR(__xludf.DUMMYFUNCTION("""COMPUTED_VALUE"""),2.0)</f>
        <v>2</v>
      </c>
      <c r="F449" s="17">
        <f>IFERROR(__xludf.DUMMYFUNCTION("""COMPUTED_VALUE"""),9.0)</f>
        <v>9</v>
      </c>
      <c r="G449" s="17">
        <f>IFERROR(__xludf.DUMMYFUNCTION("""COMPUTED_VALUE"""),1.0)</f>
        <v>1</v>
      </c>
      <c r="H449" s="17">
        <f>IFERROR(__xludf.DUMMYFUNCTION("""COMPUTED_VALUE"""),0.22)</f>
        <v>0.22</v>
      </c>
      <c r="I449" s="17">
        <f>IFERROR(__xludf.DUMMYFUNCTION("""COMPUTED_VALUE"""),0.298)</f>
        <v>0.298</v>
      </c>
      <c r="J449" s="17">
        <f>IFERROR(__xludf.DUMMYFUNCTION("""COMPUTED_VALUE"""),15.0)</f>
        <v>15</v>
      </c>
      <c r="K449" s="17">
        <f>IFERROR(__xludf.DUMMYFUNCTION("""COMPUTED_VALUE"""),3.0)</f>
        <v>3</v>
      </c>
      <c r="L449" s="17">
        <f>IFERROR(__xludf.DUMMYFUNCTION("""COMPUTED_VALUE"""),0.0)</f>
        <v>0</v>
      </c>
      <c r="M449" s="17">
        <f>IFERROR(__xludf.DUMMYFUNCTION("""COMPUTED_VALUE"""),5.0)</f>
        <v>5</v>
      </c>
      <c r="N449" s="17">
        <f>IFERROR(__xludf.DUMMYFUNCTION("""COMPUTED_VALUE"""),22.0)</f>
        <v>22</v>
      </c>
      <c r="O449" s="17">
        <f>IFERROR(__xludf.DUMMYFUNCTION("""COMPUTED_VALUE"""),0.362)</f>
        <v>0.362</v>
      </c>
      <c r="P449" s="17">
        <f>IFERROR(__xludf.DUMMYFUNCTION("""COMPUTED_VALUE"""),0.66)</f>
        <v>0.66</v>
      </c>
      <c r="Q449" s="34">
        <f>IFERROR(__xludf.DUMMYFUNCTION("""COMPUTED_VALUE"""),0.0)</f>
        <v>0</v>
      </c>
      <c r="R449" s="34">
        <f>IFERROR(__xludf.DUMMYFUNCTION("""COMPUTED_VALUE"""),0.0)</f>
        <v>0</v>
      </c>
      <c r="S449" s="34">
        <f>IFERROR(__xludf.DUMMYFUNCTION("""COMPUTED_VALUE"""),0.0)</f>
        <v>0</v>
      </c>
      <c r="T449" s="17" t="str">
        <f t="shared" si="1"/>
        <v>Otto Kemp</v>
      </c>
    </row>
    <row r="450">
      <c r="A450" s="17">
        <f>IFERROR(__xludf.DUMMYFUNCTION("""COMPUTED_VALUE"""),450.0)</f>
        <v>450</v>
      </c>
      <c r="B450" s="17" t="str">
        <f>IFERROR(__xludf.DUMMYFUNCTION("""COMPUTED_VALUE"""),"Thairo Estrada (2B) FA")</f>
        <v>Thairo Estrada (2B) FA</v>
      </c>
      <c r="C450" s="17">
        <f>IFERROR(__xludf.DUMMYFUNCTION("""COMPUTED_VALUE"""),62.0)</f>
        <v>62</v>
      </c>
      <c r="D450" s="17">
        <f>IFERROR(__xludf.DUMMYFUNCTION("""COMPUTED_VALUE"""),8.0)</f>
        <v>8</v>
      </c>
      <c r="E450" s="17">
        <f>IFERROR(__xludf.DUMMYFUNCTION("""COMPUTED_VALUE"""),2.0)</f>
        <v>2</v>
      </c>
      <c r="F450" s="17">
        <f>IFERROR(__xludf.DUMMYFUNCTION("""COMPUTED_VALUE"""),7.0)</f>
        <v>7</v>
      </c>
      <c r="G450" s="17">
        <f>IFERROR(__xludf.DUMMYFUNCTION("""COMPUTED_VALUE"""),1.0)</f>
        <v>1</v>
      </c>
      <c r="H450" s="17">
        <f>IFERROR(__xludf.DUMMYFUNCTION("""COMPUTED_VALUE"""),0.248)</f>
        <v>0.248</v>
      </c>
      <c r="I450" s="17">
        <f>IFERROR(__xludf.DUMMYFUNCTION("""COMPUTED_VALUE"""),0.292)</f>
        <v>0.292</v>
      </c>
      <c r="J450" s="17">
        <f>IFERROR(__xludf.DUMMYFUNCTION("""COMPUTED_VALUE"""),15.0)</f>
        <v>15</v>
      </c>
      <c r="K450" s="17">
        <f>IFERROR(__xludf.DUMMYFUNCTION("""COMPUTED_VALUE"""),3.0)</f>
        <v>3</v>
      </c>
      <c r="L450" s="17">
        <f>IFERROR(__xludf.DUMMYFUNCTION("""COMPUTED_VALUE"""),0.0)</f>
        <v>0</v>
      </c>
      <c r="M450" s="17">
        <f>IFERROR(__xludf.DUMMYFUNCTION("""COMPUTED_VALUE"""),3.0)</f>
        <v>3</v>
      </c>
      <c r="N450" s="17">
        <f>IFERROR(__xludf.DUMMYFUNCTION("""COMPUTED_VALUE"""),13.0)</f>
        <v>13</v>
      </c>
      <c r="O450" s="17">
        <f>IFERROR(__xludf.DUMMYFUNCTION("""COMPUTED_VALUE"""),0.381)</f>
        <v>0.381</v>
      </c>
      <c r="P450" s="17">
        <f>IFERROR(__xludf.DUMMYFUNCTION("""COMPUTED_VALUE"""),0.674)</f>
        <v>0.674</v>
      </c>
      <c r="Q450" s="34">
        <f>IFERROR(__xludf.DUMMYFUNCTION("""COMPUTED_VALUE"""),0.0)</f>
        <v>0</v>
      </c>
      <c r="R450" s="34">
        <f>IFERROR(__xludf.DUMMYFUNCTION("""COMPUTED_VALUE"""),0.0)</f>
        <v>0</v>
      </c>
      <c r="S450" s="34">
        <f>IFERROR(__xludf.DUMMYFUNCTION("""COMPUTED_VALUE"""),0.0)</f>
        <v>0</v>
      </c>
      <c r="T450" s="17" t="str">
        <f t="shared" si="1"/>
        <v>Thairo Estrada</v>
      </c>
    </row>
    <row r="451">
      <c r="A451" s="17">
        <f>IFERROR(__xludf.DUMMYFUNCTION("""COMPUTED_VALUE"""),451.0)</f>
        <v>451</v>
      </c>
      <c r="B451" s="17" t="str">
        <f>IFERROR(__xludf.DUMMYFUNCTION("""COMPUTED_VALUE"""),"Endy Rodriguez (PIT - C,1B) MiLB")</f>
        <v>Endy Rodriguez (PIT - C,1B) MiLB</v>
      </c>
      <c r="C451" s="17">
        <f>IFERROR(__xludf.DUMMYFUNCTION("""COMPUTED_VALUE"""),65.0)</f>
        <v>65</v>
      </c>
      <c r="D451" s="17">
        <f>IFERROR(__xludf.DUMMYFUNCTION("""COMPUTED_VALUE"""),8.0)</f>
        <v>8</v>
      </c>
      <c r="E451" s="17">
        <f>IFERROR(__xludf.DUMMYFUNCTION("""COMPUTED_VALUE"""),2.0)</f>
        <v>2</v>
      </c>
      <c r="F451" s="17">
        <f>IFERROR(__xludf.DUMMYFUNCTION("""COMPUTED_VALUE"""),8.0)</f>
        <v>8</v>
      </c>
      <c r="G451" s="17">
        <f>IFERROR(__xludf.DUMMYFUNCTION("""COMPUTED_VALUE"""),0.0)</f>
        <v>0</v>
      </c>
      <c r="H451" s="17">
        <f>IFERROR(__xludf.DUMMYFUNCTION("""COMPUTED_VALUE"""),0.238)</f>
        <v>0.238</v>
      </c>
      <c r="I451" s="17">
        <f>IFERROR(__xludf.DUMMYFUNCTION("""COMPUTED_VALUE"""),0.31)</f>
        <v>0.31</v>
      </c>
      <c r="J451" s="17">
        <f>IFERROR(__xludf.DUMMYFUNCTION("""COMPUTED_VALUE"""),16.0)</f>
        <v>16</v>
      </c>
      <c r="K451" s="17">
        <f>IFERROR(__xludf.DUMMYFUNCTION("""COMPUTED_VALUE"""),4.0)</f>
        <v>4</v>
      </c>
      <c r="L451" s="17">
        <f>IFERROR(__xludf.DUMMYFUNCTION("""COMPUTED_VALUE"""),0.0)</f>
        <v>0</v>
      </c>
      <c r="M451" s="17">
        <f>IFERROR(__xludf.DUMMYFUNCTION("""COMPUTED_VALUE"""),6.0)</f>
        <v>6</v>
      </c>
      <c r="N451" s="17">
        <f>IFERROR(__xludf.DUMMYFUNCTION("""COMPUTED_VALUE"""),15.0)</f>
        <v>15</v>
      </c>
      <c r="O451" s="17">
        <f>IFERROR(__xludf.DUMMYFUNCTION("""COMPUTED_VALUE"""),0.376)</f>
        <v>0.376</v>
      </c>
      <c r="P451" s="17">
        <f>IFERROR(__xludf.DUMMYFUNCTION("""COMPUTED_VALUE"""),0.686)</f>
        <v>0.686</v>
      </c>
      <c r="Q451" s="34">
        <f>IFERROR(__xludf.DUMMYFUNCTION("""COMPUTED_VALUE"""),0.0)</f>
        <v>0</v>
      </c>
      <c r="R451" s="34">
        <f>IFERROR(__xludf.DUMMYFUNCTION("""COMPUTED_VALUE"""),0.0)</f>
        <v>0</v>
      </c>
      <c r="S451" s="34">
        <f>IFERROR(__xludf.DUMMYFUNCTION("""COMPUTED_VALUE"""),0.0)</f>
        <v>0</v>
      </c>
      <c r="T451" s="17" t="str">
        <f t="shared" si="1"/>
        <v>Endy Rodriguez</v>
      </c>
    </row>
    <row r="452">
      <c r="A452" s="17">
        <f>IFERROR(__xludf.DUMMYFUNCTION("""COMPUTED_VALUE"""),452.0)</f>
        <v>452</v>
      </c>
      <c r="B452" s="17" t="str">
        <f>IFERROR(__xludf.DUMMYFUNCTION("""COMPUTED_VALUE"""),"Drew Romo (CWS - C)")</f>
        <v>Drew Romo (CWS - C)</v>
      </c>
      <c r="C452" s="17">
        <f>IFERROR(__xludf.DUMMYFUNCTION("""COMPUTED_VALUE"""),85.0)</f>
        <v>85</v>
      </c>
      <c r="D452" s="17">
        <f>IFERROR(__xludf.DUMMYFUNCTION("""COMPUTED_VALUE"""),9.0)</f>
        <v>9</v>
      </c>
      <c r="E452" s="17">
        <f>IFERROR(__xludf.DUMMYFUNCTION("""COMPUTED_VALUE"""),2.0)</f>
        <v>2</v>
      </c>
      <c r="F452" s="17">
        <f>IFERROR(__xludf.DUMMYFUNCTION("""COMPUTED_VALUE"""),9.0)</f>
        <v>9</v>
      </c>
      <c r="G452" s="17">
        <f>IFERROR(__xludf.DUMMYFUNCTION("""COMPUTED_VALUE"""),1.0)</f>
        <v>1</v>
      </c>
      <c r="H452" s="17">
        <f>IFERROR(__xludf.DUMMYFUNCTION("""COMPUTED_VALUE"""),0.218)</f>
        <v>0.218</v>
      </c>
      <c r="I452" s="17">
        <f>IFERROR(__xludf.DUMMYFUNCTION("""COMPUTED_VALUE"""),0.267)</f>
        <v>0.267</v>
      </c>
      <c r="J452" s="17">
        <f>IFERROR(__xludf.DUMMYFUNCTION("""COMPUTED_VALUE"""),19.0)</f>
        <v>19</v>
      </c>
      <c r="K452" s="17">
        <f>IFERROR(__xludf.DUMMYFUNCTION("""COMPUTED_VALUE"""),3.0)</f>
        <v>3</v>
      </c>
      <c r="L452" s="17">
        <f>IFERROR(__xludf.DUMMYFUNCTION("""COMPUTED_VALUE"""),0.0)</f>
        <v>0</v>
      </c>
      <c r="M452" s="17">
        <f>IFERROR(__xludf.DUMMYFUNCTION("""COMPUTED_VALUE"""),5.0)</f>
        <v>5</v>
      </c>
      <c r="N452" s="17">
        <f>IFERROR(__xludf.DUMMYFUNCTION("""COMPUTED_VALUE"""),24.0)</f>
        <v>24</v>
      </c>
      <c r="O452" s="17">
        <f>IFERROR(__xludf.DUMMYFUNCTION("""COMPUTED_VALUE"""),0.337)</f>
        <v>0.337</v>
      </c>
      <c r="P452" s="17">
        <f>IFERROR(__xludf.DUMMYFUNCTION("""COMPUTED_VALUE"""),0.604)</f>
        <v>0.604</v>
      </c>
      <c r="Q452" s="34">
        <f>IFERROR(__xludf.DUMMYFUNCTION("""COMPUTED_VALUE"""),0.0)</f>
        <v>0</v>
      </c>
      <c r="R452" s="34">
        <f>IFERROR(__xludf.DUMMYFUNCTION("""COMPUTED_VALUE"""),0.0)</f>
        <v>0</v>
      </c>
      <c r="S452" s="34">
        <f>IFERROR(__xludf.DUMMYFUNCTION("""COMPUTED_VALUE"""),0.0)</f>
        <v>0</v>
      </c>
      <c r="T452" s="17" t="str">
        <f t="shared" si="1"/>
        <v>Drew Romo</v>
      </c>
    </row>
    <row r="453">
      <c r="A453" s="17">
        <f>IFERROR(__xludf.DUMMYFUNCTION("""COMPUTED_VALUE"""),453.0)</f>
        <v>453</v>
      </c>
      <c r="B453" s="17" t="str">
        <f>IFERROR(__xludf.DUMMYFUNCTION("""COMPUTED_VALUE"""),"John Rave (KC - LF,CF,RF) MiLB")</f>
        <v>John Rave (KC - LF,CF,RF) MiLB</v>
      </c>
      <c r="C453" s="17">
        <f>IFERROR(__xludf.DUMMYFUNCTION("""COMPUTED_VALUE"""),62.0)</f>
        <v>62</v>
      </c>
      <c r="D453" s="17">
        <f>IFERROR(__xludf.DUMMYFUNCTION("""COMPUTED_VALUE"""),8.0)</f>
        <v>8</v>
      </c>
      <c r="E453" s="17">
        <f>IFERROR(__xludf.DUMMYFUNCTION("""COMPUTED_VALUE"""),2.0)</f>
        <v>2</v>
      </c>
      <c r="F453" s="17">
        <f>IFERROR(__xludf.DUMMYFUNCTION("""COMPUTED_VALUE"""),7.0)</f>
        <v>7</v>
      </c>
      <c r="G453" s="17">
        <f>IFERROR(__xludf.DUMMYFUNCTION("""COMPUTED_VALUE"""),2.0)</f>
        <v>2</v>
      </c>
      <c r="H453" s="17">
        <f>IFERROR(__xludf.DUMMYFUNCTION("""COMPUTED_VALUE"""),0.228)</f>
        <v>0.228</v>
      </c>
      <c r="I453" s="17">
        <f>IFERROR(__xludf.DUMMYFUNCTION("""COMPUTED_VALUE"""),0.3)</f>
        <v>0.3</v>
      </c>
      <c r="J453" s="17">
        <f>IFERROR(__xludf.DUMMYFUNCTION("""COMPUTED_VALUE"""),14.0)</f>
        <v>14</v>
      </c>
      <c r="K453" s="17">
        <f>IFERROR(__xludf.DUMMYFUNCTION("""COMPUTED_VALUE"""),3.0)</f>
        <v>3</v>
      </c>
      <c r="L453" s="17">
        <f>IFERROR(__xludf.DUMMYFUNCTION("""COMPUTED_VALUE"""),1.0)</f>
        <v>1</v>
      </c>
      <c r="M453" s="17">
        <f>IFERROR(__xludf.DUMMYFUNCTION("""COMPUTED_VALUE"""),6.0)</f>
        <v>6</v>
      </c>
      <c r="N453" s="17">
        <f>IFERROR(__xludf.DUMMYFUNCTION("""COMPUTED_VALUE"""),18.0)</f>
        <v>18</v>
      </c>
      <c r="O453" s="17">
        <f>IFERROR(__xludf.DUMMYFUNCTION("""COMPUTED_VALUE"""),0.374)</f>
        <v>0.374</v>
      </c>
      <c r="P453" s="17">
        <f>IFERROR(__xludf.DUMMYFUNCTION("""COMPUTED_VALUE"""),0.673)</f>
        <v>0.673</v>
      </c>
      <c r="Q453" s="34">
        <f>IFERROR(__xludf.DUMMYFUNCTION("""COMPUTED_VALUE"""),0.0)</f>
        <v>0</v>
      </c>
      <c r="R453" s="34">
        <f>IFERROR(__xludf.DUMMYFUNCTION("""COMPUTED_VALUE"""),0.0)</f>
        <v>0</v>
      </c>
      <c r="S453" s="34">
        <f>IFERROR(__xludf.DUMMYFUNCTION("""COMPUTED_VALUE"""),0.0)</f>
        <v>0</v>
      </c>
      <c r="T453" s="17" t="str">
        <f t="shared" si="1"/>
        <v>John Rave</v>
      </c>
    </row>
    <row r="454">
      <c r="A454" s="17">
        <f>IFERROR(__xludf.DUMMYFUNCTION("""COMPUTED_VALUE"""),454.0)</f>
        <v>454</v>
      </c>
      <c r="B454" s="17" t="str">
        <f>IFERROR(__xludf.DUMMYFUNCTION("""COMPUTED_VALUE"""),"Tanner Murray (CWS - 2B,3B,SS,LF,RF) IL10")</f>
        <v>Tanner Murray (CWS - 2B,3B,SS,LF,RF) IL10</v>
      </c>
      <c r="C454" s="17">
        <f>IFERROR(__xludf.DUMMYFUNCTION("""COMPUTED_VALUE"""),88.0)</f>
        <v>88</v>
      </c>
      <c r="D454" s="17">
        <f>IFERROR(__xludf.DUMMYFUNCTION("""COMPUTED_VALUE"""),9.0)</f>
        <v>9</v>
      </c>
      <c r="E454" s="17">
        <f>IFERROR(__xludf.DUMMYFUNCTION("""COMPUTED_VALUE"""),2.0)</f>
        <v>2</v>
      </c>
      <c r="F454" s="17">
        <f>IFERROR(__xludf.DUMMYFUNCTION("""COMPUTED_VALUE"""),10.0)</f>
        <v>10</v>
      </c>
      <c r="G454" s="17">
        <f>IFERROR(__xludf.DUMMYFUNCTION("""COMPUTED_VALUE"""),0.0)</f>
        <v>0</v>
      </c>
      <c r="H454" s="17">
        <f>IFERROR(__xludf.DUMMYFUNCTION("""COMPUTED_VALUE"""),0.231)</f>
        <v>0.231</v>
      </c>
      <c r="I454" s="17">
        <f>IFERROR(__xludf.DUMMYFUNCTION("""COMPUTED_VALUE"""),0.281)</f>
        <v>0.281</v>
      </c>
      <c r="J454" s="17">
        <f>IFERROR(__xludf.DUMMYFUNCTION("""COMPUTED_VALUE"""),20.0)</f>
        <v>20</v>
      </c>
      <c r="K454" s="17">
        <f>IFERROR(__xludf.DUMMYFUNCTION("""COMPUTED_VALUE"""),5.0)</f>
        <v>5</v>
      </c>
      <c r="L454" s="17">
        <f>IFERROR(__xludf.DUMMYFUNCTION("""COMPUTED_VALUE"""),0.0)</f>
        <v>0</v>
      </c>
      <c r="M454" s="17">
        <f>IFERROR(__xludf.DUMMYFUNCTION("""COMPUTED_VALUE"""),5.0)</f>
        <v>5</v>
      </c>
      <c r="N454" s="17">
        <f>IFERROR(__xludf.DUMMYFUNCTION("""COMPUTED_VALUE"""),22.0)</f>
        <v>22</v>
      </c>
      <c r="O454" s="17">
        <f>IFERROR(__xludf.DUMMYFUNCTION("""COMPUTED_VALUE"""),0.348)</f>
        <v>0.348</v>
      </c>
      <c r="P454" s="17">
        <f>IFERROR(__xludf.DUMMYFUNCTION("""COMPUTED_VALUE"""),0.63)</f>
        <v>0.63</v>
      </c>
      <c r="Q454" s="34">
        <f>IFERROR(__xludf.DUMMYFUNCTION("""COMPUTED_VALUE"""),0.0)</f>
        <v>0</v>
      </c>
      <c r="R454" s="34">
        <f>IFERROR(__xludf.DUMMYFUNCTION("""COMPUTED_VALUE"""),0.0)</f>
        <v>0</v>
      </c>
      <c r="S454" s="34">
        <f>IFERROR(__xludf.DUMMYFUNCTION("""COMPUTED_VALUE"""),0.0)</f>
        <v>0</v>
      </c>
      <c r="T454" s="17" t="str">
        <f t="shared" si="1"/>
        <v>Tanner Murray</v>
      </c>
    </row>
    <row r="455">
      <c r="A455" s="17">
        <f>IFERROR(__xludf.DUMMYFUNCTION("""COMPUTED_VALUE"""),455.0)</f>
        <v>455</v>
      </c>
      <c r="B455" s="17" t="str">
        <f>IFERROR(__xludf.DUMMYFUNCTION("""COMPUTED_VALUE"""),"Nick Allen (HOU - SS) IL10")</f>
        <v>Nick Allen (HOU - SS) IL10</v>
      </c>
      <c r="C455" s="17">
        <f>IFERROR(__xludf.DUMMYFUNCTION("""COMPUTED_VALUE"""),95.0)</f>
        <v>95</v>
      </c>
      <c r="D455" s="17">
        <f>IFERROR(__xludf.DUMMYFUNCTION("""COMPUTED_VALUE"""),11.0)</f>
        <v>11</v>
      </c>
      <c r="E455" s="17">
        <f>IFERROR(__xludf.DUMMYFUNCTION("""COMPUTED_VALUE"""),1.0)</f>
        <v>1</v>
      </c>
      <c r="F455" s="17">
        <f>IFERROR(__xludf.DUMMYFUNCTION("""COMPUTED_VALUE"""),8.0)</f>
        <v>8</v>
      </c>
      <c r="G455" s="17">
        <f>IFERROR(__xludf.DUMMYFUNCTION("""COMPUTED_VALUE"""),2.0)</f>
        <v>2</v>
      </c>
      <c r="H455" s="17">
        <f>IFERROR(__xludf.DUMMYFUNCTION("""COMPUTED_VALUE"""),0.225)</f>
        <v>0.225</v>
      </c>
      <c r="I455" s="17">
        <f>IFERROR(__xludf.DUMMYFUNCTION("""COMPUTED_VALUE"""),0.286)</f>
        <v>0.286</v>
      </c>
      <c r="J455" s="17">
        <f>IFERROR(__xludf.DUMMYFUNCTION("""COMPUTED_VALUE"""),21.0)</f>
        <v>21</v>
      </c>
      <c r="K455" s="17">
        <f>IFERROR(__xludf.DUMMYFUNCTION("""COMPUTED_VALUE"""),4.0)</f>
        <v>4</v>
      </c>
      <c r="L455" s="17">
        <f>IFERROR(__xludf.DUMMYFUNCTION("""COMPUTED_VALUE"""),0.0)</f>
        <v>0</v>
      </c>
      <c r="M455" s="17">
        <f>IFERROR(__xludf.DUMMYFUNCTION("""COMPUTED_VALUE"""),8.0)</f>
        <v>8</v>
      </c>
      <c r="N455" s="17">
        <f>IFERROR(__xludf.DUMMYFUNCTION("""COMPUTED_VALUE"""),21.0)</f>
        <v>21</v>
      </c>
      <c r="O455" s="17">
        <f>IFERROR(__xludf.DUMMYFUNCTION("""COMPUTED_VALUE"""),0.297)</f>
        <v>0.297</v>
      </c>
      <c r="P455" s="17">
        <f>IFERROR(__xludf.DUMMYFUNCTION("""COMPUTED_VALUE"""),0.584)</f>
        <v>0.584</v>
      </c>
      <c r="Q455" s="34">
        <f>IFERROR(__xludf.DUMMYFUNCTION("""COMPUTED_VALUE"""),0.0)</f>
        <v>0</v>
      </c>
      <c r="R455" s="34">
        <f>IFERROR(__xludf.DUMMYFUNCTION("""COMPUTED_VALUE"""),0.0)</f>
        <v>0</v>
      </c>
      <c r="S455" s="34">
        <f>IFERROR(__xludf.DUMMYFUNCTION("""COMPUTED_VALUE"""),0.0)</f>
        <v>0</v>
      </c>
      <c r="T455" s="17" t="str">
        <f t="shared" si="1"/>
        <v>Nick Allen</v>
      </c>
    </row>
    <row r="456">
      <c r="A456" s="17">
        <f>IFERROR(__xludf.DUMMYFUNCTION("""COMPUTED_VALUE"""),456.0)</f>
        <v>456</v>
      </c>
      <c r="B456" s="17" t="str">
        <f>IFERROR(__xludf.DUMMYFUNCTION("""COMPUTED_VALUE"""),"Jose Iglesias (2B,3B,SS) FA")</f>
        <v>Jose Iglesias (2B,3B,SS) FA</v>
      </c>
      <c r="C456" s="17">
        <f>IFERROR(__xludf.DUMMYFUNCTION("""COMPUTED_VALUE"""),74.0)</f>
        <v>74</v>
      </c>
      <c r="D456" s="17">
        <f>IFERROR(__xludf.DUMMYFUNCTION("""COMPUTED_VALUE"""),8.0)</f>
        <v>8</v>
      </c>
      <c r="E456" s="17">
        <f>IFERROR(__xludf.DUMMYFUNCTION("""COMPUTED_VALUE"""),1.0)</f>
        <v>1</v>
      </c>
      <c r="F456" s="17">
        <f>IFERROR(__xludf.DUMMYFUNCTION("""COMPUTED_VALUE"""),7.0)</f>
        <v>7</v>
      </c>
      <c r="G456" s="17">
        <f>IFERROR(__xludf.DUMMYFUNCTION("""COMPUTED_VALUE"""),1.0)</f>
        <v>1</v>
      </c>
      <c r="H456" s="17">
        <f>IFERROR(__xludf.DUMMYFUNCTION("""COMPUTED_VALUE"""),0.256)</f>
        <v>0.256</v>
      </c>
      <c r="I456" s="17">
        <f>IFERROR(__xludf.DUMMYFUNCTION("""COMPUTED_VALUE"""),0.303)</f>
        <v>0.303</v>
      </c>
      <c r="J456" s="17">
        <f>IFERROR(__xludf.DUMMYFUNCTION("""COMPUTED_VALUE"""),19.0)</f>
        <v>19</v>
      </c>
      <c r="K456" s="17">
        <f>IFERROR(__xludf.DUMMYFUNCTION("""COMPUTED_VALUE"""),4.0)</f>
        <v>4</v>
      </c>
      <c r="L456" s="17">
        <f>IFERROR(__xludf.DUMMYFUNCTION("""COMPUTED_VALUE"""),0.0)</f>
        <v>0</v>
      </c>
      <c r="M456" s="17">
        <f>IFERROR(__xludf.DUMMYFUNCTION("""COMPUTED_VALUE"""),4.0)</f>
        <v>4</v>
      </c>
      <c r="N456" s="17">
        <f>IFERROR(__xludf.DUMMYFUNCTION("""COMPUTED_VALUE"""),14.0)</f>
        <v>14</v>
      </c>
      <c r="O456" s="17">
        <f>IFERROR(__xludf.DUMMYFUNCTION("""COMPUTED_VALUE"""),0.347)</f>
        <v>0.347</v>
      </c>
      <c r="P456" s="17">
        <f>IFERROR(__xludf.DUMMYFUNCTION("""COMPUTED_VALUE"""),0.65)</f>
        <v>0.65</v>
      </c>
      <c r="Q456" s="34">
        <f>IFERROR(__xludf.DUMMYFUNCTION("""COMPUTED_VALUE"""),0.0)</f>
        <v>0</v>
      </c>
      <c r="R456" s="34">
        <f>IFERROR(__xludf.DUMMYFUNCTION("""COMPUTED_VALUE"""),0.0)</f>
        <v>0</v>
      </c>
      <c r="S456" s="34">
        <f>IFERROR(__xludf.DUMMYFUNCTION("""COMPUTED_VALUE"""),0.0)</f>
        <v>0</v>
      </c>
      <c r="T456" s="17" t="str">
        <f t="shared" si="1"/>
        <v>Jose Iglesias</v>
      </c>
    </row>
    <row r="457">
      <c r="A457" s="17">
        <f>IFERROR(__xludf.DUMMYFUNCTION("""COMPUTED_VALUE"""),457.0)</f>
        <v>457</v>
      </c>
      <c r="B457" s="17" t="str">
        <f>IFERROR(__xludf.DUMMYFUNCTION("""COMPUTED_VALUE"""),"Tyler Black (MIL - 1B)")</f>
        <v>Tyler Black (MIL - 1B)</v>
      </c>
      <c r="C457" s="17">
        <f>IFERROR(__xludf.DUMMYFUNCTION("""COMPUTED_VALUE"""),62.0)</f>
        <v>62</v>
      </c>
      <c r="D457" s="17">
        <f>IFERROR(__xludf.DUMMYFUNCTION("""COMPUTED_VALUE"""),8.0)</f>
        <v>8</v>
      </c>
      <c r="E457" s="17">
        <f>IFERROR(__xludf.DUMMYFUNCTION("""COMPUTED_VALUE"""),1.0)</f>
        <v>1</v>
      </c>
      <c r="F457" s="17">
        <f>IFERROR(__xludf.DUMMYFUNCTION("""COMPUTED_VALUE"""),7.0)</f>
        <v>7</v>
      </c>
      <c r="G457" s="17">
        <f>IFERROR(__xludf.DUMMYFUNCTION("""COMPUTED_VALUE"""),3.0)</f>
        <v>3</v>
      </c>
      <c r="H457" s="17">
        <f>IFERROR(__xludf.DUMMYFUNCTION("""COMPUTED_VALUE"""),0.221)</f>
        <v>0.221</v>
      </c>
      <c r="I457" s="17">
        <f>IFERROR(__xludf.DUMMYFUNCTION("""COMPUTED_VALUE"""),0.317)</f>
        <v>0.317</v>
      </c>
      <c r="J457" s="17">
        <f>IFERROR(__xludf.DUMMYFUNCTION("""COMPUTED_VALUE"""),14.0)</f>
        <v>14</v>
      </c>
      <c r="K457" s="17">
        <f>IFERROR(__xludf.DUMMYFUNCTION("""COMPUTED_VALUE"""),3.0)</f>
        <v>3</v>
      </c>
      <c r="L457" s="17">
        <f>IFERROR(__xludf.DUMMYFUNCTION("""COMPUTED_VALUE"""),1.0)</f>
        <v>1</v>
      </c>
      <c r="M457" s="17">
        <f>IFERROR(__xludf.DUMMYFUNCTION("""COMPUTED_VALUE"""),8.0)</f>
        <v>8</v>
      </c>
      <c r="N457" s="17">
        <f>IFERROR(__xludf.DUMMYFUNCTION("""COMPUTED_VALUE"""),18.0)</f>
        <v>18</v>
      </c>
      <c r="O457" s="17">
        <f>IFERROR(__xludf.DUMMYFUNCTION("""COMPUTED_VALUE"""),0.343)</f>
        <v>0.343</v>
      </c>
      <c r="P457" s="17">
        <f>IFERROR(__xludf.DUMMYFUNCTION("""COMPUTED_VALUE"""),0.66)</f>
        <v>0.66</v>
      </c>
      <c r="Q457" s="34">
        <f>IFERROR(__xludf.DUMMYFUNCTION("""COMPUTED_VALUE"""),0.0)</f>
        <v>0</v>
      </c>
      <c r="R457" s="34">
        <f>IFERROR(__xludf.DUMMYFUNCTION("""COMPUTED_VALUE"""),0.0)</f>
        <v>0</v>
      </c>
      <c r="S457" s="34">
        <f>IFERROR(__xludf.DUMMYFUNCTION("""COMPUTED_VALUE"""),0.0)</f>
        <v>0</v>
      </c>
      <c r="T457" s="17" t="str">
        <f t="shared" si="1"/>
        <v>Tyler Black</v>
      </c>
    </row>
    <row r="458">
      <c r="A458" s="17">
        <f>IFERROR(__xludf.DUMMYFUNCTION("""COMPUTED_VALUE"""),458.0)</f>
        <v>458</v>
      </c>
      <c r="B458" s="17" t="str">
        <f>IFERROR(__xludf.DUMMYFUNCTION("""COMPUTED_VALUE"""),"Deyvison De Los Santos (MIA - 1B,3B) MiLB")</f>
        <v>Deyvison De Los Santos (MIA - 1B,3B) MiLB</v>
      </c>
      <c r="C458" s="17">
        <f>IFERROR(__xludf.DUMMYFUNCTION("""COMPUTED_VALUE"""),65.0)</f>
        <v>65</v>
      </c>
      <c r="D458" s="17">
        <f>IFERROR(__xludf.DUMMYFUNCTION("""COMPUTED_VALUE"""),7.0)</f>
        <v>7</v>
      </c>
      <c r="E458" s="17">
        <f>IFERROR(__xludf.DUMMYFUNCTION("""COMPUTED_VALUE"""),2.0)</f>
        <v>2</v>
      </c>
      <c r="F458" s="17">
        <f>IFERROR(__xludf.DUMMYFUNCTION("""COMPUTED_VALUE"""),8.0)</f>
        <v>8</v>
      </c>
      <c r="G458" s="17">
        <f>IFERROR(__xludf.DUMMYFUNCTION("""COMPUTED_VALUE"""),1.0)</f>
        <v>1</v>
      </c>
      <c r="H458" s="17">
        <f>IFERROR(__xludf.DUMMYFUNCTION("""COMPUTED_VALUE"""),0.235)</f>
        <v>0.235</v>
      </c>
      <c r="I458" s="17">
        <f>IFERROR(__xludf.DUMMYFUNCTION("""COMPUTED_VALUE"""),0.288)</f>
        <v>0.288</v>
      </c>
      <c r="J458" s="17">
        <f>IFERROR(__xludf.DUMMYFUNCTION("""COMPUTED_VALUE"""),15.0)</f>
        <v>15</v>
      </c>
      <c r="K458" s="17">
        <f>IFERROR(__xludf.DUMMYFUNCTION("""COMPUTED_VALUE"""),3.0)</f>
        <v>3</v>
      </c>
      <c r="L458" s="17">
        <f>IFERROR(__xludf.DUMMYFUNCTION("""COMPUTED_VALUE"""),0.0)</f>
        <v>0</v>
      </c>
      <c r="M458" s="17">
        <f>IFERROR(__xludf.DUMMYFUNCTION("""COMPUTED_VALUE"""),4.0)</f>
        <v>4</v>
      </c>
      <c r="N458" s="17">
        <f>IFERROR(__xludf.DUMMYFUNCTION("""COMPUTED_VALUE"""),18.0)</f>
        <v>18</v>
      </c>
      <c r="O458" s="17">
        <f>IFERROR(__xludf.DUMMYFUNCTION("""COMPUTED_VALUE"""),0.381)</f>
        <v>0.381</v>
      </c>
      <c r="P458" s="17">
        <f>IFERROR(__xludf.DUMMYFUNCTION("""COMPUTED_VALUE"""),0.67)</f>
        <v>0.67</v>
      </c>
      <c r="Q458" s="34">
        <f>IFERROR(__xludf.DUMMYFUNCTION("""COMPUTED_VALUE"""),0.01)</f>
        <v>0.01</v>
      </c>
      <c r="R458" s="34">
        <f>IFERROR(__xludf.DUMMYFUNCTION("""COMPUTED_VALUE"""),0.01)</f>
        <v>0.01</v>
      </c>
      <c r="S458" s="34">
        <f>IFERROR(__xludf.DUMMYFUNCTION("""COMPUTED_VALUE"""),0.0)</f>
        <v>0</v>
      </c>
      <c r="T458" s="17" t="str">
        <f t="shared" si="1"/>
        <v>Deyvison De Los Santos</v>
      </c>
    </row>
    <row r="459">
      <c r="A459" s="17">
        <f>IFERROR(__xludf.DUMMYFUNCTION("""COMPUTED_VALUE"""),459.0)</f>
        <v>459</v>
      </c>
      <c r="B459" s="17" t="str">
        <f>IFERROR(__xludf.DUMMYFUNCTION("""COMPUTED_VALUE"""),"MJ Melendez (NYM - LF,DH)")</f>
        <v>MJ Melendez (NYM - LF,DH)</v>
      </c>
      <c r="C459" s="17">
        <f>IFERROR(__xludf.DUMMYFUNCTION("""COMPUTED_VALUE"""),64.0)</f>
        <v>64</v>
      </c>
      <c r="D459" s="17">
        <f>IFERROR(__xludf.DUMMYFUNCTION("""COMPUTED_VALUE"""),8.0)</f>
        <v>8</v>
      </c>
      <c r="E459" s="17">
        <f>IFERROR(__xludf.DUMMYFUNCTION("""COMPUTED_VALUE"""),3.0)</f>
        <v>3</v>
      </c>
      <c r="F459" s="17">
        <f>IFERROR(__xludf.DUMMYFUNCTION("""COMPUTED_VALUE"""),8.0)</f>
        <v>8</v>
      </c>
      <c r="G459" s="17">
        <f>IFERROR(__xludf.DUMMYFUNCTION("""COMPUTED_VALUE"""),1.0)</f>
        <v>1</v>
      </c>
      <c r="H459" s="17">
        <f>IFERROR(__xludf.DUMMYFUNCTION("""COMPUTED_VALUE"""),0.209)</f>
        <v>0.209</v>
      </c>
      <c r="I459" s="17">
        <f>IFERROR(__xludf.DUMMYFUNCTION("""COMPUTED_VALUE"""),0.28)</f>
        <v>0.28</v>
      </c>
      <c r="J459" s="17">
        <f>IFERROR(__xludf.DUMMYFUNCTION("""COMPUTED_VALUE"""),13.0)</f>
        <v>13</v>
      </c>
      <c r="K459" s="17">
        <f>IFERROR(__xludf.DUMMYFUNCTION("""COMPUTED_VALUE"""),3.0)</f>
        <v>3</v>
      </c>
      <c r="L459" s="17">
        <f>IFERROR(__xludf.DUMMYFUNCTION("""COMPUTED_VALUE"""),0.0)</f>
        <v>0</v>
      </c>
      <c r="M459" s="17">
        <f>IFERROR(__xludf.DUMMYFUNCTION("""COMPUTED_VALUE"""),6.0)</f>
        <v>6</v>
      </c>
      <c r="N459" s="17">
        <f>IFERROR(__xludf.DUMMYFUNCTION("""COMPUTED_VALUE"""),21.0)</f>
        <v>21</v>
      </c>
      <c r="O459" s="17">
        <f>IFERROR(__xludf.DUMMYFUNCTION("""COMPUTED_VALUE"""),0.381)</f>
        <v>0.381</v>
      </c>
      <c r="P459" s="17">
        <f>IFERROR(__xludf.DUMMYFUNCTION("""COMPUTED_VALUE"""),0.661)</f>
        <v>0.661</v>
      </c>
      <c r="Q459" s="34">
        <f>IFERROR(__xludf.DUMMYFUNCTION("""COMPUTED_VALUE"""),0.0)</f>
        <v>0</v>
      </c>
      <c r="R459" s="34">
        <f>IFERROR(__xludf.DUMMYFUNCTION("""COMPUTED_VALUE"""),0.0)</f>
        <v>0</v>
      </c>
      <c r="S459" s="34">
        <f>IFERROR(__xludf.DUMMYFUNCTION("""COMPUTED_VALUE"""),0.0)</f>
        <v>0</v>
      </c>
      <c r="T459" s="17" t="str">
        <f t="shared" si="1"/>
        <v>MJ Melendez</v>
      </c>
    </row>
    <row r="460">
      <c r="A460" s="17">
        <f>IFERROR(__xludf.DUMMYFUNCTION("""COMPUTED_VALUE"""),460.0)</f>
        <v>460</v>
      </c>
      <c r="B460" s="17" t="str">
        <f>IFERROR(__xludf.DUMMYFUNCTION("""COMPUTED_VALUE"""),"Nelson Velazquez (STL - LF,RF,DH) MiLB")</f>
        <v>Nelson Velazquez (STL - LF,RF,DH) MiLB</v>
      </c>
      <c r="C460" s="17">
        <f>IFERROR(__xludf.DUMMYFUNCTION("""COMPUTED_VALUE"""),60.0)</f>
        <v>60</v>
      </c>
      <c r="D460" s="17">
        <f>IFERROR(__xludf.DUMMYFUNCTION("""COMPUTED_VALUE"""),8.0)</f>
        <v>8</v>
      </c>
      <c r="E460" s="17">
        <f>IFERROR(__xludf.DUMMYFUNCTION("""COMPUTED_VALUE"""),2.0)</f>
        <v>2</v>
      </c>
      <c r="F460" s="17">
        <f>IFERROR(__xludf.DUMMYFUNCTION("""COMPUTED_VALUE"""),8.0)</f>
        <v>8</v>
      </c>
      <c r="G460" s="17">
        <f>IFERROR(__xludf.DUMMYFUNCTION("""COMPUTED_VALUE"""),1.0)</f>
        <v>1</v>
      </c>
      <c r="H460" s="17">
        <f>IFERROR(__xludf.DUMMYFUNCTION("""COMPUTED_VALUE"""),0.217)</f>
        <v>0.217</v>
      </c>
      <c r="I460" s="17">
        <f>IFERROR(__xludf.DUMMYFUNCTION("""COMPUTED_VALUE"""),0.289)</f>
        <v>0.289</v>
      </c>
      <c r="J460" s="17">
        <f>IFERROR(__xludf.DUMMYFUNCTION("""COMPUTED_VALUE"""),13.0)</f>
        <v>13</v>
      </c>
      <c r="K460" s="17">
        <f>IFERROR(__xludf.DUMMYFUNCTION("""COMPUTED_VALUE"""),2.0)</f>
        <v>2</v>
      </c>
      <c r="L460" s="17">
        <f>IFERROR(__xludf.DUMMYFUNCTION("""COMPUTED_VALUE"""),0.0)</f>
        <v>0</v>
      </c>
      <c r="M460" s="17">
        <f>IFERROR(__xludf.DUMMYFUNCTION("""COMPUTED_VALUE"""),6.0)</f>
        <v>6</v>
      </c>
      <c r="N460" s="17">
        <f>IFERROR(__xludf.DUMMYFUNCTION("""COMPUTED_VALUE"""),18.0)</f>
        <v>18</v>
      </c>
      <c r="O460" s="17">
        <f>IFERROR(__xludf.DUMMYFUNCTION("""COMPUTED_VALUE"""),0.383)</f>
        <v>0.383</v>
      </c>
      <c r="P460" s="17">
        <f>IFERROR(__xludf.DUMMYFUNCTION("""COMPUTED_VALUE"""),0.672)</f>
        <v>0.672</v>
      </c>
      <c r="Q460" s="34">
        <f>IFERROR(__xludf.DUMMYFUNCTION("""COMPUTED_VALUE"""),0.0)</f>
        <v>0</v>
      </c>
      <c r="R460" s="34">
        <f>IFERROR(__xludf.DUMMYFUNCTION("""COMPUTED_VALUE"""),0.0)</f>
        <v>0</v>
      </c>
      <c r="S460" s="34">
        <f>IFERROR(__xludf.DUMMYFUNCTION("""COMPUTED_VALUE"""),0.0)</f>
        <v>0</v>
      </c>
      <c r="T460" s="17" t="str">
        <f t="shared" si="1"/>
        <v>Nelson Velazquez</v>
      </c>
    </row>
    <row r="461">
      <c r="A461" s="17">
        <f>IFERROR(__xludf.DUMMYFUNCTION("""COMPUTED_VALUE"""),461.0)</f>
        <v>461</v>
      </c>
      <c r="B461" s="17" t="str">
        <f>IFERROR(__xludf.DUMMYFUNCTION("""COMPUTED_VALUE"""),"Ryan Waldschmidt (ARI - LF,CF,RF) MiLB")</f>
        <v>Ryan Waldschmidt (ARI - LF,CF,RF) MiLB</v>
      </c>
      <c r="C461" s="17">
        <f>IFERROR(__xludf.DUMMYFUNCTION("""COMPUTED_VALUE"""),61.0)</f>
        <v>61</v>
      </c>
      <c r="D461" s="17">
        <f>IFERROR(__xludf.DUMMYFUNCTION("""COMPUTED_VALUE"""),8.0)</f>
        <v>8</v>
      </c>
      <c r="E461" s="17">
        <f>IFERROR(__xludf.DUMMYFUNCTION("""COMPUTED_VALUE"""),1.0)</f>
        <v>1</v>
      </c>
      <c r="F461" s="17">
        <f>IFERROR(__xludf.DUMMYFUNCTION("""COMPUTED_VALUE"""),7.0)</f>
        <v>7</v>
      </c>
      <c r="G461" s="17">
        <f>IFERROR(__xludf.DUMMYFUNCTION("""COMPUTED_VALUE"""),2.0)</f>
        <v>2</v>
      </c>
      <c r="H461" s="17">
        <f>IFERROR(__xludf.DUMMYFUNCTION("""COMPUTED_VALUE"""),0.239)</f>
        <v>0.239</v>
      </c>
      <c r="I461" s="17">
        <f>IFERROR(__xludf.DUMMYFUNCTION("""COMPUTED_VALUE"""),0.329)</f>
        <v>0.329</v>
      </c>
      <c r="J461" s="17">
        <f>IFERROR(__xludf.DUMMYFUNCTION("""COMPUTED_VALUE"""),14.0)</f>
        <v>14</v>
      </c>
      <c r="K461" s="17">
        <f>IFERROR(__xludf.DUMMYFUNCTION("""COMPUTED_VALUE"""),3.0)</f>
        <v>3</v>
      </c>
      <c r="L461" s="17">
        <f>IFERROR(__xludf.DUMMYFUNCTION("""COMPUTED_VALUE"""),0.0)</f>
        <v>0</v>
      </c>
      <c r="M461" s="17">
        <f>IFERROR(__xludf.DUMMYFUNCTION("""COMPUTED_VALUE"""),7.0)</f>
        <v>7</v>
      </c>
      <c r="N461" s="17">
        <f>IFERROR(__xludf.DUMMYFUNCTION("""COMPUTED_VALUE"""),16.0)</f>
        <v>16</v>
      </c>
      <c r="O461" s="17">
        <f>IFERROR(__xludf.DUMMYFUNCTION("""COMPUTED_VALUE"""),0.362)</f>
        <v>0.362</v>
      </c>
      <c r="P461" s="17">
        <f>IFERROR(__xludf.DUMMYFUNCTION("""COMPUTED_VALUE"""),0.691)</f>
        <v>0.691</v>
      </c>
      <c r="Q461" s="34">
        <f>IFERROR(__xludf.DUMMYFUNCTION("""COMPUTED_VALUE"""),0.03)</f>
        <v>0.03</v>
      </c>
      <c r="R461" s="34">
        <f>IFERROR(__xludf.DUMMYFUNCTION("""COMPUTED_VALUE"""),0.04)</f>
        <v>0.04</v>
      </c>
      <c r="S461" s="34">
        <f>IFERROR(__xludf.DUMMYFUNCTION("""COMPUTED_VALUE"""),0.02)</f>
        <v>0.02</v>
      </c>
      <c r="T461" s="17" t="str">
        <f t="shared" si="1"/>
        <v>Ryan Waldschmidt</v>
      </c>
    </row>
    <row r="462">
      <c r="A462" s="17">
        <f>IFERROR(__xludf.DUMMYFUNCTION("""COMPUTED_VALUE"""),462.0)</f>
        <v>462</v>
      </c>
      <c r="B462" s="17" t="str">
        <f>IFERROR(__xludf.DUMMYFUNCTION("""COMPUTED_VALUE"""),"Christian Koss (SF - 2B,3B,SS)")</f>
        <v>Christian Koss (SF - 2B,3B,SS)</v>
      </c>
      <c r="C462" s="17">
        <f>IFERROR(__xludf.DUMMYFUNCTION("""COMPUTED_VALUE"""),64.0)</f>
        <v>64</v>
      </c>
      <c r="D462" s="17">
        <f>IFERROR(__xludf.DUMMYFUNCTION("""COMPUTED_VALUE"""),8.0)</f>
        <v>8</v>
      </c>
      <c r="E462" s="17">
        <f>IFERROR(__xludf.DUMMYFUNCTION("""COMPUTED_VALUE"""),1.0)</f>
        <v>1</v>
      </c>
      <c r="F462" s="17">
        <f>IFERROR(__xludf.DUMMYFUNCTION("""COMPUTED_VALUE"""),7.0)</f>
        <v>7</v>
      </c>
      <c r="G462" s="17">
        <f>IFERROR(__xludf.DUMMYFUNCTION("""COMPUTED_VALUE"""),1.0)</f>
        <v>1</v>
      </c>
      <c r="H462" s="17">
        <f>IFERROR(__xludf.DUMMYFUNCTION("""COMPUTED_VALUE"""),0.24)</f>
        <v>0.24</v>
      </c>
      <c r="I462" s="17">
        <f>IFERROR(__xludf.DUMMYFUNCTION("""COMPUTED_VALUE"""),0.284)</f>
        <v>0.284</v>
      </c>
      <c r="J462" s="17">
        <f>IFERROR(__xludf.DUMMYFUNCTION("""COMPUTED_VALUE"""),15.0)</f>
        <v>15</v>
      </c>
      <c r="K462" s="17">
        <f>IFERROR(__xludf.DUMMYFUNCTION("""COMPUTED_VALUE"""),3.0)</f>
        <v>3</v>
      </c>
      <c r="L462" s="17">
        <f>IFERROR(__xludf.DUMMYFUNCTION("""COMPUTED_VALUE"""),0.0)</f>
        <v>0</v>
      </c>
      <c r="M462" s="17">
        <f>IFERROR(__xludf.DUMMYFUNCTION("""COMPUTED_VALUE"""),3.0)</f>
        <v>3</v>
      </c>
      <c r="N462" s="17">
        <f>IFERROR(__xludf.DUMMYFUNCTION("""COMPUTED_VALUE"""),16.0)</f>
        <v>16</v>
      </c>
      <c r="O462" s="17">
        <f>IFERROR(__xludf.DUMMYFUNCTION("""COMPUTED_VALUE"""),0.346)</f>
        <v>0.346</v>
      </c>
      <c r="P462" s="17">
        <f>IFERROR(__xludf.DUMMYFUNCTION("""COMPUTED_VALUE"""),0.63)</f>
        <v>0.63</v>
      </c>
      <c r="Q462" s="34">
        <f>IFERROR(__xludf.DUMMYFUNCTION("""COMPUTED_VALUE"""),0.0)</f>
        <v>0</v>
      </c>
      <c r="R462" s="34">
        <f>IFERROR(__xludf.DUMMYFUNCTION("""COMPUTED_VALUE"""),0.0)</f>
        <v>0</v>
      </c>
      <c r="S462" s="34">
        <f>IFERROR(__xludf.DUMMYFUNCTION("""COMPUTED_VALUE"""),0.0)</f>
        <v>0</v>
      </c>
      <c r="T462" s="17" t="str">
        <f t="shared" si="1"/>
        <v>Christian Koss</v>
      </c>
    </row>
    <row r="463">
      <c r="A463" s="17">
        <f>IFERROR(__xludf.DUMMYFUNCTION("""COMPUTED_VALUE"""),463.0)</f>
        <v>463</v>
      </c>
      <c r="B463" s="17" t="str">
        <f>IFERROR(__xludf.DUMMYFUNCTION("""COMPUTED_VALUE"""),"Juan Brito (CLE - 1B,2B) MiLB")</f>
        <v>Juan Brito (CLE - 1B,2B) MiLB</v>
      </c>
      <c r="C463" s="17">
        <f>IFERROR(__xludf.DUMMYFUNCTION("""COMPUTED_VALUE"""),62.0)</f>
        <v>62</v>
      </c>
      <c r="D463" s="17">
        <f>IFERROR(__xludf.DUMMYFUNCTION("""COMPUTED_VALUE"""),8.0)</f>
        <v>8</v>
      </c>
      <c r="E463" s="17">
        <f>IFERROR(__xludf.DUMMYFUNCTION("""COMPUTED_VALUE"""),1.0)</f>
        <v>1</v>
      </c>
      <c r="F463" s="17">
        <f>IFERROR(__xludf.DUMMYFUNCTION("""COMPUTED_VALUE"""),7.0)</f>
        <v>7</v>
      </c>
      <c r="G463" s="17">
        <f>IFERROR(__xludf.DUMMYFUNCTION("""COMPUTED_VALUE"""),1.0)</f>
        <v>1</v>
      </c>
      <c r="H463" s="17">
        <f>IFERROR(__xludf.DUMMYFUNCTION("""COMPUTED_VALUE"""),0.227)</f>
        <v>0.227</v>
      </c>
      <c r="I463" s="17">
        <f>IFERROR(__xludf.DUMMYFUNCTION("""COMPUTED_VALUE"""),0.306)</f>
        <v>0.306</v>
      </c>
      <c r="J463" s="17">
        <f>IFERROR(__xludf.DUMMYFUNCTION("""COMPUTED_VALUE"""),14.0)</f>
        <v>14</v>
      </c>
      <c r="K463" s="17">
        <f>IFERROR(__xludf.DUMMYFUNCTION("""COMPUTED_VALUE"""),4.0)</f>
        <v>4</v>
      </c>
      <c r="L463" s="17">
        <f>IFERROR(__xludf.DUMMYFUNCTION("""COMPUTED_VALUE"""),0.0)</f>
        <v>0</v>
      </c>
      <c r="M463" s="17">
        <f>IFERROR(__xludf.DUMMYFUNCTION("""COMPUTED_VALUE"""),7.0)</f>
        <v>7</v>
      </c>
      <c r="N463" s="17">
        <f>IFERROR(__xludf.DUMMYFUNCTION("""COMPUTED_VALUE"""),14.0)</f>
        <v>14</v>
      </c>
      <c r="O463" s="17">
        <f>IFERROR(__xludf.DUMMYFUNCTION("""COMPUTED_VALUE"""),0.358)</f>
        <v>0.358</v>
      </c>
      <c r="P463" s="17">
        <f>IFERROR(__xludf.DUMMYFUNCTION("""COMPUTED_VALUE"""),0.664)</f>
        <v>0.664</v>
      </c>
      <c r="Q463" s="34">
        <f>IFERROR(__xludf.DUMMYFUNCTION("""COMPUTED_VALUE"""),0.0)</f>
        <v>0</v>
      </c>
      <c r="R463" s="34">
        <f>IFERROR(__xludf.DUMMYFUNCTION("""COMPUTED_VALUE"""),0.0)</f>
        <v>0</v>
      </c>
      <c r="S463" s="34">
        <f>IFERROR(__xludf.DUMMYFUNCTION("""COMPUTED_VALUE"""),0.0)</f>
        <v>0</v>
      </c>
      <c r="T463" s="17" t="str">
        <f t="shared" si="1"/>
        <v>Juan Brito</v>
      </c>
    </row>
    <row r="464">
      <c r="A464" s="17">
        <f>IFERROR(__xludf.DUMMYFUNCTION("""COMPUTED_VALUE"""),464.0)</f>
        <v>464</v>
      </c>
      <c r="B464" s="17" t="str">
        <f>IFERROR(__xludf.DUMMYFUNCTION("""COMPUTED_VALUE"""),"Dustin Harris (HOU - LF,RF)")</f>
        <v>Dustin Harris (HOU - LF,RF)</v>
      </c>
      <c r="C464" s="17">
        <f>IFERROR(__xludf.DUMMYFUNCTION("""COMPUTED_VALUE"""),57.0)</f>
        <v>57</v>
      </c>
      <c r="D464" s="17">
        <f>IFERROR(__xludf.DUMMYFUNCTION("""COMPUTED_VALUE"""),7.0)</f>
        <v>7</v>
      </c>
      <c r="E464" s="17">
        <f>IFERROR(__xludf.DUMMYFUNCTION("""COMPUTED_VALUE"""),1.0)</f>
        <v>1</v>
      </c>
      <c r="F464" s="17">
        <f>IFERROR(__xludf.DUMMYFUNCTION("""COMPUTED_VALUE"""),6.0)</f>
        <v>6</v>
      </c>
      <c r="G464" s="17">
        <f>IFERROR(__xludf.DUMMYFUNCTION("""COMPUTED_VALUE"""),2.0)</f>
        <v>2</v>
      </c>
      <c r="H464" s="17">
        <f>IFERROR(__xludf.DUMMYFUNCTION("""COMPUTED_VALUE"""),0.227)</f>
        <v>0.227</v>
      </c>
      <c r="I464" s="17">
        <f>IFERROR(__xludf.DUMMYFUNCTION("""COMPUTED_VALUE"""),0.301)</f>
        <v>0.301</v>
      </c>
      <c r="J464" s="17">
        <f>IFERROR(__xludf.DUMMYFUNCTION("""COMPUTED_VALUE"""),13.0)</f>
        <v>13</v>
      </c>
      <c r="K464" s="17">
        <f>IFERROR(__xludf.DUMMYFUNCTION("""COMPUTED_VALUE"""),3.0)</f>
        <v>3</v>
      </c>
      <c r="L464" s="17">
        <f>IFERROR(__xludf.DUMMYFUNCTION("""COMPUTED_VALUE"""),0.0)</f>
        <v>0</v>
      </c>
      <c r="M464" s="17">
        <f>IFERROR(__xludf.DUMMYFUNCTION("""COMPUTED_VALUE"""),5.0)</f>
        <v>5</v>
      </c>
      <c r="N464" s="17">
        <f>IFERROR(__xludf.DUMMYFUNCTION("""COMPUTED_VALUE"""),15.0)</f>
        <v>15</v>
      </c>
      <c r="O464" s="17">
        <f>IFERROR(__xludf.DUMMYFUNCTION("""COMPUTED_VALUE"""),0.345)</f>
        <v>0.345</v>
      </c>
      <c r="P464" s="17">
        <f>IFERROR(__xludf.DUMMYFUNCTION("""COMPUTED_VALUE"""),0.646)</f>
        <v>0.646</v>
      </c>
      <c r="Q464" s="34">
        <f>IFERROR(__xludf.DUMMYFUNCTION("""COMPUTED_VALUE"""),0.0)</f>
        <v>0</v>
      </c>
      <c r="R464" s="34">
        <f>IFERROR(__xludf.DUMMYFUNCTION("""COMPUTED_VALUE"""),0.0)</f>
        <v>0</v>
      </c>
      <c r="S464" s="34">
        <f>IFERROR(__xludf.DUMMYFUNCTION("""COMPUTED_VALUE"""),0.0)</f>
        <v>0</v>
      </c>
      <c r="T464" s="17" t="str">
        <f t="shared" si="1"/>
        <v>Dustin Harris</v>
      </c>
    </row>
    <row r="465">
      <c r="A465" s="17">
        <f>IFERROR(__xludf.DUMMYFUNCTION("""COMPUTED_VALUE"""),465.0)</f>
        <v>465</v>
      </c>
      <c r="B465" s="17" t="str">
        <f>IFERROR(__xludf.DUMMYFUNCTION("""COMPUTED_VALUE"""),"Hao-Yu Lee (DET - 2B,3B)")</f>
        <v>Hao-Yu Lee (DET - 2B,3B)</v>
      </c>
      <c r="C465" s="17">
        <f>IFERROR(__xludf.DUMMYFUNCTION("""COMPUTED_VALUE"""),54.0)</f>
        <v>54</v>
      </c>
      <c r="D465" s="17">
        <f>IFERROR(__xludf.DUMMYFUNCTION("""COMPUTED_VALUE"""),7.0)</f>
        <v>7</v>
      </c>
      <c r="E465" s="17">
        <f>IFERROR(__xludf.DUMMYFUNCTION("""COMPUTED_VALUE"""),1.0)</f>
        <v>1</v>
      </c>
      <c r="F465" s="17">
        <f>IFERROR(__xludf.DUMMYFUNCTION("""COMPUTED_VALUE"""),7.0)</f>
        <v>7</v>
      </c>
      <c r="G465" s="17">
        <f>IFERROR(__xludf.DUMMYFUNCTION("""COMPUTED_VALUE"""),1.0)</f>
        <v>1</v>
      </c>
      <c r="H465" s="17">
        <f>IFERROR(__xludf.DUMMYFUNCTION("""COMPUTED_VALUE"""),0.231)</f>
        <v>0.231</v>
      </c>
      <c r="I465" s="17">
        <f>IFERROR(__xludf.DUMMYFUNCTION("""COMPUTED_VALUE"""),0.299)</f>
        <v>0.299</v>
      </c>
      <c r="J465" s="17">
        <f>IFERROR(__xludf.DUMMYFUNCTION("""COMPUTED_VALUE"""),12.0)</f>
        <v>12</v>
      </c>
      <c r="K465" s="17">
        <f>IFERROR(__xludf.DUMMYFUNCTION("""COMPUTED_VALUE"""),2.0)</f>
        <v>2</v>
      </c>
      <c r="L465" s="17">
        <f>IFERROR(__xludf.DUMMYFUNCTION("""COMPUTED_VALUE"""),0.0)</f>
        <v>0</v>
      </c>
      <c r="M465" s="17">
        <f>IFERROR(__xludf.DUMMYFUNCTION("""COMPUTED_VALUE"""),5.0)</f>
        <v>5</v>
      </c>
      <c r="N465" s="17">
        <f>IFERROR(__xludf.DUMMYFUNCTION("""COMPUTED_VALUE"""),13.0)</f>
        <v>13</v>
      </c>
      <c r="O465" s="17">
        <f>IFERROR(__xludf.DUMMYFUNCTION("""COMPUTED_VALUE"""),0.352)</f>
        <v>0.352</v>
      </c>
      <c r="P465" s="17">
        <f>IFERROR(__xludf.DUMMYFUNCTION("""COMPUTED_VALUE"""),0.651)</f>
        <v>0.651</v>
      </c>
      <c r="Q465" s="34">
        <f>IFERROR(__xludf.DUMMYFUNCTION("""COMPUTED_VALUE"""),0.01)</f>
        <v>0.01</v>
      </c>
      <c r="R465" s="34">
        <f>IFERROR(__xludf.DUMMYFUNCTION("""COMPUTED_VALUE"""),0.01)</f>
        <v>0.01</v>
      </c>
      <c r="S465" s="34">
        <f>IFERROR(__xludf.DUMMYFUNCTION("""COMPUTED_VALUE"""),0.0)</f>
        <v>0</v>
      </c>
      <c r="T465" s="17" t="str">
        <f t="shared" si="1"/>
        <v>Hao-Yu Lee</v>
      </c>
    </row>
    <row r="466">
      <c r="A466" s="17">
        <f>IFERROR(__xludf.DUMMYFUNCTION("""COMPUTED_VALUE"""),466.0)</f>
        <v>466</v>
      </c>
      <c r="B466" s="17" t="str">
        <f>IFERROR(__xludf.DUMMYFUNCTION("""COMPUTED_VALUE"""),"Yohendrick Pinango (TOR - LF)")</f>
        <v>Yohendrick Pinango (TOR - LF)</v>
      </c>
      <c r="C466" s="17">
        <f>IFERROR(__xludf.DUMMYFUNCTION("""COMPUTED_VALUE"""),62.0)</f>
        <v>62</v>
      </c>
      <c r="D466" s="17">
        <f>IFERROR(__xludf.DUMMYFUNCTION("""COMPUTED_VALUE"""),7.0)</f>
        <v>7</v>
      </c>
      <c r="E466" s="17">
        <f>IFERROR(__xludf.DUMMYFUNCTION("""COMPUTED_VALUE"""),1.0)</f>
        <v>1</v>
      </c>
      <c r="F466" s="17">
        <f>IFERROR(__xludf.DUMMYFUNCTION("""COMPUTED_VALUE"""),7.0)</f>
        <v>7</v>
      </c>
      <c r="G466" s="17">
        <f>IFERROR(__xludf.DUMMYFUNCTION("""COMPUTED_VALUE"""),1.0)</f>
        <v>1</v>
      </c>
      <c r="H466" s="17">
        <f>IFERROR(__xludf.DUMMYFUNCTION("""COMPUTED_VALUE"""),0.222)</f>
        <v>0.222</v>
      </c>
      <c r="I466" s="17">
        <f>IFERROR(__xludf.DUMMYFUNCTION("""COMPUTED_VALUE"""),0.295)</f>
        <v>0.295</v>
      </c>
      <c r="J466" s="17">
        <f>IFERROR(__xludf.DUMMYFUNCTION("""COMPUTED_VALUE"""),14.0)</f>
        <v>14</v>
      </c>
      <c r="K466" s="17">
        <f>IFERROR(__xludf.DUMMYFUNCTION("""COMPUTED_VALUE"""),3.0)</f>
        <v>3</v>
      </c>
      <c r="L466" s="17">
        <f>IFERROR(__xludf.DUMMYFUNCTION("""COMPUTED_VALUE"""),0.0)</f>
        <v>0</v>
      </c>
      <c r="M466" s="17">
        <f>IFERROR(__xludf.DUMMYFUNCTION("""COMPUTED_VALUE"""),6.0)</f>
        <v>6</v>
      </c>
      <c r="N466" s="17">
        <f>IFERROR(__xludf.DUMMYFUNCTION("""COMPUTED_VALUE"""),16.0)</f>
        <v>16</v>
      </c>
      <c r="O466" s="17">
        <f>IFERROR(__xludf.DUMMYFUNCTION("""COMPUTED_VALUE"""),0.34)</f>
        <v>0.34</v>
      </c>
      <c r="P466" s="17">
        <f>IFERROR(__xludf.DUMMYFUNCTION("""COMPUTED_VALUE"""),0.635)</f>
        <v>0.635</v>
      </c>
      <c r="Q466" s="34">
        <f>IFERROR(__xludf.DUMMYFUNCTION("""COMPUTED_VALUE"""),0.0)</f>
        <v>0</v>
      </c>
      <c r="R466" s="34">
        <f>IFERROR(__xludf.DUMMYFUNCTION("""COMPUTED_VALUE"""),0.0)</f>
        <v>0</v>
      </c>
      <c r="S466" s="34">
        <f>IFERROR(__xludf.DUMMYFUNCTION("""COMPUTED_VALUE"""),0.0)</f>
        <v>0</v>
      </c>
      <c r="T466" s="17" t="str">
        <f t="shared" si="1"/>
        <v>Yohendrick Pinango</v>
      </c>
    </row>
    <row r="467">
      <c r="A467" s="17">
        <f>IFERROR(__xludf.DUMMYFUNCTION("""COMPUTED_VALUE"""),467.0)</f>
        <v>467</v>
      </c>
      <c r="B467" s="17" t="str">
        <f>IFERROR(__xludf.DUMMYFUNCTION("""COMPUTED_VALUE"""),"Shay Whitcomb (HOU - 2B,3B)")</f>
        <v>Shay Whitcomb (HOU - 2B,3B)</v>
      </c>
      <c r="C467" s="17">
        <f>IFERROR(__xludf.DUMMYFUNCTION("""COMPUTED_VALUE"""),46.0)</f>
        <v>46</v>
      </c>
      <c r="D467" s="17">
        <f>IFERROR(__xludf.DUMMYFUNCTION("""COMPUTED_VALUE"""),6.0)</f>
        <v>6</v>
      </c>
      <c r="E467" s="17">
        <f>IFERROR(__xludf.DUMMYFUNCTION("""COMPUTED_VALUE"""),2.0)</f>
        <v>2</v>
      </c>
      <c r="F467" s="17">
        <f>IFERROR(__xludf.DUMMYFUNCTION("""COMPUTED_VALUE"""),6.0)</f>
        <v>6</v>
      </c>
      <c r="G467" s="17">
        <f>IFERROR(__xludf.DUMMYFUNCTION("""COMPUTED_VALUE"""),1.0)</f>
        <v>1</v>
      </c>
      <c r="H467" s="17">
        <f>IFERROR(__xludf.DUMMYFUNCTION("""COMPUTED_VALUE"""),0.218)</f>
        <v>0.218</v>
      </c>
      <c r="I467" s="17">
        <f>IFERROR(__xludf.DUMMYFUNCTION("""COMPUTED_VALUE"""),0.278)</f>
        <v>0.278</v>
      </c>
      <c r="J467" s="17">
        <f>IFERROR(__xludf.DUMMYFUNCTION("""COMPUTED_VALUE"""),10.0)</f>
        <v>10</v>
      </c>
      <c r="K467" s="17">
        <f>IFERROR(__xludf.DUMMYFUNCTION("""COMPUTED_VALUE"""),2.0)</f>
        <v>2</v>
      </c>
      <c r="L467" s="17">
        <f>IFERROR(__xludf.DUMMYFUNCTION("""COMPUTED_VALUE"""),0.0)</f>
        <v>0</v>
      </c>
      <c r="M467" s="17">
        <f>IFERROR(__xludf.DUMMYFUNCTION("""COMPUTED_VALUE"""),3.0)</f>
        <v>3</v>
      </c>
      <c r="N467" s="17">
        <f>IFERROR(__xludf.DUMMYFUNCTION("""COMPUTED_VALUE"""),15.0)</f>
        <v>15</v>
      </c>
      <c r="O467" s="17">
        <f>IFERROR(__xludf.DUMMYFUNCTION("""COMPUTED_VALUE"""),0.381)</f>
        <v>0.381</v>
      </c>
      <c r="P467" s="17">
        <f>IFERROR(__xludf.DUMMYFUNCTION("""COMPUTED_VALUE"""),0.659)</f>
        <v>0.659</v>
      </c>
      <c r="Q467" s="34">
        <f>IFERROR(__xludf.DUMMYFUNCTION("""COMPUTED_VALUE"""),0.0)</f>
        <v>0</v>
      </c>
      <c r="R467" s="34">
        <f>IFERROR(__xludf.DUMMYFUNCTION("""COMPUTED_VALUE"""),0.0)</f>
        <v>0</v>
      </c>
      <c r="S467" s="34">
        <f>IFERROR(__xludf.DUMMYFUNCTION("""COMPUTED_VALUE"""),0.0)</f>
        <v>0</v>
      </c>
      <c r="T467" s="17" t="str">
        <f t="shared" si="1"/>
        <v>Shay Whitcomb</v>
      </c>
    </row>
    <row r="468">
      <c r="A468" s="17">
        <f>IFERROR(__xludf.DUMMYFUNCTION("""COMPUTED_VALUE"""),468.0)</f>
        <v>468</v>
      </c>
      <c r="B468" s="17" t="str">
        <f>IFERROR(__xludf.DUMMYFUNCTION("""COMPUTED_VALUE"""),"Jack Suwinski (LAD - LF,CF,RF) MiLB")</f>
        <v>Jack Suwinski (LAD - LF,CF,RF) MiLB</v>
      </c>
      <c r="C468" s="17">
        <f>IFERROR(__xludf.DUMMYFUNCTION("""COMPUTED_VALUE"""),43.0)</f>
        <v>43</v>
      </c>
      <c r="D468" s="17">
        <f>IFERROR(__xludf.DUMMYFUNCTION("""COMPUTED_VALUE"""),6.0)</f>
        <v>6</v>
      </c>
      <c r="E468" s="17">
        <f>IFERROR(__xludf.DUMMYFUNCTION("""COMPUTED_VALUE"""),2.0)</f>
        <v>2</v>
      </c>
      <c r="F468" s="17">
        <f>IFERROR(__xludf.DUMMYFUNCTION("""COMPUTED_VALUE"""),6.0)</f>
        <v>6</v>
      </c>
      <c r="G468" s="17">
        <f>IFERROR(__xludf.DUMMYFUNCTION("""COMPUTED_VALUE"""),1.0)</f>
        <v>1</v>
      </c>
      <c r="H468" s="17">
        <f>IFERROR(__xludf.DUMMYFUNCTION("""COMPUTED_VALUE"""),0.2)</f>
        <v>0.2</v>
      </c>
      <c r="I468" s="17">
        <f>IFERROR(__xludf.DUMMYFUNCTION("""COMPUTED_VALUE"""),0.299)</f>
        <v>0.299</v>
      </c>
      <c r="J468" s="17">
        <f>IFERROR(__xludf.DUMMYFUNCTION("""COMPUTED_VALUE"""),9.0)</f>
        <v>9</v>
      </c>
      <c r="K468" s="17">
        <f>IFERROR(__xludf.DUMMYFUNCTION("""COMPUTED_VALUE"""),2.0)</f>
        <v>2</v>
      </c>
      <c r="L468" s="17">
        <f>IFERROR(__xludf.DUMMYFUNCTION("""COMPUTED_VALUE"""),0.0)</f>
        <v>0</v>
      </c>
      <c r="M468" s="17">
        <f>IFERROR(__xludf.DUMMYFUNCTION("""COMPUTED_VALUE"""),6.0)</f>
        <v>6</v>
      </c>
      <c r="N468" s="17">
        <f>IFERROR(__xludf.DUMMYFUNCTION("""COMPUTED_VALUE"""),16.0)</f>
        <v>16</v>
      </c>
      <c r="O468" s="17">
        <f>IFERROR(__xludf.DUMMYFUNCTION("""COMPUTED_VALUE"""),0.377)</f>
        <v>0.377</v>
      </c>
      <c r="P468" s="17">
        <f>IFERROR(__xludf.DUMMYFUNCTION("""COMPUTED_VALUE"""),0.676)</f>
        <v>0.676</v>
      </c>
      <c r="Q468" s="34">
        <f>IFERROR(__xludf.DUMMYFUNCTION("""COMPUTED_VALUE"""),0.0)</f>
        <v>0</v>
      </c>
      <c r="R468" s="34">
        <f>IFERROR(__xludf.DUMMYFUNCTION("""COMPUTED_VALUE"""),0.0)</f>
        <v>0</v>
      </c>
      <c r="S468" s="34">
        <f>IFERROR(__xludf.DUMMYFUNCTION("""COMPUTED_VALUE"""),0.0)</f>
        <v>0</v>
      </c>
      <c r="T468" s="17" t="str">
        <f t="shared" si="1"/>
        <v>Jack Suwinski</v>
      </c>
    </row>
    <row r="469">
      <c r="A469" s="17">
        <f>IFERROR(__xludf.DUMMYFUNCTION("""COMPUTED_VALUE"""),469.0)</f>
        <v>469</v>
      </c>
      <c r="B469" s="17" t="str">
        <f>IFERROR(__xludf.DUMMYFUNCTION("""COMPUTED_VALUE"""),"Mark Canha (LF,RF) FA")</f>
        <v>Mark Canha (LF,RF) FA</v>
      </c>
      <c r="C469" s="17">
        <f>IFERROR(__xludf.DUMMYFUNCTION("""COMPUTED_VALUE"""),53.0)</f>
        <v>53</v>
      </c>
      <c r="D469" s="17">
        <f>IFERROR(__xludf.DUMMYFUNCTION("""COMPUTED_VALUE"""),7.0)</f>
        <v>7</v>
      </c>
      <c r="E469" s="17">
        <f>IFERROR(__xludf.DUMMYFUNCTION("""COMPUTED_VALUE"""),1.0)</f>
        <v>1</v>
      </c>
      <c r="F469" s="17">
        <f>IFERROR(__xludf.DUMMYFUNCTION("""COMPUTED_VALUE"""),6.0)</f>
        <v>6</v>
      </c>
      <c r="G469" s="17">
        <f>IFERROR(__xludf.DUMMYFUNCTION("""COMPUTED_VALUE"""),1.0)</f>
        <v>1</v>
      </c>
      <c r="H469" s="17">
        <f>IFERROR(__xludf.DUMMYFUNCTION("""COMPUTED_VALUE"""),0.233)</f>
        <v>0.233</v>
      </c>
      <c r="I469" s="17">
        <f>IFERROR(__xludf.DUMMYFUNCTION("""COMPUTED_VALUE"""),0.325)</f>
        <v>0.325</v>
      </c>
      <c r="J469" s="17">
        <f>IFERROR(__xludf.DUMMYFUNCTION("""COMPUTED_VALUE"""),12.0)</f>
        <v>12</v>
      </c>
      <c r="K469" s="17">
        <f>IFERROR(__xludf.DUMMYFUNCTION("""COMPUTED_VALUE"""),2.0)</f>
        <v>2</v>
      </c>
      <c r="L469" s="17">
        <f>IFERROR(__xludf.DUMMYFUNCTION("""COMPUTED_VALUE"""),0.0)</f>
        <v>0</v>
      </c>
      <c r="M469" s="17">
        <f>IFERROR(__xludf.DUMMYFUNCTION("""COMPUTED_VALUE"""),6.0)</f>
        <v>6</v>
      </c>
      <c r="N469" s="17">
        <f>IFERROR(__xludf.DUMMYFUNCTION("""COMPUTED_VALUE"""),13.0)</f>
        <v>13</v>
      </c>
      <c r="O469" s="17">
        <f>IFERROR(__xludf.DUMMYFUNCTION("""COMPUTED_VALUE"""),0.342)</f>
        <v>0.342</v>
      </c>
      <c r="P469" s="17">
        <f>IFERROR(__xludf.DUMMYFUNCTION("""COMPUTED_VALUE"""),0.667)</f>
        <v>0.667</v>
      </c>
      <c r="Q469" s="34">
        <f>IFERROR(__xludf.DUMMYFUNCTION("""COMPUTED_VALUE"""),0.0)</f>
        <v>0</v>
      </c>
      <c r="R469" s="34">
        <f>IFERROR(__xludf.DUMMYFUNCTION("""COMPUTED_VALUE"""),0.0)</f>
        <v>0</v>
      </c>
      <c r="S469" s="34">
        <f>IFERROR(__xludf.DUMMYFUNCTION("""COMPUTED_VALUE"""),0.0)</f>
        <v>0</v>
      </c>
      <c r="T469" s="17" t="str">
        <f t="shared" si="1"/>
        <v>Mark Canha</v>
      </c>
    </row>
    <row r="470">
      <c r="A470" s="17">
        <f>IFERROR(__xludf.DUMMYFUNCTION("""COMPUTED_VALUE"""),470.0)</f>
        <v>470</v>
      </c>
      <c r="B470" s="17" t="str">
        <f>IFERROR(__xludf.DUMMYFUNCTION("""COMPUTED_VALUE"""),"Kristian Campbell (BOS - 2B,CF) MiLB")</f>
        <v>Kristian Campbell (BOS - 2B,CF) MiLB</v>
      </c>
      <c r="C470" s="17">
        <f>IFERROR(__xludf.DUMMYFUNCTION("""COMPUTED_VALUE"""),53.0)</f>
        <v>53</v>
      </c>
      <c r="D470" s="17">
        <f>IFERROR(__xludf.DUMMYFUNCTION("""COMPUTED_VALUE"""),7.0)</f>
        <v>7</v>
      </c>
      <c r="E470" s="17">
        <f>IFERROR(__xludf.DUMMYFUNCTION("""COMPUTED_VALUE"""),1.0)</f>
        <v>1</v>
      </c>
      <c r="F470" s="17">
        <f>IFERROR(__xludf.DUMMYFUNCTION("""COMPUTED_VALUE"""),6.0)</f>
        <v>6</v>
      </c>
      <c r="G470" s="17">
        <f>IFERROR(__xludf.DUMMYFUNCTION("""COMPUTED_VALUE"""),1.0)</f>
        <v>1</v>
      </c>
      <c r="H470" s="17">
        <f>IFERROR(__xludf.DUMMYFUNCTION("""COMPUTED_VALUE"""),0.236)</f>
        <v>0.236</v>
      </c>
      <c r="I470" s="17">
        <f>IFERROR(__xludf.DUMMYFUNCTION("""COMPUTED_VALUE"""),0.323)</f>
        <v>0.323</v>
      </c>
      <c r="J470" s="17">
        <f>IFERROR(__xludf.DUMMYFUNCTION("""COMPUTED_VALUE"""),12.0)</f>
        <v>12</v>
      </c>
      <c r="K470" s="17">
        <f>IFERROR(__xludf.DUMMYFUNCTION("""COMPUTED_VALUE"""),2.0)</f>
        <v>2</v>
      </c>
      <c r="L470" s="17">
        <f>IFERROR(__xludf.DUMMYFUNCTION("""COMPUTED_VALUE"""),0.0)</f>
        <v>0</v>
      </c>
      <c r="M470" s="17">
        <f>IFERROR(__xludf.DUMMYFUNCTION("""COMPUTED_VALUE"""),6.0)</f>
        <v>6</v>
      </c>
      <c r="N470" s="17">
        <f>IFERROR(__xludf.DUMMYFUNCTION("""COMPUTED_VALUE"""),16.0)</f>
        <v>16</v>
      </c>
      <c r="O470" s="17">
        <f>IFERROR(__xludf.DUMMYFUNCTION("""COMPUTED_VALUE"""),0.35)</f>
        <v>0.35</v>
      </c>
      <c r="P470" s="17">
        <f>IFERROR(__xludf.DUMMYFUNCTION("""COMPUTED_VALUE"""),0.673)</f>
        <v>0.673</v>
      </c>
      <c r="Q470" s="34">
        <f>IFERROR(__xludf.DUMMYFUNCTION("""COMPUTED_VALUE"""),0.01)</f>
        <v>0.01</v>
      </c>
      <c r="R470" s="34">
        <f>IFERROR(__xludf.DUMMYFUNCTION("""COMPUTED_VALUE"""),0.01)</f>
        <v>0.01</v>
      </c>
      <c r="S470" s="34">
        <f>IFERROR(__xludf.DUMMYFUNCTION("""COMPUTED_VALUE"""),0.01)</f>
        <v>0.01</v>
      </c>
      <c r="T470" s="17" t="str">
        <f t="shared" si="1"/>
        <v>Kristian Campbell</v>
      </c>
    </row>
    <row r="471">
      <c r="A471" s="17">
        <f>IFERROR(__xludf.DUMMYFUNCTION("""COMPUTED_VALUE"""),471.0)</f>
        <v>471</v>
      </c>
      <c r="B471" s="17" t="str">
        <f>IFERROR(__xludf.DUMMYFUNCTION("""COMPUTED_VALUE"""),"Mike Tauchman (NYM - LF,CF,RF) MiLB")</f>
        <v>Mike Tauchman (NYM - LF,CF,RF) MiLB</v>
      </c>
      <c r="C471" s="17">
        <f>IFERROR(__xludf.DUMMYFUNCTION("""COMPUTED_VALUE"""),56.0)</f>
        <v>56</v>
      </c>
      <c r="D471" s="17">
        <f>IFERROR(__xludf.DUMMYFUNCTION("""COMPUTED_VALUE"""),8.0)</f>
        <v>8</v>
      </c>
      <c r="E471" s="17">
        <f>IFERROR(__xludf.DUMMYFUNCTION("""COMPUTED_VALUE"""),1.0)</f>
        <v>1</v>
      </c>
      <c r="F471" s="17">
        <f>IFERROR(__xludf.DUMMYFUNCTION("""COMPUTED_VALUE"""),6.0)</f>
        <v>6</v>
      </c>
      <c r="G471" s="17">
        <f>IFERROR(__xludf.DUMMYFUNCTION("""COMPUTED_VALUE"""),0.0)</f>
        <v>0</v>
      </c>
      <c r="H471" s="17">
        <f>IFERROR(__xludf.DUMMYFUNCTION("""COMPUTED_VALUE"""),0.225)</f>
        <v>0.225</v>
      </c>
      <c r="I471" s="17">
        <f>IFERROR(__xludf.DUMMYFUNCTION("""COMPUTED_VALUE"""),0.331)</f>
        <v>0.331</v>
      </c>
      <c r="J471" s="17">
        <f>IFERROR(__xludf.DUMMYFUNCTION("""COMPUTED_VALUE"""),13.0)</f>
        <v>13</v>
      </c>
      <c r="K471" s="17">
        <f>IFERROR(__xludf.DUMMYFUNCTION("""COMPUTED_VALUE"""),2.0)</f>
        <v>2</v>
      </c>
      <c r="L471" s="17">
        <f>IFERROR(__xludf.DUMMYFUNCTION("""COMPUTED_VALUE"""),0.0)</f>
        <v>0</v>
      </c>
      <c r="M471" s="17">
        <f>IFERROR(__xludf.DUMMYFUNCTION("""COMPUTED_VALUE"""),8.0)</f>
        <v>8</v>
      </c>
      <c r="N471" s="17">
        <f>IFERROR(__xludf.DUMMYFUNCTION("""COMPUTED_VALUE"""),15.0)</f>
        <v>15</v>
      </c>
      <c r="O471" s="17">
        <f>IFERROR(__xludf.DUMMYFUNCTION("""COMPUTED_VALUE"""),0.335)</f>
        <v>0.335</v>
      </c>
      <c r="P471" s="17">
        <f>IFERROR(__xludf.DUMMYFUNCTION("""COMPUTED_VALUE"""),0.666)</f>
        <v>0.666</v>
      </c>
      <c r="Q471" s="34">
        <f>IFERROR(__xludf.DUMMYFUNCTION("""COMPUTED_VALUE"""),0.01)</f>
        <v>0.01</v>
      </c>
      <c r="R471" s="34">
        <f>IFERROR(__xludf.DUMMYFUNCTION("""COMPUTED_VALUE"""),0.01)</f>
        <v>0.01</v>
      </c>
      <c r="S471" s="34">
        <f>IFERROR(__xludf.DUMMYFUNCTION("""COMPUTED_VALUE"""),0.0)</f>
        <v>0</v>
      </c>
      <c r="T471" s="17" t="str">
        <f t="shared" si="1"/>
        <v>Mike Tauchman</v>
      </c>
    </row>
    <row r="472">
      <c r="A472" s="17">
        <f>IFERROR(__xludf.DUMMYFUNCTION("""COMPUTED_VALUE"""),472.0)</f>
        <v>472</v>
      </c>
      <c r="B472" s="17" t="str">
        <f>IFERROR(__xludf.DUMMYFUNCTION("""COMPUTED_VALUE"""),"Orelvis Martinez (2B,3B) FA")</f>
        <v>Orelvis Martinez (2B,3B) FA</v>
      </c>
      <c r="C472" s="17">
        <f>IFERROR(__xludf.DUMMYFUNCTION("""COMPUTED_VALUE"""),48.0)</f>
        <v>48</v>
      </c>
      <c r="D472" s="17">
        <f>IFERROR(__xludf.DUMMYFUNCTION("""COMPUTED_VALUE"""),6.0)</f>
        <v>6</v>
      </c>
      <c r="E472" s="17">
        <f>IFERROR(__xludf.DUMMYFUNCTION("""COMPUTED_VALUE"""),2.0)</f>
        <v>2</v>
      </c>
      <c r="F472" s="17">
        <f>IFERROR(__xludf.DUMMYFUNCTION("""COMPUTED_VALUE"""),6.0)</f>
        <v>6</v>
      </c>
      <c r="G472" s="17">
        <f>IFERROR(__xludf.DUMMYFUNCTION("""COMPUTED_VALUE"""),1.0)</f>
        <v>1</v>
      </c>
      <c r="H472" s="17">
        <f>IFERROR(__xludf.DUMMYFUNCTION("""COMPUTED_VALUE"""),0.202)</f>
        <v>0.202</v>
      </c>
      <c r="I472" s="17">
        <f>IFERROR(__xludf.DUMMYFUNCTION("""COMPUTED_VALUE"""),0.272)</f>
        <v>0.272</v>
      </c>
      <c r="J472" s="17">
        <f>IFERROR(__xludf.DUMMYFUNCTION("""COMPUTED_VALUE"""),10.0)</f>
        <v>10</v>
      </c>
      <c r="K472" s="17">
        <f>IFERROR(__xludf.DUMMYFUNCTION("""COMPUTED_VALUE"""),2.0)</f>
        <v>2</v>
      </c>
      <c r="L472" s="17">
        <f>IFERROR(__xludf.DUMMYFUNCTION("""COMPUTED_VALUE"""),0.0)</f>
        <v>0</v>
      </c>
      <c r="M472" s="17">
        <f>IFERROR(__xludf.DUMMYFUNCTION("""COMPUTED_VALUE"""),4.0)</f>
        <v>4</v>
      </c>
      <c r="N472" s="17">
        <f>IFERROR(__xludf.DUMMYFUNCTION("""COMPUTED_VALUE"""),15.0)</f>
        <v>15</v>
      </c>
      <c r="O472" s="17">
        <f>IFERROR(__xludf.DUMMYFUNCTION("""COMPUTED_VALUE"""),0.372)</f>
        <v>0.372</v>
      </c>
      <c r="P472" s="17">
        <f>IFERROR(__xludf.DUMMYFUNCTION("""COMPUTED_VALUE"""),0.644)</f>
        <v>0.644</v>
      </c>
      <c r="Q472" s="34">
        <f>IFERROR(__xludf.DUMMYFUNCTION("""COMPUTED_VALUE"""),0.0)</f>
        <v>0</v>
      </c>
      <c r="R472" s="34">
        <f>IFERROR(__xludf.DUMMYFUNCTION("""COMPUTED_VALUE"""),0.0)</f>
        <v>0</v>
      </c>
      <c r="S472" s="34">
        <f>IFERROR(__xludf.DUMMYFUNCTION("""COMPUTED_VALUE"""),0.0)</f>
        <v>0</v>
      </c>
      <c r="T472" s="17" t="str">
        <f t="shared" si="1"/>
        <v>Orelvis Martinez</v>
      </c>
    </row>
    <row r="473">
      <c r="A473" s="17">
        <f>IFERROR(__xludf.DUMMYFUNCTION("""COMPUTED_VALUE"""),473.0)</f>
        <v>473</v>
      </c>
      <c r="B473" s="17" t="str">
        <f>IFERROR(__xludf.DUMMYFUNCTION("""COMPUTED_VALUE"""),"Adael Amador (COL - 2B) MiLB")</f>
        <v>Adael Amador (COL - 2B) MiLB</v>
      </c>
      <c r="C473" s="17">
        <f>IFERROR(__xludf.DUMMYFUNCTION("""COMPUTED_VALUE"""),46.0)</f>
        <v>46</v>
      </c>
      <c r="D473" s="17">
        <f>IFERROR(__xludf.DUMMYFUNCTION("""COMPUTED_VALUE"""),6.0)</f>
        <v>6</v>
      </c>
      <c r="E473" s="17">
        <f>IFERROR(__xludf.DUMMYFUNCTION("""COMPUTED_VALUE"""),1.0)</f>
        <v>1</v>
      </c>
      <c r="F473" s="17">
        <f>IFERROR(__xludf.DUMMYFUNCTION("""COMPUTED_VALUE"""),5.0)</f>
        <v>5</v>
      </c>
      <c r="G473" s="17">
        <f>IFERROR(__xludf.DUMMYFUNCTION("""COMPUTED_VALUE"""),1.0)</f>
        <v>1</v>
      </c>
      <c r="H473" s="17">
        <f>IFERROR(__xludf.DUMMYFUNCTION("""COMPUTED_VALUE"""),0.241)</f>
        <v>0.241</v>
      </c>
      <c r="I473" s="17">
        <f>IFERROR(__xludf.DUMMYFUNCTION("""COMPUTED_VALUE"""),0.316)</f>
        <v>0.316</v>
      </c>
      <c r="J473" s="17">
        <f>IFERROR(__xludf.DUMMYFUNCTION("""COMPUTED_VALUE"""),11.0)</f>
        <v>11</v>
      </c>
      <c r="K473" s="17">
        <f>IFERROR(__xludf.DUMMYFUNCTION("""COMPUTED_VALUE"""),2.0)</f>
        <v>2</v>
      </c>
      <c r="L473" s="17">
        <f>IFERROR(__xludf.DUMMYFUNCTION("""COMPUTED_VALUE"""),0.0)</f>
        <v>0</v>
      </c>
      <c r="M473" s="17">
        <f>IFERROR(__xludf.DUMMYFUNCTION("""COMPUTED_VALUE"""),5.0)</f>
        <v>5</v>
      </c>
      <c r="N473" s="17">
        <f>IFERROR(__xludf.DUMMYFUNCTION("""COMPUTED_VALUE"""),9.0)</f>
        <v>9</v>
      </c>
      <c r="O473" s="17">
        <f>IFERROR(__xludf.DUMMYFUNCTION("""COMPUTED_VALUE"""),0.363)</f>
        <v>0.363</v>
      </c>
      <c r="P473" s="17">
        <f>IFERROR(__xludf.DUMMYFUNCTION("""COMPUTED_VALUE"""),0.678)</f>
        <v>0.678</v>
      </c>
      <c r="Q473" s="34">
        <f>IFERROR(__xludf.DUMMYFUNCTION("""COMPUTED_VALUE"""),0.0)</f>
        <v>0</v>
      </c>
      <c r="R473" s="34">
        <f>IFERROR(__xludf.DUMMYFUNCTION("""COMPUTED_VALUE"""),0.0)</f>
        <v>0</v>
      </c>
      <c r="S473" s="34">
        <f>IFERROR(__xludf.DUMMYFUNCTION("""COMPUTED_VALUE"""),0.0)</f>
        <v>0</v>
      </c>
      <c r="T473" s="17" t="str">
        <f t="shared" si="1"/>
        <v>Adael Amador</v>
      </c>
    </row>
    <row r="474">
      <c r="A474" s="17">
        <f>IFERROR(__xludf.DUMMYFUNCTION("""COMPUTED_VALUE"""),474.0)</f>
        <v>474</v>
      </c>
      <c r="B474" s="17" t="str">
        <f>IFERROR(__xludf.DUMMYFUNCTION("""COMPUTED_VALUE"""),"Jared Oliva (SF - LF,CF,RF) IL60")</f>
        <v>Jared Oliva (SF - LF,CF,RF) IL60</v>
      </c>
      <c r="C474" s="17">
        <f>IFERROR(__xludf.DUMMYFUNCTION("""COMPUTED_VALUE"""),41.0)</f>
        <v>41</v>
      </c>
      <c r="D474" s="17">
        <f>IFERROR(__xludf.DUMMYFUNCTION("""COMPUTED_VALUE"""),5.0)</f>
        <v>5</v>
      </c>
      <c r="E474" s="17">
        <f>IFERROR(__xludf.DUMMYFUNCTION("""COMPUTED_VALUE"""),1.0)</f>
        <v>1</v>
      </c>
      <c r="F474" s="17">
        <f>IFERROR(__xludf.DUMMYFUNCTION("""COMPUTED_VALUE"""),4.0)</f>
        <v>4</v>
      </c>
      <c r="G474" s="17">
        <f>IFERROR(__xludf.DUMMYFUNCTION("""COMPUTED_VALUE"""),3.0)</f>
        <v>3</v>
      </c>
      <c r="H474" s="17">
        <f>IFERROR(__xludf.DUMMYFUNCTION("""COMPUTED_VALUE"""),0.232)</f>
        <v>0.232</v>
      </c>
      <c r="I474" s="17">
        <f>IFERROR(__xludf.DUMMYFUNCTION("""COMPUTED_VALUE"""),0.291)</f>
        <v>0.291</v>
      </c>
      <c r="J474" s="17">
        <f>IFERROR(__xludf.DUMMYFUNCTION("""COMPUTED_VALUE"""),9.0)</f>
        <v>9</v>
      </c>
      <c r="K474" s="17">
        <f>IFERROR(__xludf.DUMMYFUNCTION("""COMPUTED_VALUE"""),2.0)</f>
        <v>2</v>
      </c>
      <c r="L474" s="17">
        <f>IFERROR(__xludf.DUMMYFUNCTION("""COMPUTED_VALUE"""),0.0)</f>
        <v>0</v>
      </c>
      <c r="M474" s="17">
        <f>IFERROR(__xludf.DUMMYFUNCTION("""COMPUTED_VALUE"""),3.0)</f>
        <v>3</v>
      </c>
      <c r="N474" s="17">
        <f>IFERROR(__xludf.DUMMYFUNCTION("""COMPUTED_VALUE"""),10.0)</f>
        <v>10</v>
      </c>
      <c r="O474" s="17">
        <f>IFERROR(__xludf.DUMMYFUNCTION("""COMPUTED_VALUE"""),0.351)</f>
        <v>0.351</v>
      </c>
      <c r="P474" s="17">
        <f>IFERROR(__xludf.DUMMYFUNCTION("""COMPUTED_VALUE"""),0.642)</f>
        <v>0.642</v>
      </c>
      <c r="Q474" s="34">
        <f>IFERROR(__xludf.DUMMYFUNCTION("""COMPUTED_VALUE"""),0.0)</f>
        <v>0</v>
      </c>
      <c r="R474" s="34">
        <f>IFERROR(__xludf.DUMMYFUNCTION("""COMPUTED_VALUE"""),0.0)</f>
        <v>0</v>
      </c>
      <c r="S474" s="34">
        <f>IFERROR(__xludf.DUMMYFUNCTION("""COMPUTED_VALUE"""),0.0)</f>
        <v>0</v>
      </c>
      <c r="T474" s="17" t="str">
        <f t="shared" si="1"/>
        <v>Jared Oliva</v>
      </c>
    </row>
    <row r="475">
      <c r="A475" s="17">
        <f>IFERROR(__xludf.DUMMYFUNCTION("""COMPUTED_VALUE"""),475.0)</f>
        <v>475</v>
      </c>
      <c r="B475" s="17" t="str">
        <f>IFERROR(__xludf.DUMMYFUNCTION("""COMPUTED_VALUE"""),"Brandon Valenzuela (TOR - C,1B)")</f>
        <v>Brandon Valenzuela (TOR - C,1B)</v>
      </c>
      <c r="C475" s="17">
        <f>IFERROR(__xludf.DUMMYFUNCTION("""COMPUTED_VALUE"""),75.0)</f>
        <v>75</v>
      </c>
      <c r="D475" s="17">
        <f>IFERROR(__xludf.DUMMYFUNCTION("""COMPUTED_VALUE"""),8.0)</f>
        <v>8</v>
      </c>
      <c r="E475" s="17">
        <f>IFERROR(__xludf.DUMMYFUNCTION("""COMPUTED_VALUE"""),2.0)</f>
        <v>2</v>
      </c>
      <c r="F475" s="17">
        <f>IFERROR(__xludf.DUMMYFUNCTION("""COMPUTED_VALUE"""),8.0)</f>
        <v>8</v>
      </c>
      <c r="G475" s="17">
        <f>IFERROR(__xludf.DUMMYFUNCTION("""COMPUTED_VALUE"""),0.0)</f>
        <v>0</v>
      </c>
      <c r="H475" s="17">
        <f>IFERROR(__xludf.DUMMYFUNCTION("""COMPUTED_VALUE"""),0.203)</f>
        <v>0.203</v>
      </c>
      <c r="I475" s="17">
        <f>IFERROR(__xludf.DUMMYFUNCTION("""COMPUTED_VALUE"""),0.27)</f>
        <v>0.27</v>
      </c>
      <c r="J475" s="17">
        <f>IFERROR(__xludf.DUMMYFUNCTION("""COMPUTED_VALUE"""),15.0)</f>
        <v>15</v>
      </c>
      <c r="K475" s="17">
        <f>IFERROR(__xludf.DUMMYFUNCTION("""COMPUTED_VALUE"""),3.0)</f>
        <v>3</v>
      </c>
      <c r="L475" s="17">
        <f>IFERROR(__xludf.DUMMYFUNCTION("""COMPUTED_VALUE"""),0.0)</f>
        <v>0</v>
      </c>
      <c r="M475" s="17">
        <f>IFERROR(__xludf.DUMMYFUNCTION("""COMPUTED_VALUE"""),7.0)</f>
        <v>7</v>
      </c>
      <c r="N475" s="17">
        <f>IFERROR(__xludf.DUMMYFUNCTION("""COMPUTED_VALUE"""),23.0)</f>
        <v>23</v>
      </c>
      <c r="O475" s="17">
        <f>IFERROR(__xludf.DUMMYFUNCTION("""COMPUTED_VALUE"""),0.322)</f>
        <v>0.322</v>
      </c>
      <c r="P475" s="17">
        <f>IFERROR(__xludf.DUMMYFUNCTION("""COMPUTED_VALUE"""),0.592)</f>
        <v>0.592</v>
      </c>
      <c r="Q475" s="34">
        <f>IFERROR(__xludf.DUMMYFUNCTION("""COMPUTED_VALUE"""),0.0)</f>
        <v>0</v>
      </c>
      <c r="R475" s="34">
        <f>IFERROR(__xludf.DUMMYFUNCTION("""COMPUTED_VALUE"""),0.0)</f>
        <v>0</v>
      </c>
      <c r="S475" s="34">
        <f>IFERROR(__xludf.DUMMYFUNCTION("""COMPUTED_VALUE"""),0.0)</f>
        <v>0</v>
      </c>
      <c r="T475" s="17" t="str">
        <f t="shared" si="1"/>
        <v>Brandon Valenzuela</v>
      </c>
    </row>
    <row r="476">
      <c r="A476" s="17">
        <f>IFERROR(__xludf.DUMMYFUNCTION("""COMPUTED_VALUE"""),476.0)</f>
        <v>476</v>
      </c>
      <c r="B476" s="17" t="str">
        <f>IFERROR(__xludf.DUMMYFUNCTION("""COMPUTED_VALUE"""),"Jarred Kelenic (CWS - CF,RF)")</f>
        <v>Jarred Kelenic (CWS - CF,RF)</v>
      </c>
      <c r="C476" s="17">
        <f>IFERROR(__xludf.DUMMYFUNCTION("""COMPUTED_VALUE"""),38.0)</f>
        <v>38</v>
      </c>
      <c r="D476" s="17">
        <f>IFERROR(__xludf.DUMMYFUNCTION("""COMPUTED_VALUE"""),5.0)</f>
        <v>5</v>
      </c>
      <c r="E476" s="17">
        <f>IFERROR(__xludf.DUMMYFUNCTION("""COMPUTED_VALUE"""),2.0)</f>
        <v>2</v>
      </c>
      <c r="F476" s="17">
        <f>IFERROR(__xludf.DUMMYFUNCTION("""COMPUTED_VALUE"""),5.0)</f>
        <v>5</v>
      </c>
      <c r="G476" s="17">
        <f>IFERROR(__xludf.DUMMYFUNCTION("""COMPUTED_VALUE"""),1.0)</f>
        <v>1</v>
      </c>
      <c r="H476" s="17">
        <f>IFERROR(__xludf.DUMMYFUNCTION("""COMPUTED_VALUE"""),0.203)</f>
        <v>0.203</v>
      </c>
      <c r="I476" s="17">
        <f>IFERROR(__xludf.DUMMYFUNCTION("""COMPUTED_VALUE"""),0.272)</f>
        <v>0.272</v>
      </c>
      <c r="J476" s="17">
        <f>IFERROR(__xludf.DUMMYFUNCTION("""COMPUTED_VALUE"""),8.0)</f>
        <v>8</v>
      </c>
      <c r="K476" s="17">
        <f>IFERROR(__xludf.DUMMYFUNCTION("""COMPUTED_VALUE"""),2.0)</f>
        <v>2</v>
      </c>
      <c r="L476" s="17">
        <f>IFERROR(__xludf.DUMMYFUNCTION("""COMPUTED_VALUE"""),0.0)</f>
        <v>0</v>
      </c>
      <c r="M476" s="17">
        <f>IFERROR(__xludf.DUMMYFUNCTION("""COMPUTED_VALUE"""),4.0)</f>
        <v>4</v>
      </c>
      <c r="N476" s="17">
        <f>IFERROR(__xludf.DUMMYFUNCTION("""COMPUTED_VALUE"""),13.0)</f>
        <v>13</v>
      </c>
      <c r="O476" s="17">
        <f>IFERROR(__xludf.DUMMYFUNCTION("""COMPUTED_VALUE"""),0.365)</f>
        <v>0.365</v>
      </c>
      <c r="P476" s="17">
        <f>IFERROR(__xludf.DUMMYFUNCTION("""COMPUTED_VALUE"""),0.637)</f>
        <v>0.637</v>
      </c>
      <c r="Q476" s="34">
        <f>IFERROR(__xludf.DUMMYFUNCTION("""COMPUTED_VALUE"""),0.0)</f>
        <v>0</v>
      </c>
      <c r="R476" s="34">
        <f>IFERROR(__xludf.DUMMYFUNCTION("""COMPUTED_VALUE"""),0.0)</f>
        <v>0</v>
      </c>
      <c r="S476" s="34">
        <f>IFERROR(__xludf.DUMMYFUNCTION("""COMPUTED_VALUE"""),0.0)</f>
        <v>0</v>
      </c>
      <c r="T476" s="17" t="str">
        <f t="shared" si="1"/>
        <v>Jarred Kelenic</v>
      </c>
    </row>
    <row r="477">
      <c r="A477" s="17">
        <f>IFERROR(__xludf.DUMMYFUNCTION("""COMPUTED_VALUE"""),477.0)</f>
        <v>477</v>
      </c>
      <c r="B477" s="17" t="str">
        <f>IFERROR(__xludf.DUMMYFUNCTION("""COMPUTED_VALUE"""),"Kaelen Culpepper (MIN - SS) MiLB")</f>
        <v>Kaelen Culpepper (MIN - SS) MiLB</v>
      </c>
      <c r="C477" s="17">
        <f>IFERROR(__xludf.DUMMYFUNCTION("""COMPUTED_VALUE"""),42.0)</f>
        <v>42</v>
      </c>
      <c r="D477" s="17">
        <f>IFERROR(__xludf.DUMMYFUNCTION("""COMPUTED_VALUE"""),5.0)</f>
        <v>5</v>
      </c>
      <c r="E477" s="17">
        <f>IFERROR(__xludf.DUMMYFUNCTION("""COMPUTED_VALUE"""),1.0)</f>
        <v>1</v>
      </c>
      <c r="F477" s="17">
        <f>IFERROR(__xludf.DUMMYFUNCTION("""COMPUTED_VALUE"""),5.0)</f>
        <v>5</v>
      </c>
      <c r="G477" s="17">
        <f>IFERROR(__xludf.DUMMYFUNCTION("""COMPUTED_VALUE"""),1.0)</f>
        <v>1</v>
      </c>
      <c r="H477" s="17">
        <f>IFERROR(__xludf.DUMMYFUNCTION("""COMPUTED_VALUE"""),0.23)</f>
        <v>0.23</v>
      </c>
      <c r="I477" s="17">
        <f>IFERROR(__xludf.DUMMYFUNCTION("""COMPUTED_VALUE"""),0.297)</f>
        <v>0.297</v>
      </c>
      <c r="J477" s="17">
        <f>IFERROR(__xludf.DUMMYFUNCTION("""COMPUTED_VALUE"""),10.0)</f>
        <v>10</v>
      </c>
      <c r="K477" s="17">
        <f>IFERROR(__xludf.DUMMYFUNCTION("""COMPUTED_VALUE"""),2.0)</f>
        <v>2</v>
      </c>
      <c r="L477" s="17">
        <f>IFERROR(__xludf.DUMMYFUNCTION("""COMPUTED_VALUE"""),0.0)</f>
        <v>0</v>
      </c>
      <c r="M477" s="17">
        <f>IFERROR(__xludf.DUMMYFUNCTION("""COMPUTED_VALUE"""),3.0)</f>
        <v>3</v>
      </c>
      <c r="N477" s="17">
        <f>IFERROR(__xludf.DUMMYFUNCTION("""COMPUTED_VALUE"""),10.0)</f>
        <v>10</v>
      </c>
      <c r="O477" s="17">
        <f>IFERROR(__xludf.DUMMYFUNCTION("""COMPUTED_VALUE"""),0.346)</f>
        <v>0.346</v>
      </c>
      <c r="P477" s="17">
        <f>IFERROR(__xludf.DUMMYFUNCTION("""COMPUTED_VALUE"""),0.643)</f>
        <v>0.643</v>
      </c>
      <c r="Q477" s="34">
        <f>IFERROR(__xludf.DUMMYFUNCTION("""COMPUTED_VALUE"""),0.01)</f>
        <v>0.01</v>
      </c>
      <c r="R477" s="34">
        <f>IFERROR(__xludf.DUMMYFUNCTION("""COMPUTED_VALUE"""),0.01)</f>
        <v>0.01</v>
      </c>
      <c r="S477" s="34">
        <f>IFERROR(__xludf.DUMMYFUNCTION("""COMPUTED_VALUE"""),0.0)</f>
        <v>0</v>
      </c>
      <c r="T477" s="17" t="str">
        <f t="shared" si="1"/>
        <v>Kaelen Culpepper</v>
      </c>
    </row>
    <row r="478">
      <c r="A478" s="17">
        <f>IFERROR(__xludf.DUMMYFUNCTION("""COMPUTED_VALUE"""),478.0)</f>
        <v>478</v>
      </c>
      <c r="B478" s="17" t="str">
        <f>IFERROR(__xludf.DUMMYFUNCTION("""COMPUTED_VALUE"""),"Reese McGuire (C) FA")</f>
        <v>Reese McGuire (C) FA</v>
      </c>
      <c r="C478" s="17">
        <f>IFERROR(__xludf.DUMMYFUNCTION("""COMPUTED_VALUE"""),62.0)</f>
        <v>62</v>
      </c>
      <c r="D478" s="17">
        <f>IFERROR(__xludf.DUMMYFUNCTION("""COMPUTED_VALUE"""),6.0)</f>
        <v>6</v>
      </c>
      <c r="E478" s="17">
        <f>IFERROR(__xludf.DUMMYFUNCTION("""COMPUTED_VALUE"""),2.0)</f>
        <v>2</v>
      </c>
      <c r="F478" s="17">
        <f>IFERROR(__xludf.DUMMYFUNCTION("""COMPUTED_VALUE"""),7.0)</f>
        <v>7</v>
      </c>
      <c r="G478" s="17">
        <f>IFERROR(__xludf.DUMMYFUNCTION("""COMPUTED_VALUE"""),0.0)</f>
        <v>0</v>
      </c>
      <c r="H478" s="17">
        <f>IFERROR(__xludf.DUMMYFUNCTION("""COMPUTED_VALUE"""),0.216)</f>
        <v>0.216</v>
      </c>
      <c r="I478" s="17">
        <f>IFERROR(__xludf.DUMMYFUNCTION("""COMPUTED_VALUE"""),0.27)</f>
        <v>0.27</v>
      </c>
      <c r="J478" s="17">
        <f>IFERROR(__xludf.DUMMYFUNCTION("""COMPUTED_VALUE"""),13.0)</f>
        <v>13</v>
      </c>
      <c r="K478" s="17">
        <f>IFERROR(__xludf.DUMMYFUNCTION("""COMPUTED_VALUE"""),2.0)</f>
        <v>2</v>
      </c>
      <c r="L478" s="17">
        <f>IFERROR(__xludf.DUMMYFUNCTION("""COMPUTED_VALUE"""),0.0)</f>
        <v>0</v>
      </c>
      <c r="M478" s="17">
        <f>IFERROR(__xludf.DUMMYFUNCTION("""COMPUTED_VALUE"""),4.0)</f>
        <v>4</v>
      </c>
      <c r="N478" s="17">
        <f>IFERROR(__xludf.DUMMYFUNCTION("""COMPUTED_VALUE"""),15.0)</f>
        <v>15</v>
      </c>
      <c r="O478" s="17">
        <f>IFERROR(__xludf.DUMMYFUNCTION("""COMPUTED_VALUE"""),0.326)</f>
        <v>0.326</v>
      </c>
      <c r="P478" s="17">
        <f>IFERROR(__xludf.DUMMYFUNCTION("""COMPUTED_VALUE"""),0.597)</f>
        <v>0.597</v>
      </c>
      <c r="Q478" s="34">
        <f>IFERROR(__xludf.DUMMYFUNCTION("""COMPUTED_VALUE"""),0.0)</f>
        <v>0</v>
      </c>
      <c r="R478" s="34">
        <f>IFERROR(__xludf.DUMMYFUNCTION("""COMPUTED_VALUE"""),0.0)</f>
        <v>0</v>
      </c>
      <c r="S478" s="34">
        <f>IFERROR(__xludf.DUMMYFUNCTION("""COMPUTED_VALUE"""),0.0)</f>
        <v>0</v>
      </c>
      <c r="T478" s="17" t="str">
        <f t="shared" si="1"/>
        <v>Reese McGuire</v>
      </c>
    </row>
    <row r="479">
      <c r="A479" s="17">
        <f>IFERROR(__xludf.DUMMYFUNCTION("""COMPUTED_VALUE"""),479.0)</f>
        <v>479</v>
      </c>
      <c r="B479" s="17" t="str">
        <f>IFERROR(__xludf.DUMMYFUNCTION("""COMPUTED_VALUE"""),"Emmanuel Rodriguez (MIN - CF) MiLB")</f>
        <v>Emmanuel Rodriguez (MIN - CF) MiLB</v>
      </c>
      <c r="C479" s="17">
        <f>IFERROR(__xludf.DUMMYFUNCTION("""COMPUTED_VALUE"""),50.0)</f>
        <v>50</v>
      </c>
      <c r="D479" s="17">
        <f>IFERROR(__xludf.DUMMYFUNCTION("""COMPUTED_VALUE"""),7.0)</f>
        <v>7</v>
      </c>
      <c r="E479" s="17">
        <f>IFERROR(__xludf.DUMMYFUNCTION("""COMPUTED_VALUE"""),1.0)</f>
        <v>1</v>
      </c>
      <c r="F479" s="17">
        <f>IFERROR(__xludf.DUMMYFUNCTION("""COMPUTED_VALUE"""),6.0)</f>
        <v>6</v>
      </c>
      <c r="G479" s="17">
        <f>IFERROR(__xludf.DUMMYFUNCTION("""COMPUTED_VALUE"""),1.0)</f>
        <v>1</v>
      </c>
      <c r="H479" s="17">
        <f>IFERROR(__xludf.DUMMYFUNCTION("""COMPUTED_VALUE"""),0.208)</f>
        <v>0.208</v>
      </c>
      <c r="I479" s="17">
        <f>IFERROR(__xludf.DUMMYFUNCTION("""COMPUTED_VALUE"""),0.334)</f>
        <v>0.334</v>
      </c>
      <c r="J479" s="17">
        <f>IFERROR(__xludf.DUMMYFUNCTION("""COMPUTED_VALUE"""),10.0)</f>
        <v>10</v>
      </c>
      <c r="K479" s="17">
        <f>IFERROR(__xludf.DUMMYFUNCTION("""COMPUTED_VALUE"""),2.0)</f>
        <v>2</v>
      </c>
      <c r="L479" s="17">
        <f>IFERROR(__xludf.DUMMYFUNCTION("""COMPUTED_VALUE"""),0.0)</f>
        <v>0</v>
      </c>
      <c r="M479" s="17">
        <f>IFERROR(__xludf.DUMMYFUNCTION("""COMPUTED_VALUE"""),9.0)</f>
        <v>9</v>
      </c>
      <c r="N479" s="17">
        <f>IFERROR(__xludf.DUMMYFUNCTION("""COMPUTED_VALUE"""),20.0)</f>
        <v>20</v>
      </c>
      <c r="O479" s="17">
        <f>IFERROR(__xludf.DUMMYFUNCTION("""COMPUTED_VALUE"""),0.344)</f>
        <v>0.344</v>
      </c>
      <c r="P479" s="17">
        <f>IFERROR(__xludf.DUMMYFUNCTION("""COMPUTED_VALUE"""),0.678)</f>
        <v>0.678</v>
      </c>
      <c r="Q479" s="34">
        <f>IFERROR(__xludf.DUMMYFUNCTION("""COMPUTED_VALUE"""),0.01)</f>
        <v>0.01</v>
      </c>
      <c r="R479" s="34">
        <f>IFERROR(__xludf.DUMMYFUNCTION("""COMPUTED_VALUE"""),0.02)</f>
        <v>0.02</v>
      </c>
      <c r="S479" s="34">
        <f>IFERROR(__xludf.DUMMYFUNCTION("""COMPUTED_VALUE"""),0.0)</f>
        <v>0</v>
      </c>
      <c r="T479" s="17" t="str">
        <f t="shared" si="1"/>
        <v>Emmanuel Rodriguez</v>
      </c>
    </row>
    <row r="480">
      <c r="A480" s="17">
        <f>IFERROR(__xludf.DUMMYFUNCTION("""COMPUTED_VALUE"""),480.0)</f>
        <v>480</v>
      </c>
      <c r="B480" s="17" t="str">
        <f>IFERROR(__xludf.DUMMYFUNCTION("""COMPUTED_VALUE"""),"Nelson Rada (LAA - CF) MiLB")</f>
        <v>Nelson Rada (LAA - CF) MiLB</v>
      </c>
      <c r="C480" s="17">
        <f>IFERROR(__xludf.DUMMYFUNCTION("""COMPUTED_VALUE"""),46.0)</f>
        <v>46</v>
      </c>
      <c r="D480" s="17">
        <f>IFERROR(__xludf.DUMMYFUNCTION("""COMPUTED_VALUE"""),6.0)</f>
        <v>6</v>
      </c>
      <c r="E480" s="17">
        <f>IFERROR(__xludf.DUMMYFUNCTION("""COMPUTED_VALUE"""),0.0)</f>
        <v>0</v>
      </c>
      <c r="F480" s="17">
        <f>IFERROR(__xludf.DUMMYFUNCTION("""COMPUTED_VALUE"""),4.0)</f>
        <v>4</v>
      </c>
      <c r="G480" s="17">
        <f>IFERROR(__xludf.DUMMYFUNCTION("""COMPUTED_VALUE"""),2.0)</f>
        <v>2</v>
      </c>
      <c r="H480" s="17">
        <f>IFERROR(__xludf.DUMMYFUNCTION("""COMPUTED_VALUE"""),0.235)</f>
        <v>0.235</v>
      </c>
      <c r="I480" s="17">
        <f>IFERROR(__xludf.DUMMYFUNCTION("""COMPUTED_VALUE"""),0.317)</f>
        <v>0.317</v>
      </c>
      <c r="J480" s="17">
        <f>IFERROR(__xludf.DUMMYFUNCTION("""COMPUTED_VALUE"""),11.0)</f>
        <v>11</v>
      </c>
      <c r="K480" s="17">
        <f>IFERROR(__xludf.DUMMYFUNCTION("""COMPUTED_VALUE"""),2.0)</f>
        <v>2</v>
      </c>
      <c r="L480" s="17">
        <f>IFERROR(__xludf.DUMMYFUNCTION("""COMPUTED_VALUE"""),0.0)</f>
        <v>0</v>
      </c>
      <c r="M480" s="17">
        <f>IFERROR(__xludf.DUMMYFUNCTION("""COMPUTED_VALUE"""),5.0)</f>
        <v>5</v>
      </c>
      <c r="N480" s="17">
        <f>IFERROR(__xludf.DUMMYFUNCTION("""COMPUTED_VALUE"""),12.0)</f>
        <v>12</v>
      </c>
      <c r="O480" s="17">
        <f>IFERROR(__xludf.DUMMYFUNCTION("""COMPUTED_VALUE"""),0.296)</f>
        <v>0.296</v>
      </c>
      <c r="P480" s="17">
        <f>IFERROR(__xludf.DUMMYFUNCTION("""COMPUTED_VALUE"""),0.613)</f>
        <v>0.613</v>
      </c>
      <c r="Q480" s="34">
        <f>IFERROR(__xludf.DUMMYFUNCTION("""COMPUTED_VALUE"""),0.0)</f>
        <v>0</v>
      </c>
      <c r="R480" s="34">
        <f>IFERROR(__xludf.DUMMYFUNCTION("""COMPUTED_VALUE"""),0.0)</f>
        <v>0</v>
      </c>
      <c r="S480" s="34">
        <f>IFERROR(__xludf.DUMMYFUNCTION("""COMPUTED_VALUE"""),0.0)</f>
        <v>0</v>
      </c>
      <c r="T480" s="17" t="str">
        <f t="shared" si="1"/>
        <v>Nelson Rada</v>
      </c>
    </row>
    <row r="481">
      <c r="A481" s="17">
        <f>IFERROR(__xludf.DUMMYFUNCTION("""COMPUTED_VALUE"""),481.0)</f>
        <v>481</v>
      </c>
      <c r="B481" s="17" t="str">
        <f>IFERROR(__xludf.DUMMYFUNCTION("""COMPUTED_VALUE"""),"Jonah Heim (ATL - C,DH)")</f>
        <v>Jonah Heim (ATL - C,DH)</v>
      </c>
      <c r="C481" s="17">
        <f>IFERROR(__xludf.DUMMYFUNCTION("""COMPUTED_VALUE"""),52.0)</f>
        <v>52</v>
      </c>
      <c r="D481" s="17">
        <f>IFERROR(__xludf.DUMMYFUNCTION("""COMPUTED_VALUE"""),6.0)</f>
        <v>6</v>
      </c>
      <c r="E481" s="17">
        <f>IFERROR(__xludf.DUMMYFUNCTION("""COMPUTED_VALUE"""),1.0)</f>
        <v>1</v>
      </c>
      <c r="F481" s="17">
        <f>IFERROR(__xludf.DUMMYFUNCTION("""COMPUTED_VALUE"""),6.0)</f>
        <v>6</v>
      </c>
      <c r="G481" s="17">
        <f>IFERROR(__xludf.DUMMYFUNCTION("""COMPUTED_VALUE"""),0.0)</f>
        <v>0</v>
      </c>
      <c r="H481" s="17">
        <f>IFERROR(__xludf.DUMMYFUNCTION("""COMPUTED_VALUE"""),0.222)</f>
        <v>0.222</v>
      </c>
      <c r="I481" s="17">
        <f>IFERROR(__xludf.DUMMYFUNCTION("""COMPUTED_VALUE"""),0.283)</f>
        <v>0.283</v>
      </c>
      <c r="J481" s="17">
        <f>IFERROR(__xludf.DUMMYFUNCTION("""COMPUTED_VALUE"""),12.0)</f>
        <v>12</v>
      </c>
      <c r="K481" s="17">
        <f>IFERROR(__xludf.DUMMYFUNCTION("""COMPUTED_VALUE"""),2.0)</f>
        <v>2</v>
      </c>
      <c r="L481" s="17">
        <f>IFERROR(__xludf.DUMMYFUNCTION("""COMPUTED_VALUE"""),0.0)</f>
        <v>0</v>
      </c>
      <c r="M481" s="17">
        <f>IFERROR(__xludf.DUMMYFUNCTION("""COMPUTED_VALUE"""),4.0)</f>
        <v>4</v>
      </c>
      <c r="N481" s="17">
        <f>IFERROR(__xludf.DUMMYFUNCTION("""COMPUTED_VALUE"""),11.0)</f>
        <v>11</v>
      </c>
      <c r="O481" s="17">
        <f>IFERROR(__xludf.DUMMYFUNCTION("""COMPUTED_VALUE"""),0.343)</f>
        <v>0.343</v>
      </c>
      <c r="P481" s="17">
        <f>IFERROR(__xludf.DUMMYFUNCTION("""COMPUTED_VALUE"""),0.625)</f>
        <v>0.625</v>
      </c>
      <c r="Q481" s="34">
        <f>IFERROR(__xludf.DUMMYFUNCTION("""COMPUTED_VALUE"""),0.0)</f>
        <v>0</v>
      </c>
      <c r="R481" s="34">
        <f>IFERROR(__xludf.DUMMYFUNCTION("""COMPUTED_VALUE"""),0.0)</f>
        <v>0</v>
      </c>
      <c r="S481" s="34">
        <f>IFERROR(__xludf.DUMMYFUNCTION("""COMPUTED_VALUE"""),0.0)</f>
        <v>0</v>
      </c>
      <c r="T481" s="17" t="str">
        <f t="shared" si="1"/>
        <v>Jonah Heim</v>
      </c>
    </row>
    <row r="482">
      <c r="A482" s="17">
        <f>IFERROR(__xludf.DUMMYFUNCTION("""COMPUTED_VALUE"""),482.0)</f>
        <v>482</v>
      </c>
      <c r="B482" s="17" t="str">
        <f>IFERROR(__xludf.DUMMYFUNCTION("""COMPUTED_VALUE"""),"Jimmy Crooks III (STL - C) MiLB")</f>
        <v>Jimmy Crooks III (STL - C) MiLB</v>
      </c>
      <c r="C482" s="17">
        <f>IFERROR(__xludf.DUMMYFUNCTION("""COMPUTED_VALUE"""),52.0)</f>
        <v>52</v>
      </c>
      <c r="D482" s="17">
        <f>IFERROR(__xludf.DUMMYFUNCTION("""COMPUTED_VALUE"""),6.0)</f>
        <v>6</v>
      </c>
      <c r="E482" s="17">
        <f>IFERROR(__xludf.DUMMYFUNCTION("""COMPUTED_VALUE"""),1.0)</f>
        <v>1</v>
      </c>
      <c r="F482" s="17">
        <f>IFERROR(__xludf.DUMMYFUNCTION("""COMPUTED_VALUE"""),6.0)</f>
        <v>6</v>
      </c>
      <c r="G482" s="17">
        <f>IFERROR(__xludf.DUMMYFUNCTION("""COMPUTED_VALUE"""),0.0)</f>
        <v>0</v>
      </c>
      <c r="H482" s="17">
        <f>IFERROR(__xludf.DUMMYFUNCTION("""COMPUTED_VALUE"""),0.23)</f>
        <v>0.23</v>
      </c>
      <c r="I482" s="17">
        <f>IFERROR(__xludf.DUMMYFUNCTION("""COMPUTED_VALUE"""),0.299)</f>
        <v>0.299</v>
      </c>
      <c r="J482" s="17">
        <f>IFERROR(__xludf.DUMMYFUNCTION("""COMPUTED_VALUE"""),12.0)</f>
        <v>12</v>
      </c>
      <c r="K482" s="17">
        <f>IFERROR(__xludf.DUMMYFUNCTION("""COMPUTED_VALUE"""),2.0)</f>
        <v>2</v>
      </c>
      <c r="L482" s="17">
        <f>IFERROR(__xludf.DUMMYFUNCTION("""COMPUTED_VALUE"""),0.0)</f>
        <v>0</v>
      </c>
      <c r="M482" s="17">
        <f>IFERROR(__xludf.DUMMYFUNCTION("""COMPUTED_VALUE"""),4.0)</f>
        <v>4</v>
      </c>
      <c r="N482" s="17">
        <f>IFERROR(__xludf.DUMMYFUNCTION("""COMPUTED_VALUE"""),16.0)</f>
        <v>16</v>
      </c>
      <c r="O482" s="17">
        <f>IFERROR(__xludf.DUMMYFUNCTION("""COMPUTED_VALUE"""),0.352)</f>
        <v>0.352</v>
      </c>
      <c r="P482" s="17">
        <f>IFERROR(__xludf.DUMMYFUNCTION("""COMPUTED_VALUE"""),0.652)</f>
        <v>0.652</v>
      </c>
      <c r="Q482" s="34">
        <f>IFERROR(__xludf.DUMMYFUNCTION("""COMPUTED_VALUE"""),0.0)</f>
        <v>0</v>
      </c>
      <c r="R482" s="34">
        <f>IFERROR(__xludf.DUMMYFUNCTION("""COMPUTED_VALUE"""),0.0)</f>
        <v>0</v>
      </c>
      <c r="S482" s="34">
        <f>IFERROR(__xludf.DUMMYFUNCTION("""COMPUTED_VALUE"""),0.0)</f>
        <v>0</v>
      </c>
      <c r="T482" s="17" t="str">
        <f t="shared" si="1"/>
        <v>Jimmy Crooks III</v>
      </c>
    </row>
    <row r="483">
      <c r="A483" s="17">
        <f>IFERROR(__xludf.DUMMYFUNCTION("""COMPUTED_VALUE"""),483.0)</f>
        <v>483</v>
      </c>
      <c r="B483" s="17" t="str">
        <f>IFERROR(__xludf.DUMMYFUNCTION("""COMPUTED_VALUE"""),"Grant McCray (SF - LF,CF,RF) MiLB")</f>
        <v>Grant McCray (SF - LF,CF,RF) MiLB</v>
      </c>
      <c r="C483" s="17">
        <f>IFERROR(__xludf.DUMMYFUNCTION("""COMPUTED_VALUE"""),45.0)</f>
        <v>45</v>
      </c>
      <c r="D483" s="17">
        <f>IFERROR(__xludf.DUMMYFUNCTION("""COMPUTED_VALUE"""),6.0)</f>
        <v>6</v>
      </c>
      <c r="E483" s="17">
        <f>IFERROR(__xludf.DUMMYFUNCTION("""COMPUTED_VALUE"""),1.0)</f>
        <v>1</v>
      </c>
      <c r="F483" s="17">
        <f>IFERROR(__xludf.DUMMYFUNCTION("""COMPUTED_VALUE"""),5.0)</f>
        <v>5</v>
      </c>
      <c r="G483" s="17">
        <f>IFERROR(__xludf.DUMMYFUNCTION("""COMPUTED_VALUE"""),2.0)</f>
        <v>2</v>
      </c>
      <c r="H483" s="17">
        <f>IFERROR(__xludf.DUMMYFUNCTION("""COMPUTED_VALUE"""),0.211)</f>
        <v>0.211</v>
      </c>
      <c r="I483" s="17">
        <f>IFERROR(__xludf.DUMMYFUNCTION("""COMPUTED_VALUE"""),0.28)</f>
        <v>0.28</v>
      </c>
      <c r="J483" s="17">
        <f>IFERROR(__xludf.DUMMYFUNCTION("""COMPUTED_VALUE"""),9.0)</f>
        <v>9</v>
      </c>
      <c r="K483" s="17">
        <f>IFERROR(__xludf.DUMMYFUNCTION("""COMPUTED_VALUE"""),2.0)</f>
        <v>2</v>
      </c>
      <c r="L483" s="17">
        <f>IFERROR(__xludf.DUMMYFUNCTION("""COMPUTED_VALUE"""),0.0)</f>
        <v>0</v>
      </c>
      <c r="M483" s="17">
        <f>IFERROR(__xludf.DUMMYFUNCTION("""COMPUTED_VALUE"""),4.0)</f>
        <v>4</v>
      </c>
      <c r="N483" s="17">
        <f>IFERROR(__xludf.DUMMYFUNCTION("""COMPUTED_VALUE"""),15.0)</f>
        <v>15</v>
      </c>
      <c r="O483" s="17">
        <f>IFERROR(__xludf.DUMMYFUNCTION("""COMPUTED_VALUE"""),0.327)</f>
        <v>0.327</v>
      </c>
      <c r="P483" s="17">
        <f>IFERROR(__xludf.DUMMYFUNCTION("""COMPUTED_VALUE"""),0.607)</f>
        <v>0.607</v>
      </c>
      <c r="Q483" s="34">
        <f>IFERROR(__xludf.DUMMYFUNCTION("""COMPUTED_VALUE"""),0.0)</f>
        <v>0</v>
      </c>
      <c r="R483" s="34">
        <f>IFERROR(__xludf.DUMMYFUNCTION("""COMPUTED_VALUE"""),0.0)</f>
        <v>0</v>
      </c>
      <c r="S483" s="34">
        <f>IFERROR(__xludf.DUMMYFUNCTION("""COMPUTED_VALUE"""),0.0)</f>
        <v>0</v>
      </c>
      <c r="T483" s="17" t="str">
        <f t="shared" si="1"/>
        <v>Grant McCray</v>
      </c>
    </row>
    <row r="484">
      <c r="A484" s="17">
        <f>IFERROR(__xludf.DUMMYFUNCTION("""COMPUTED_VALUE"""),484.0)</f>
        <v>484</v>
      </c>
      <c r="B484" s="17" t="str">
        <f>IFERROR(__xludf.DUMMYFUNCTION("""COMPUTED_VALUE"""),"Anthony Santander (TOR - LF,RF,DH) IL60")</f>
        <v>Anthony Santander (TOR - LF,RF,DH) IL60</v>
      </c>
      <c r="C484" s="17">
        <f>IFERROR(__xludf.DUMMYFUNCTION("""COMPUTED_VALUE"""),36.0)</f>
        <v>36</v>
      </c>
      <c r="D484" s="17">
        <f>IFERROR(__xludf.DUMMYFUNCTION("""COMPUTED_VALUE"""),5.0)</f>
        <v>5</v>
      </c>
      <c r="E484" s="17">
        <f>IFERROR(__xludf.DUMMYFUNCTION("""COMPUTED_VALUE"""),2.0)</f>
        <v>2</v>
      </c>
      <c r="F484" s="17">
        <f>IFERROR(__xludf.DUMMYFUNCTION("""COMPUTED_VALUE"""),5.0)</f>
        <v>5</v>
      </c>
      <c r="G484" s="17">
        <f>IFERROR(__xludf.DUMMYFUNCTION("""COMPUTED_VALUE"""),0.0)</f>
        <v>0</v>
      </c>
      <c r="H484" s="17">
        <f>IFERROR(__xludf.DUMMYFUNCTION("""COMPUTED_VALUE"""),0.224)</f>
        <v>0.224</v>
      </c>
      <c r="I484" s="17">
        <f>IFERROR(__xludf.DUMMYFUNCTION("""COMPUTED_VALUE"""),0.302)</f>
        <v>0.302</v>
      </c>
      <c r="J484" s="17">
        <f>IFERROR(__xludf.DUMMYFUNCTION("""COMPUTED_VALUE"""),8.0)</f>
        <v>8</v>
      </c>
      <c r="K484" s="17">
        <f>IFERROR(__xludf.DUMMYFUNCTION("""COMPUTED_VALUE"""),2.0)</f>
        <v>2</v>
      </c>
      <c r="L484" s="17">
        <f>IFERROR(__xludf.DUMMYFUNCTION("""COMPUTED_VALUE"""),0.0)</f>
        <v>0</v>
      </c>
      <c r="M484" s="17">
        <f>IFERROR(__xludf.DUMMYFUNCTION("""COMPUTED_VALUE"""),4.0)</f>
        <v>4</v>
      </c>
      <c r="N484" s="17">
        <f>IFERROR(__xludf.DUMMYFUNCTION("""COMPUTED_VALUE"""),9.0)</f>
        <v>9</v>
      </c>
      <c r="O484" s="17">
        <f>IFERROR(__xludf.DUMMYFUNCTION("""COMPUTED_VALUE"""),0.412)</f>
        <v>0.412</v>
      </c>
      <c r="P484" s="17">
        <f>IFERROR(__xludf.DUMMYFUNCTION("""COMPUTED_VALUE"""),0.714)</f>
        <v>0.714</v>
      </c>
      <c r="Q484" s="34">
        <f>IFERROR(__xludf.DUMMYFUNCTION("""COMPUTED_VALUE"""),0.03)</f>
        <v>0.03</v>
      </c>
      <c r="R484" s="34">
        <f>IFERROR(__xludf.DUMMYFUNCTION("""COMPUTED_VALUE"""),0.04)</f>
        <v>0.04</v>
      </c>
      <c r="S484" s="34">
        <f>IFERROR(__xludf.DUMMYFUNCTION("""COMPUTED_VALUE"""),0.01)</f>
        <v>0.01</v>
      </c>
      <c r="T484" s="17" t="str">
        <f t="shared" si="1"/>
        <v>Anthony Santander</v>
      </c>
    </row>
    <row r="485">
      <c r="A485" s="17">
        <f>IFERROR(__xludf.DUMMYFUNCTION("""COMPUTED_VALUE"""),485.0)</f>
        <v>485</v>
      </c>
      <c r="B485" s="17" t="str">
        <f>IFERROR(__xludf.DUMMYFUNCTION("""COMPUTED_VALUE"""),"Nolan Jones (CLE - LF,CF,RF) MiLB")</f>
        <v>Nolan Jones (CLE - LF,CF,RF) MiLB</v>
      </c>
      <c r="C485" s="17">
        <f>IFERROR(__xludf.DUMMYFUNCTION("""COMPUTED_VALUE"""),42.0)</f>
        <v>42</v>
      </c>
      <c r="D485" s="17">
        <f>IFERROR(__xludf.DUMMYFUNCTION("""COMPUTED_VALUE"""),6.0)</f>
        <v>6</v>
      </c>
      <c r="E485" s="17">
        <f>IFERROR(__xludf.DUMMYFUNCTION("""COMPUTED_VALUE"""),1.0)</f>
        <v>1</v>
      </c>
      <c r="F485" s="17">
        <f>IFERROR(__xludf.DUMMYFUNCTION("""COMPUTED_VALUE"""),5.0)</f>
        <v>5</v>
      </c>
      <c r="G485" s="17">
        <f>IFERROR(__xludf.DUMMYFUNCTION("""COMPUTED_VALUE"""),1.0)</f>
        <v>1</v>
      </c>
      <c r="H485" s="17">
        <f>IFERROR(__xludf.DUMMYFUNCTION("""COMPUTED_VALUE"""),0.217)</f>
        <v>0.217</v>
      </c>
      <c r="I485" s="17">
        <f>IFERROR(__xludf.DUMMYFUNCTION("""COMPUTED_VALUE"""),0.316)</f>
        <v>0.316</v>
      </c>
      <c r="J485" s="17">
        <f>IFERROR(__xludf.DUMMYFUNCTION("""COMPUTED_VALUE"""),9.0)</f>
        <v>9</v>
      </c>
      <c r="K485" s="17">
        <f>IFERROR(__xludf.DUMMYFUNCTION("""COMPUTED_VALUE"""),2.0)</f>
        <v>2</v>
      </c>
      <c r="L485" s="17">
        <f>IFERROR(__xludf.DUMMYFUNCTION("""COMPUTED_VALUE"""),0.0)</f>
        <v>0</v>
      </c>
      <c r="M485" s="17">
        <f>IFERROR(__xludf.DUMMYFUNCTION("""COMPUTED_VALUE"""),6.0)</f>
        <v>6</v>
      </c>
      <c r="N485" s="17">
        <f>IFERROR(__xludf.DUMMYFUNCTION("""COMPUTED_VALUE"""),15.0)</f>
        <v>15</v>
      </c>
      <c r="O485" s="17">
        <f>IFERROR(__xludf.DUMMYFUNCTION("""COMPUTED_VALUE"""),0.338)</f>
        <v>0.338</v>
      </c>
      <c r="P485" s="17">
        <f>IFERROR(__xludf.DUMMYFUNCTION("""COMPUTED_VALUE"""),0.654)</f>
        <v>0.654</v>
      </c>
      <c r="Q485" s="34">
        <f>IFERROR(__xludf.DUMMYFUNCTION("""COMPUTED_VALUE"""),0.0)</f>
        <v>0</v>
      </c>
      <c r="R485" s="34">
        <f>IFERROR(__xludf.DUMMYFUNCTION("""COMPUTED_VALUE"""),0.0)</f>
        <v>0</v>
      </c>
      <c r="S485" s="34">
        <f>IFERROR(__xludf.DUMMYFUNCTION("""COMPUTED_VALUE"""),0.0)</f>
        <v>0</v>
      </c>
      <c r="T485" s="17" t="str">
        <f t="shared" si="1"/>
        <v>Nolan Jones</v>
      </c>
    </row>
    <row r="486">
      <c r="A486" s="17">
        <f>IFERROR(__xludf.DUMMYFUNCTION("""COMPUTED_VALUE"""),486.0)</f>
        <v>486</v>
      </c>
      <c r="B486" s="17" t="str">
        <f>IFERROR(__xludf.DUMMYFUNCTION("""COMPUTED_VALUE"""),"Daniel Johnson (HOU - CF,RF)")</f>
        <v>Daniel Johnson (HOU - CF,RF)</v>
      </c>
      <c r="C486" s="17">
        <f>IFERROR(__xludf.DUMMYFUNCTION("""COMPUTED_VALUE"""),46.0)</f>
        <v>46</v>
      </c>
      <c r="D486" s="17">
        <f>IFERROR(__xludf.DUMMYFUNCTION("""COMPUTED_VALUE"""),6.0)</f>
        <v>6</v>
      </c>
      <c r="E486" s="17">
        <f>IFERROR(__xludf.DUMMYFUNCTION("""COMPUTED_VALUE"""),1.0)</f>
        <v>1</v>
      </c>
      <c r="F486" s="17">
        <f>IFERROR(__xludf.DUMMYFUNCTION("""COMPUTED_VALUE"""),5.0)</f>
        <v>5</v>
      </c>
      <c r="G486" s="17">
        <f>IFERROR(__xludf.DUMMYFUNCTION("""COMPUTED_VALUE"""),1.0)</f>
        <v>1</v>
      </c>
      <c r="H486" s="17">
        <f>IFERROR(__xludf.DUMMYFUNCTION("""COMPUTED_VALUE"""),0.211)</f>
        <v>0.211</v>
      </c>
      <c r="I486" s="17">
        <f>IFERROR(__xludf.DUMMYFUNCTION("""COMPUTED_VALUE"""),0.262)</f>
        <v>0.262</v>
      </c>
      <c r="J486" s="17">
        <f>IFERROR(__xludf.DUMMYFUNCTION("""COMPUTED_VALUE"""),10.0)</f>
        <v>10</v>
      </c>
      <c r="K486" s="17">
        <f>IFERROR(__xludf.DUMMYFUNCTION("""COMPUTED_VALUE"""),2.0)</f>
        <v>2</v>
      </c>
      <c r="L486" s="17">
        <f>IFERROR(__xludf.DUMMYFUNCTION("""COMPUTED_VALUE"""),0.0)</f>
        <v>0</v>
      </c>
      <c r="M486" s="17">
        <f>IFERROR(__xludf.DUMMYFUNCTION("""COMPUTED_VALUE"""),3.0)</f>
        <v>3</v>
      </c>
      <c r="N486" s="17">
        <f>IFERROR(__xludf.DUMMYFUNCTION("""COMPUTED_VALUE"""),13.0)</f>
        <v>13</v>
      </c>
      <c r="O486" s="17">
        <f>IFERROR(__xludf.DUMMYFUNCTION("""COMPUTED_VALUE"""),0.336)</f>
        <v>0.336</v>
      </c>
      <c r="P486" s="17">
        <f>IFERROR(__xludf.DUMMYFUNCTION("""COMPUTED_VALUE"""),0.597)</f>
        <v>0.597</v>
      </c>
      <c r="Q486" s="34">
        <f>IFERROR(__xludf.DUMMYFUNCTION("""COMPUTED_VALUE"""),0.0)</f>
        <v>0</v>
      </c>
      <c r="R486" s="34">
        <f>IFERROR(__xludf.DUMMYFUNCTION("""COMPUTED_VALUE"""),0.0)</f>
        <v>0</v>
      </c>
      <c r="S486" s="34">
        <f>IFERROR(__xludf.DUMMYFUNCTION("""COMPUTED_VALUE"""),0.0)</f>
        <v>0</v>
      </c>
      <c r="T486" s="17" t="str">
        <f t="shared" si="1"/>
        <v>Daniel Johnson</v>
      </c>
    </row>
    <row r="487">
      <c r="A487" s="17">
        <f>IFERROR(__xludf.DUMMYFUNCTION("""COMPUTED_VALUE"""),487.0)</f>
        <v>487</v>
      </c>
      <c r="B487" s="17" t="str">
        <f>IFERROR(__xludf.DUMMYFUNCTION("""COMPUTED_VALUE"""),"Oswaldo Cabrera (NYY - 3B) MiLB")</f>
        <v>Oswaldo Cabrera (NYY - 3B) MiLB</v>
      </c>
      <c r="C487" s="17">
        <f>IFERROR(__xludf.DUMMYFUNCTION("""COMPUTED_VALUE"""),46.0)</f>
        <v>46</v>
      </c>
      <c r="D487" s="17">
        <f>IFERROR(__xludf.DUMMYFUNCTION("""COMPUTED_VALUE"""),6.0)</f>
        <v>6</v>
      </c>
      <c r="E487" s="17">
        <f>IFERROR(__xludf.DUMMYFUNCTION("""COMPUTED_VALUE"""),1.0)</f>
        <v>1</v>
      </c>
      <c r="F487" s="17">
        <f>IFERROR(__xludf.DUMMYFUNCTION("""COMPUTED_VALUE"""),5.0)</f>
        <v>5</v>
      </c>
      <c r="G487" s="17">
        <f>IFERROR(__xludf.DUMMYFUNCTION("""COMPUTED_VALUE"""),1.0)</f>
        <v>1</v>
      </c>
      <c r="H487" s="17">
        <f>IFERROR(__xludf.DUMMYFUNCTION("""COMPUTED_VALUE"""),0.224)</f>
        <v>0.224</v>
      </c>
      <c r="I487" s="17">
        <f>IFERROR(__xludf.DUMMYFUNCTION("""COMPUTED_VALUE"""),0.288)</f>
        <v>0.288</v>
      </c>
      <c r="J487" s="17">
        <f>IFERROR(__xludf.DUMMYFUNCTION("""COMPUTED_VALUE"""),10.0)</f>
        <v>10</v>
      </c>
      <c r="K487" s="17">
        <f>IFERROR(__xludf.DUMMYFUNCTION("""COMPUTED_VALUE"""),2.0)</f>
        <v>2</v>
      </c>
      <c r="L487" s="17">
        <f>IFERROR(__xludf.DUMMYFUNCTION("""COMPUTED_VALUE"""),0.0)</f>
        <v>0</v>
      </c>
      <c r="M487" s="17">
        <f>IFERROR(__xludf.DUMMYFUNCTION("""COMPUTED_VALUE"""),4.0)</f>
        <v>4</v>
      </c>
      <c r="N487" s="17">
        <f>IFERROR(__xludf.DUMMYFUNCTION("""COMPUTED_VALUE"""),11.0)</f>
        <v>11</v>
      </c>
      <c r="O487" s="17">
        <f>IFERROR(__xludf.DUMMYFUNCTION("""COMPUTED_VALUE"""),0.346)</f>
        <v>0.346</v>
      </c>
      <c r="P487" s="17">
        <f>IFERROR(__xludf.DUMMYFUNCTION("""COMPUTED_VALUE"""),0.634)</f>
        <v>0.634</v>
      </c>
      <c r="Q487" s="34">
        <f>IFERROR(__xludf.DUMMYFUNCTION("""COMPUTED_VALUE"""),0.0)</f>
        <v>0</v>
      </c>
      <c r="R487" s="34">
        <f>IFERROR(__xludf.DUMMYFUNCTION("""COMPUTED_VALUE"""),0.0)</f>
        <v>0</v>
      </c>
      <c r="S487" s="34">
        <f>IFERROR(__xludf.DUMMYFUNCTION("""COMPUTED_VALUE"""),0.0)</f>
        <v>0</v>
      </c>
      <c r="T487" s="17" t="str">
        <f t="shared" si="1"/>
        <v>Oswaldo Cabrera</v>
      </c>
    </row>
    <row r="488">
      <c r="A488" s="17">
        <f>IFERROR(__xludf.DUMMYFUNCTION("""COMPUTED_VALUE"""),488.0)</f>
        <v>488</v>
      </c>
      <c r="B488" s="17" t="str">
        <f>IFERROR(__xludf.DUMMYFUNCTION("""COMPUTED_VALUE"""),"Leo De Vries (ATH - SS) MiLB")</f>
        <v>Leo De Vries (ATH - SS) MiLB</v>
      </c>
      <c r="C488" s="17">
        <f>IFERROR(__xludf.DUMMYFUNCTION("""COMPUTED_VALUE"""),36.0)</f>
        <v>36</v>
      </c>
      <c r="D488" s="17">
        <f>IFERROR(__xludf.DUMMYFUNCTION("""COMPUTED_VALUE"""),5.0)</f>
        <v>5</v>
      </c>
      <c r="E488" s="17">
        <f>IFERROR(__xludf.DUMMYFUNCTION("""COMPUTED_VALUE"""),1.0)</f>
        <v>1</v>
      </c>
      <c r="F488" s="17">
        <f>IFERROR(__xludf.DUMMYFUNCTION("""COMPUTED_VALUE"""),5.0)</f>
        <v>5</v>
      </c>
      <c r="G488" s="17">
        <f>IFERROR(__xludf.DUMMYFUNCTION("""COMPUTED_VALUE"""),1.0)</f>
        <v>1</v>
      </c>
      <c r="H488" s="17">
        <f>IFERROR(__xludf.DUMMYFUNCTION("""COMPUTED_VALUE"""),0.228)</f>
        <v>0.228</v>
      </c>
      <c r="I488" s="17">
        <f>IFERROR(__xludf.DUMMYFUNCTION("""COMPUTED_VALUE"""),0.297)</f>
        <v>0.297</v>
      </c>
      <c r="J488" s="17">
        <f>IFERROR(__xludf.DUMMYFUNCTION("""COMPUTED_VALUE"""),8.0)</f>
        <v>8</v>
      </c>
      <c r="K488" s="17">
        <f>IFERROR(__xludf.DUMMYFUNCTION("""COMPUTED_VALUE"""),2.0)</f>
        <v>2</v>
      </c>
      <c r="L488" s="17">
        <f>IFERROR(__xludf.DUMMYFUNCTION("""COMPUTED_VALUE"""),0.0)</f>
        <v>0</v>
      </c>
      <c r="M488" s="17">
        <f>IFERROR(__xludf.DUMMYFUNCTION("""COMPUTED_VALUE"""),3.0)</f>
        <v>3</v>
      </c>
      <c r="N488" s="17">
        <f>IFERROR(__xludf.DUMMYFUNCTION("""COMPUTED_VALUE"""),10.0)</f>
        <v>10</v>
      </c>
      <c r="O488" s="17">
        <f>IFERROR(__xludf.DUMMYFUNCTION("""COMPUTED_VALUE"""),0.379)</f>
        <v>0.379</v>
      </c>
      <c r="P488" s="17">
        <f>IFERROR(__xludf.DUMMYFUNCTION("""COMPUTED_VALUE"""),0.676)</f>
        <v>0.676</v>
      </c>
      <c r="Q488" s="34">
        <f>IFERROR(__xludf.DUMMYFUNCTION("""COMPUTED_VALUE"""),0.05)</f>
        <v>0.05</v>
      </c>
      <c r="R488" s="34">
        <f>IFERROR(__xludf.DUMMYFUNCTION("""COMPUTED_VALUE"""),0.09)</f>
        <v>0.09</v>
      </c>
      <c r="S488" s="34">
        <f>IFERROR(__xludf.DUMMYFUNCTION("""COMPUTED_VALUE"""),0.02)</f>
        <v>0.02</v>
      </c>
      <c r="T488" s="17" t="str">
        <f t="shared" si="1"/>
        <v>Leo De Vries</v>
      </c>
    </row>
    <row r="489">
      <c r="A489" s="17">
        <f>IFERROR(__xludf.DUMMYFUNCTION("""COMPUTED_VALUE"""),489.0)</f>
        <v>489</v>
      </c>
      <c r="B489" s="17" t="str">
        <f>IFERROR(__xludf.DUMMYFUNCTION("""COMPUTED_VALUE"""),"Kyle Farmer (ATL - 1B,2B,3B,SS,DH)")</f>
        <v>Kyle Farmer (ATL - 1B,2B,3B,SS,DH)</v>
      </c>
      <c r="C489" s="17">
        <f>IFERROR(__xludf.DUMMYFUNCTION("""COMPUTED_VALUE"""),53.0)</f>
        <v>53</v>
      </c>
      <c r="D489" s="17">
        <f>IFERROR(__xludf.DUMMYFUNCTION("""COMPUTED_VALUE"""),6.0)</f>
        <v>6</v>
      </c>
      <c r="E489" s="17">
        <f>IFERROR(__xludf.DUMMYFUNCTION("""COMPUTED_VALUE"""),1.0)</f>
        <v>1</v>
      </c>
      <c r="F489" s="17">
        <f>IFERROR(__xludf.DUMMYFUNCTION("""COMPUTED_VALUE"""),6.0)</f>
        <v>6</v>
      </c>
      <c r="G489" s="17">
        <f>IFERROR(__xludf.DUMMYFUNCTION("""COMPUTED_VALUE"""),0.0)</f>
        <v>0</v>
      </c>
      <c r="H489" s="17">
        <f>IFERROR(__xludf.DUMMYFUNCTION("""COMPUTED_VALUE"""),0.227)</f>
        <v>0.227</v>
      </c>
      <c r="I489" s="17">
        <f>IFERROR(__xludf.DUMMYFUNCTION("""COMPUTED_VALUE"""),0.289)</f>
        <v>0.289</v>
      </c>
      <c r="J489" s="17">
        <f>IFERROR(__xludf.DUMMYFUNCTION("""COMPUTED_VALUE"""),12.0)</f>
        <v>12</v>
      </c>
      <c r="K489" s="17">
        <f>IFERROR(__xludf.DUMMYFUNCTION("""COMPUTED_VALUE"""),2.0)</f>
        <v>2</v>
      </c>
      <c r="L489" s="17">
        <f>IFERROR(__xludf.DUMMYFUNCTION("""COMPUTED_VALUE"""),0.0)</f>
        <v>0</v>
      </c>
      <c r="M489" s="17">
        <f>IFERROR(__xludf.DUMMYFUNCTION("""COMPUTED_VALUE"""),4.0)</f>
        <v>4</v>
      </c>
      <c r="N489" s="17">
        <f>IFERROR(__xludf.DUMMYFUNCTION("""COMPUTED_VALUE"""),13.0)</f>
        <v>13</v>
      </c>
      <c r="O489" s="17">
        <f>IFERROR(__xludf.DUMMYFUNCTION("""COMPUTED_VALUE"""),0.34)</f>
        <v>0.34</v>
      </c>
      <c r="P489" s="17">
        <f>IFERROR(__xludf.DUMMYFUNCTION("""COMPUTED_VALUE"""),0.629)</f>
        <v>0.629</v>
      </c>
      <c r="Q489" s="34">
        <f>IFERROR(__xludf.DUMMYFUNCTION("""COMPUTED_VALUE"""),0.0)</f>
        <v>0</v>
      </c>
      <c r="R489" s="34">
        <f>IFERROR(__xludf.DUMMYFUNCTION("""COMPUTED_VALUE"""),0.0)</f>
        <v>0</v>
      </c>
      <c r="S489" s="34">
        <f>IFERROR(__xludf.DUMMYFUNCTION("""COMPUTED_VALUE"""),0.0)</f>
        <v>0</v>
      </c>
      <c r="T489" s="17" t="str">
        <f t="shared" si="1"/>
        <v>Kyle Farmer</v>
      </c>
    </row>
    <row r="490">
      <c r="A490" s="17">
        <f>IFERROR(__xludf.DUMMYFUNCTION("""COMPUTED_VALUE"""),490.0)</f>
        <v>490</v>
      </c>
      <c r="B490" s="17" t="str">
        <f>IFERROR(__xludf.DUMMYFUNCTION("""COMPUTED_VALUE"""),"Walker Jenkins (MIN - CF) MiLB")</f>
        <v>Walker Jenkins (MIN - CF) MiLB</v>
      </c>
      <c r="C490" s="17">
        <f>IFERROR(__xludf.DUMMYFUNCTION("""COMPUTED_VALUE"""),38.0)</f>
        <v>38</v>
      </c>
      <c r="D490" s="17">
        <f>IFERROR(__xludf.DUMMYFUNCTION("""COMPUTED_VALUE"""),5.0)</f>
        <v>5</v>
      </c>
      <c r="E490" s="17">
        <f>IFERROR(__xludf.DUMMYFUNCTION("""COMPUTED_VALUE"""),1.0)</f>
        <v>1</v>
      </c>
      <c r="F490" s="17">
        <f>IFERROR(__xludf.DUMMYFUNCTION("""COMPUTED_VALUE"""),4.0)</f>
        <v>4</v>
      </c>
      <c r="G490" s="17">
        <f>IFERROR(__xludf.DUMMYFUNCTION("""COMPUTED_VALUE"""),1.0)</f>
        <v>1</v>
      </c>
      <c r="H490" s="17">
        <f>IFERROR(__xludf.DUMMYFUNCTION("""COMPUTED_VALUE"""),0.247)</f>
        <v>0.247</v>
      </c>
      <c r="I490" s="17">
        <f>IFERROR(__xludf.DUMMYFUNCTION("""COMPUTED_VALUE"""),0.33)</f>
        <v>0.33</v>
      </c>
      <c r="J490" s="17">
        <f>IFERROR(__xludf.DUMMYFUNCTION("""COMPUTED_VALUE"""),9.0)</f>
        <v>9</v>
      </c>
      <c r="K490" s="17">
        <f>IFERROR(__xludf.DUMMYFUNCTION("""COMPUTED_VALUE"""),2.0)</f>
        <v>2</v>
      </c>
      <c r="L490" s="17">
        <f>IFERROR(__xludf.DUMMYFUNCTION("""COMPUTED_VALUE"""),0.0)</f>
        <v>0</v>
      </c>
      <c r="M490" s="17">
        <f>IFERROR(__xludf.DUMMYFUNCTION("""COMPUTED_VALUE"""),4.0)</f>
        <v>4</v>
      </c>
      <c r="N490" s="17">
        <f>IFERROR(__xludf.DUMMYFUNCTION("""COMPUTED_VALUE"""),9.0)</f>
        <v>9</v>
      </c>
      <c r="O490" s="17">
        <f>IFERROR(__xludf.DUMMYFUNCTION("""COMPUTED_VALUE"""),0.383)</f>
        <v>0.383</v>
      </c>
      <c r="P490" s="17">
        <f>IFERROR(__xludf.DUMMYFUNCTION("""COMPUTED_VALUE"""),0.713)</f>
        <v>0.713</v>
      </c>
      <c r="Q490" s="34">
        <f>IFERROR(__xludf.DUMMYFUNCTION("""COMPUTED_VALUE"""),0.03)</f>
        <v>0.03</v>
      </c>
      <c r="R490" s="34">
        <f>IFERROR(__xludf.DUMMYFUNCTION("""COMPUTED_VALUE"""),0.05)</f>
        <v>0.05</v>
      </c>
      <c r="S490" s="34">
        <f>IFERROR(__xludf.DUMMYFUNCTION("""COMPUTED_VALUE"""),0.01)</f>
        <v>0.01</v>
      </c>
      <c r="T490" s="17" t="str">
        <f t="shared" si="1"/>
        <v>Walker Jenkins</v>
      </c>
    </row>
    <row r="491">
      <c r="A491" s="17">
        <f>IFERROR(__xludf.DUMMYFUNCTION("""COMPUTED_VALUE"""),491.0)</f>
        <v>491</v>
      </c>
      <c r="B491" s="17" t="str">
        <f>IFERROR(__xludf.DUMMYFUNCTION("""COMPUTED_VALUE"""),"Gabriel Gonzalez (MIN - LF,RF) MiLB")</f>
        <v>Gabriel Gonzalez (MIN - LF,RF) MiLB</v>
      </c>
      <c r="C491" s="17">
        <f>IFERROR(__xludf.DUMMYFUNCTION("""COMPUTED_VALUE"""),41.0)</f>
        <v>41</v>
      </c>
      <c r="D491" s="17">
        <f>IFERROR(__xludf.DUMMYFUNCTION("""COMPUTED_VALUE"""),5.0)</f>
        <v>5</v>
      </c>
      <c r="E491" s="17">
        <f>IFERROR(__xludf.DUMMYFUNCTION("""COMPUTED_VALUE"""),1.0)</f>
        <v>1</v>
      </c>
      <c r="F491" s="17">
        <f>IFERROR(__xludf.DUMMYFUNCTION("""COMPUTED_VALUE"""),5.0)</f>
        <v>5</v>
      </c>
      <c r="G491" s="17">
        <f>IFERROR(__xludf.DUMMYFUNCTION("""COMPUTED_VALUE"""),0.0)</f>
        <v>0</v>
      </c>
      <c r="H491" s="17">
        <f>IFERROR(__xludf.DUMMYFUNCTION("""COMPUTED_VALUE"""),0.254)</f>
        <v>0.254</v>
      </c>
      <c r="I491" s="17">
        <f>IFERROR(__xludf.DUMMYFUNCTION("""COMPUTED_VALUE"""),0.311)</f>
        <v>0.311</v>
      </c>
      <c r="J491" s="17">
        <f>IFERROR(__xludf.DUMMYFUNCTION("""COMPUTED_VALUE"""),10.0)</f>
        <v>10</v>
      </c>
      <c r="K491" s="17">
        <f>IFERROR(__xludf.DUMMYFUNCTION("""COMPUTED_VALUE"""),2.0)</f>
        <v>2</v>
      </c>
      <c r="L491" s="17">
        <f>IFERROR(__xludf.DUMMYFUNCTION("""COMPUTED_VALUE"""),0.0)</f>
        <v>0</v>
      </c>
      <c r="M491" s="17">
        <f>IFERROR(__xludf.DUMMYFUNCTION("""COMPUTED_VALUE"""),3.0)</f>
        <v>3</v>
      </c>
      <c r="N491" s="17">
        <f>IFERROR(__xludf.DUMMYFUNCTION("""COMPUTED_VALUE"""),8.0)</f>
        <v>8</v>
      </c>
      <c r="O491" s="17">
        <f>IFERROR(__xludf.DUMMYFUNCTION("""COMPUTED_VALUE"""),0.39)</f>
        <v>0.39</v>
      </c>
      <c r="P491" s="17">
        <f>IFERROR(__xludf.DUMMYFUNCTION("""COMPUTED_VALUE"""),0.701)</f>
        <v>0.701</v>
      </c>
      <c r="Q491" s="34">
        <f>IFERROR(__xludf.DUMMYFUNCTION("""COMPUTED_VALUE"""),0.0)</f>
        <v>0</v>
      </c>
      <c r="R491" s="34">
        <f>IFERROR(__xludf.DUMMYFUNCTION("""COMPUTED_VALUE"""),0.0)</f>
        <v>0</v>
      </c>
      <c r="S491" s="34">
        <f>IFERROR(__xludf.DUMMYFUNCTION("""COMPUTED_VALUE"""),0.0)</f>
        <v>0</v>
      </c>
      <c r="T491" s="17" t="str">
        <f t="shared" si="1"/>
        <v>Gabriel Gonzalez</v>
      </c>
    </row>
    <row r="492">
      <c r="A492" s="17">
        <f>IFERROR(__xludf.DUMMYFUNCTION("""COMPUTED_VALUE"""),492.0)</f>
        <v>492</v>
      </c>
      <c r="B492" s="17" t="str">
        <f>IFERROR(__xludf.DUMMYFUNCTION("""COMPUTED_VALUE"""),"Eloy Jimenez (TOR - RF,DH) DFA")</f>
        <v>Eloy Jimenez (TOR - RF,DH) DFA</v>
      </c>
      <c r="C492" s="17">
        <f>IFERROR(__xludf.DUMMYFUNCTION("""COMPUTED_VALUE"""),35.0)</f>
        <v>35</v>
      </c>
      <c r="D492" s="17">
        <f>IFERROR(__xludf.DUMMYFUNCTION("""COMPUTED_VALUE"""),4.0)</f>
        <v>4</v>
      </c>
      <c r="E492" s="17">
        <f>IFERROR(__xludf.DUMMYFUNCTION("""COMPUTED_VALUE"""),1.0)</f>
        <v>1</v>
      </c>
      <c r="F492" s="17">
        <f>IFERROR(__xludf.DUMMYFUNCTION("""COMPUTED_VALUE"""),5.0)</f>
        <v>5</v>
      </c>
      <c r="G492" s="17">
        <f>IFERROR(__xludf.DUMMYFUNCTION("""COMPUTED_VALUE"""),0.0)</f>
        <v>0</v>
      </c>
      <c r="H492" s="17">
        <f>IFERROR(__xludf.DUMMYFUNCTION("""COMPUTED_VALUE"""),0.252)</f>
        <v>0.252</v>
      </c>
      <c r="I492" s="17">
        <f>IFERROR(__xludf.DUMMYFUNCTION("""COMPUTED_VALUE"""),0.314)</f>
        <v>0.314</v>
      </c>
      <c r="J492" s="17">
        <f>IFERROR(__xludf.DUMMYFUNCTION("""COMPUTED_VALUE"""),9.0)</f>
        <v>9</v>
      </c>
      <c r="K492" s="17">
        <f>IFERROR(__xludf.DUMMYFUNCTION("""COMPUTED_VALUE"""),2.0)</f>
        <v>2</v>
      </c>
      <c r="L492" s="17">
        <f>IFERROR(__xludf.DUMMYFUNCTION("""COMPUTED_VALUE"""),0.0)</f>
        <v>0</v>
      </c>
      <c r="M492" s="17">
        <f>IFERROR(__xludf.DUMMYFUNCTION("""COMPUTED_VALUE"""),3.0)</f>
        <v>3</v>
      </c>
      <c r="N492" s="17">
        <f>IFERROR(__xludf.DUMMYFUNCTION("""COMPUTED_VALUE"""),8.0)</f>
        <v>8</v>
      </c>
      <c r="O492" s="17">
        <f>IFERROR(__xludf.DUMMYFUNCTION("""COMPUTED_VALUE"""),0.404)</f>
        <v>0.404</v>
      </c>
      <c r="P492" s="17">
        <f>IFERROR(__xludf.DUMMYFUNCTION("""COMPUTED_VALUE"""),0.719)</f>
        <v>0.719</v>
      </c>
      <c r="Q492" s="34">
        <f>IFERROR(__xludf.DUMMYFUNCTION("""COMPUTED_VALUE"""),0.0)</f>
        <v>0</v>
      </c>
      <c r="R492" s="34">
        <f>IFERROR(__xludf.DUMMYFUNCTION("""COMPUTED_VALUE"""),0.0)</f>
        <v>0</v>
      </c>
      <c r="S492" s="34">
        <f>IFERROR(__xludf.DUMMYFUNCTION("""COMPUTED_VALUE"""),0.0)</f>
        <v>0</v>
      </c>
      <c r="T492" s="17" t="str">
        <f t="shared" si="1"/>
        <v>Eloy Jimenez</v>
      </c>
    </row>
    <row r="493">
      <c r="A493" s="17">
        <f>IFERROR(__xludf.DUMMYFUNCTION("""COMPUTED_VALUE"""),493.0)</f>
        <v>493</v>
      </c>
      <c r="B493" s="17" t="str">
        <f>IFERROR(__xludf.DUMMYFUNCTION("""COMPUTED_VALUE"""),"Justyn-Henry Malloy (TB - LF,RF,DH) MiLB")</f>
        <v>Justyn-Henry Malloy (TB - LF,RF,DH) MiLB</v>
      </c>
      <c r="C493" s="17">
        <f>IFERROR(__xludf.DUMMYFUNCTION("""COMPUTED_VALUE"""),44.0)</f>
        <v>44</v>
      </c>
      <c r="D493" s="17">
        <f>IFERROR(__xludf.DUMMYFUNCTION("""COMPUTED_VALUE"""),6.0)</f>
        <v>6</v>
      </c>
      <c r="E493" s="17">
        <f>IFERROR(__xludf.DUMMYFUNCTION("""COMPUTED_VALUE"""),1.0)</f>
        <v>1</v>
      </c>
      <c r="F493" s="17">
        <f>IFERROR(__xludf.DUMMYFUNCTION("""COMPUTED_VALUE"""),5.0)</f>
        <v>5</v>
      </c>
      <c r="G493" s="17">
        <f>IFERROR(__xludf.DUMMYFUNCTION("""COMPUTED_VALUE"""),0.0)</f>
        <v>0</v>
      </c>
      <c r="H493" s="17">
        <f>IFERROR(__xludf.DUMMYFUNCTION("""COMPUTED_VALUE"""),0.221)</f>
        <v>0.221</v>
      </c>
      <c r="I493" s="17">
        <f>IFERROR(__xludf.DUMMYFUNCTION("""COMPUTED_VALUE"""),0.332)</f>
        <v>0.332</v>
      </c>
      <c r="J493" s="17">
        <f>IFERROR(__xludf.DUMMYFUNCTION("""COMPUTED_VALUE"""),10.0)</f>
        <v>10</v>
      </c>
      <c r="K493" s="17">
        <f>IFERROR(__xludf.DUMMYFUNCTION("""COMPUTED_VALUE"""),2.0)</f>
        <v>2</v>
      </c>
      <c r="L493" s="17">
        <f>IFERROR(__xludf.DUMMYFUNCTION("""COMPUTED_VALUE"""),0.0)</f>
        <v>0</v>
      </c>
      <c r="M493" s="17">
        <f>IFERROR(__xludf.DUMMYFUNCTION("""COMPUTED_VALUE"""),7.0)</f>
        <v>7</v>
      </c>
      <c r="N493" s="17">
        <f>IFERROR(__xludf.DUMMYFUNCTION("""COMPUTED_VALUE"""),15.0)</f>
        <v>15</v>
      </c>
      <c r="O493" s="17">
        <f>IFERROR(__xludf.DUMMYFUNCTION("""COMPUTED_VALUE"""),0.353)</f>
        <v>0.353</v>
      </c>
      <c r="P493" s="17">
        <f>IFERROR(__xludf.DUMMYFUNCTION("""COMPUTED_VALUE"""),0.685)</f>
        <v>0.685</v>
      </c>
      <c r="Q493" s="34">
        <f>IFERROR(__xludf.DUMMYFUNCTION("""COMPUTED_VALUE"""),0.0)</f>
        <v>0</v>
      </c>
      <c r="R493" s="34">
        <f>IFERROR(__xludf.DUMMYFUNCTION("""COMPUTED_VALUE"""),0.0)</f>
        <v>0</v>
      </c>
      <c r="S493" s="34">
        <f>IFERROR(__xludf.DUMMYFUNCTION("""COMPUTED_VALUE"""),0.0)</f>
        <v>0</v>
      </c>
      <c r="T493" s="17" t="str">
        <f t="shared" si="1"/>
        <v>Justyn-Henry Malloy</v>
      </c>
    </row>
    <row r="494">
      <c r="A494" s="17">
        <f>IFERROR(__xludf.DUMMYFUNCTION("""COMPUTED_VALUE"""),494.0)</f>
        <v>494</v>
      </c>
      <c r="B494" s="17" t="str">
        <f>IFERROR(__xludf.DUMMYFUNCTION("""COMPUTED_VALUE"""),"Ryan Bliss (SEA - 2B) MiLB")</f>
        <v>Ryan Bliss (SEA - 2B) MiLB</v>
      </c>
      <c r="C494" s="17">
        <f>IFERROR(__xludf.DUMMYFUNCTION("""COMPUTED_VALUE"""),30.0)</f>
        <v>30</v>
      </c>
      <c r="D494" s="17">
        <f>IFERROR(__xludf.DUMMYFUNCTION("""COMPUTED_VALUE"""),4.0)</f>
        <v>4</v>
      </c>
      <c r="E494" s="17">
        <f>IFERROR(__xludf.DUMMYFUNCTION("""COMPUTED_VALUE"""),1.0)</f>
        <v>1</v>
      </c>
      <c r="F494" s="17">
        <f>IFERROR(__xludf.DUMMYFUNCTION("""COMPUTED_VALUE"""),3.0)</f>
        <v>3</v>
      </c>
      <c r="G494" s="17">
        <f>IFERROR(__xludf.DUMMYFUNCTION("""COMPUTED_VALUE"""),2.0)</f>
        <v>2</v>
      </c>
      <c r="H494" s="17">
        <f>IFERROR(__xludf.DUMMYFUNCTION("""COMPUTED_VALUE"""),0.217)</f>
        <v>0.217</v>
      </c>
      <c r="I494" s="17">
        <f>IFERROR(__xludf.DUMMYFUNCTION("""COMPUTED_VALUE"""),0.281)</f>
        <v>0.281</v>
      </c>
      <c r="J494" s="17">
        <f>IFERROR(__xludf.DUMMYFUNCTION("""COMPUTED_VALUE"""),7.0)</f>
        <v>7</v>
      </c>
      <c r="K494" s="17">
        <f>IFERROR(__xludf.DUMMYFUNCTION("""COMPUTED_VALUE"""),1.0)</f>
        <v>1</v>
      </c>
      <c r="L494" s="17">
        <f>IFERROR(__xludf.DUMMYFUNCTION("""COMPUTED_VALUE"""),0.0)</f>
        <v>0</v>
      </c>
      <c r="M494" s="17">
        <f>IFERROR(__xludf.DUMMYFUNCTION("""COMPUTED_VALUE"""),2.0)</f>
        <v>2</v>
      </c>
      <c r="N494" s="17">
        <f>IFERROR(__xludf.DUMMYFUNCTION("""COMPUTED_VALUE"""),9.0)</f>
        <v>9</v>
      </c>
      <c r="O494" s="17">
        <f>IFERROR(__xludf.DUMMYFUNCTION("""COMPUTED_VALUE"""),0.347)</f>
        <v>0.347</v>
      </c>
      <c r="P494" s="17">
        <f>IFERROR(__xludf.DUMMYFUNCTION("""COMPUTED_VALUE"""),0.628)</f>
        <v>0.628</v>
      </c>
      <c r="Q494" s="34">
        <f>IFERROR(__xludf.DUMMYFUNCTION("""COMPUTED_VALUE"""),0.0)</f>
        <v>0</v>
      </c>
      <c r="R494" s="34">
        <f>IFERROR(__xludf.DUMMYFUNCTION("""COMPUTED_VALUE"""),0.0)</f>
        <v>0</v>
      </c>
      <c r="S494" s="34">
        <f>IFERROR(__xludf.DUMMYFUNCTION("""COMPUTED_VALUE"""),0.0)</f>
        <v>0</v>
      </c>
      <c r="T494" s="17" t="str">
        <f t="shared" si="1"/>
        <v>Ryan Bliss</v>
      </c>
    </row>
    <row r="495">
      <c r="A495" s="17">
        <f>IFERROR(__xludf.DUMMYFUNCTION("""COMPUTED_VALUE"""),495.0)</f>
        <v>495</v>
      </c>
      <c r="B495" s="17" t="str">
        <f>IFERROR(__xludf.DUMMYFUNCTION("""COMPUTED_VALUE"""),"Tim Elko (CWS - 1B) MiLB")</f>
        <v>Tim Elko (CWS - 1B) MiLB</v>
      </c>
      <c r="C495" s="17">
        <f>IFERROR(__xludf.DUMMYFUNCTION("""COMPUTED_VALUE"""),40.0)</f>
        <v>40</v>
      </c>
      <c r="D495" s="17">
        <f>IFERROR(__xludf.DUMMYFUNCTION("""COMPUTED_VALUE"""),4.0)</f>
        <v>4</v>
      </c>
      <c r="E495" s="17">
        <f>IFERROR(__xludf.DUMMYFUNCTION("""COMPUTED_VALUE"""),2.0)</f>
        <v>2</v>
      </c>
      <c r="F495" s="17">
        <f>IFERROR(__xludf.DUMMYFUNCTION("""COMPUTED_VALUE"""),5.0)</f>
        <v>5</v>
      </c>
      <c r="G495" s="17">
        <f>IFERROR(__xludf.DUMMYFUNCTION("""COMPUTED_VALUE"""),0.0)</f>
        <v>0</v>
      </c>
      <c r="H495" s="17">
        <f>IFERROR(__xludf.DUMMYFUNCTION("""COMPUTED_VALUE"""),0.234)</f>
        <v>0.234</v>
      </c>
      <c r="I495" s="17">
        <f>IFERROR(__xludf.DUMMYFUNCTION("""COMPUTED_VALUE"""),0.281)</f>
        <v>0.281</v>
      </c>
      <c r="J495" s="17">
        <f>IFERROR(__xludf.DUMMYFUNCTION("""COMPUTED_VALUE"""),9.0)</f>
        <v>9</v>
      </c>
      <c r="K495" s="17">
        <f>IFERROR(__xludf.DUMMYFUNCTION("""COMPUTED_VALUE"""),2.0)</f>
        <v>2</v>
      </c>
      <c r="L495" s="17">
        <f>IFERROR(__xludf.DUMMYFUNCTION("""COMPUTED_VALUE"""),0.0)</f>
        <v>0</v>
      </c>
      <c r="M495" s="17">
        <f>IFERROR(__xludf.DUMMYFUNCTION("""COMPUTED_VALUE"""),2.0)</f>
        <v>2</v>
      </c>
      <c r="N495" s="17">
        <f>IFERROR(__xludf.DUMMYFUNCTION("""COMPUTED_VALUE"""),14.0)</f>
        <v>14</v>
      </c>
      <c r="O495" s="17">
        <f>IFERROR(__xludf.DUMMYFUNCTION("""COMPUTED_VALUE"""),0.394)</f>
        <v>0.394</v>
      </c>
      <c r="P495" s="17">
        <f>IFERROR(__xludf.DUMMYFUNCTION("""COMPUTED_VALUE"""),0.675)</f>
        <v>0.675</v>
      </c>
      <c r="Q495" s="34">
        <f>IFERROR(__xludf.DUMMYFUNCTION("""COMPUTED_VALUE"""),0.0)</f>
        <v>0</v>
      </c>
      <c r="R495" s="34">
        <f>IFERROR(__xludf.DUMMYFUNCTION("""COMPUTED_VALUE"""),0.0)</f>
        <v>0</v>
      </c>
      <c r="S495" s="34">
        <f>IFERROR(__xludf.DUMMYFUNCTION("""COMPUTED_VALUE"""),0.0)</f>
        <v>0</v>
      </c>
      <c r="T495" s="17" t="str">
        <f t="shared" si="1"/>
        <v>Tim Elko</v>
      </c>
    </row>
    <row r="496">
      <c r="A496" s="17">
        <f>IFERROR(__xludf.DUMMYFUNCTION("""COMPUTED_VALUE"""),496.0)</f>
        <v>496</v>
      </c>
      <c r="B496" s="17" t="str">
        <f>IFERROR(__xludf.DUMMYFUNCTION("""COMPUTED_VALUE"""),"Johan Rojas (PHI - CF) SUS")</f>
        <v>Johan Rojas (PHI - CF) SUS</v>
      </c>
      <c r="C496" s="17">
        <f>IFERROR(__xludf.DUMMYFUNCTION("""COMPUTED_VALUE"""),39.0)</f>
        <v>39</v>
      </c>
      <c r="D496" s="17">
        <f>IFERROR(__xludf.DUMMYFUNCTION("""COMPUTED_VALUE"""),5.0)</f>
        <v>5</v>
      </c>
      <c r="E496" s="17">
        <f>IFERROR(__xludf.DUMMYFUNCTION("""COMPUTED_VALUE"""),0.0)</f>
        <v>0</v>
      </c>
      <c r="F496" s="17">
        <f>IFERROR(__xludf.DUMMYFUNCTION("""COMPUTED_VALUE"""),4.0)</f>
        <v>4</v>
      </c>
      <c r="G496" s="17">
        <f>IFERROR(__xludf.DUMMYFUNCTION("""COMPUTED_VALUE"""),2.0)</f>
        <v>2</v>
      </c>
      <c r="H496" s="17">
        <f>IFERROR(__xludf.DUMMYFUNCTION("""COMPUTED_VALUE"""),0.231)</f>
        <v>0.231</v>
      </c>
      <c r="I496" s="17">
        <f>IFERROR(__xludf.DUMMYFUNCTION("""COMPUTED_VALUE"""),0.28)</f>
        <v>0.28</v>
      </c>
      <c r="J496" s="17">
        <f>IFERROR(__xludf.DUMMYFUNCTION("""COMPUTED_VALUE"""),9.0)</f>
        <v>9</v>
      </c>
      <c r="K496" s="17">
        <f>IFERROR(__xludf.DUMMYFUNCTION("""COMPUTED_VALUE"""),2.0)</f>
        <v>2</v>
      </c>
      <c r="L496" s="17">
        <f>IFERROR(__xludf.DUMMYFUNCTION("""COMPUTED_VALUE"""),0.0)</f>
        <v>0</v>
      </c>
      <c r="M496" s="17">
        <f>IFERROR(__xludf.DUMMYFUNCTION("""COMPUTED_VALUE"""),3.0)</f>
        <v>3</v>
      </c>
      <c r="N496" s="17">
        <f>IFERROR(__xludf.DUMMYFUNCTION("""COMPUTED_VALUE"""),9.0)</f>
        <v>9</v>
      </c>
      <c r="O496" s="17">
        <f>IFERROR(__xludf.DUMMYFUNCTION("""COMPUTED_VALUE"""),0.311)</f>
        <v>0.311</v>
      </c>
      <c r="P496" s="17">
        <f>IFERROR(__xludf.DUMMYFUNCTION("""COMPUTED_VALUE"""),0.591)</f>
        <v>0.591</v>
      </c>
      <c r="Q496" s="34">
        <f>IFERROR(__xludf.DUMMYFUNCTION("""COMPUTED_VALUE"""),0.0)</f>
        <v>0</v>
      </c>
      <c r="R496" s="34">
        <f>IFERROR(__xludf.DUMMYFUNCTION("""COMPUTED_VALUE"""),0.0)</f>
        <v>0</v>
      </c>
      <c r="S496" s="34">
        <f>IFERROR(__xludf.DUMMYFUNCTION("""COMPUTED_VALUE"""),0.0)</f>
        <v>0</v>
      </c>
      <c r="T496" s="17" t="str">
        <f t="shared" si="1"/>
        <v>Johan Rojas</v>
      </c>
    </row>
    <row r="497">
      <c r="A497" s="17">
        <f>IFERROR(__xludf.DUMMYFUNCTION("""COMPUTED_VALUE"""),497.0)</f>
        <v>497</v>
      </c>
      <c r="B497" s="17" t="str">
        <f>IFERROR(__xludf.DUMMYFUNCTION("""COMPUTED_VALUE"""),"Greg Jones (MIL - LF,RF)")</f>
        <v>Greg Jones (MIL - LF,RF)</v>
      </c>
      <c r="C497" s="17">
        <f>IFERROR(__xludf.DUMMYFUNCTION("""COMPUTED_VALUE"""),42.0)</f>
        <v>42</v>
      </c>
      <c r="D497" s="17">
        <f>IFERROR(__xludf.DUMMYFUNCTION("""COMPUTED_VALUE"""),5.0)</f>
        <v>5</v>
      </c>
      <c r="E497" s="17">
        <f>IFERROR(__xludf.DUMMYFUNCTION("""COMPUTED_VALUE"""),1.0)</f>
        <v>1</v>
      </c>
      <c r="F497" s="17">
        <f>IFERROR(__xludf.DUMMYFUNCTION("""COMPUTED_VALUE"""),5.0)</f>
        <v>5</v>
      </c>
      <c r="G497" s="17">
        <f>IFERROR(__xludf.DUMMYFUNCTION("""COMPUTED_VALUE"""),2.0)</f>
        <v>2</v>
      </c>
      <c r="H497" s="17">
        <f>IFERROR(__xludf.DUMMYFUNCTION("""COMPUTED_VALUE"""),0.198)</f>
        <v>0.198</v>
      </c>
      <c r="I497" s="17">
        <f>IFERROR(__xludf.DUMMYFUNCTION("""COMPUTED_VALUE"""),0.268)</f>
        <v>0.268</v>
      </c>
      <c r="J497" s="17">
        <f>IFERROR(__xludf.DUMMYFUNCTION("""COMPUTED_VALUE"""),8.0)</f>
        <v>8</v>
      </c>
      <c r="K497" s="17">
        <f>IFERROR(__xludf.DUMMYFUNCTION("""COMPUTED_VALUE"""),2.0)</f>
        <v>2</v>
      </c>
      <c r="L497" s="17">
        <f>IFERROR(__xludf.DUMMYFUNCTION("""COMPUTED_VALUE"""),0.0)</f>
        <v>0</v>
      </c>
      <c r="M497" s="17">
        <f>IFERROR(__xludf.DUMMYFUNCTION("""COMPUTED_VALUE"""),3.0)</f>
        <v>3</v>
      </c>
      <c r="N497" s="17">
        <f>IFERROR(__xludf.DUMMYFUNCTION("""COMPUTED_VALUE"""),18.0)</f>
        <v>18</v>
      </c>
      <c r="O497" s="17">
        <f>IFERROR(__xludf.DUMMYFUNCTION("""COMPUTED_VALUE"""),0.314)</f>
        <v>0.314</v>
      </c>
      <c r="P497" s="17">
        <f>IFERROR(__xludf.DUMMYFUNCTION("""COMPUTED_VALUE"""),0.582)</f>
        <v>0.582</v>
      </c>
      <c r="Q497" s="34">
        <f>IFERROR(__xludf.DUMMYFUNCTION("""COMPUTED_VALUE"""),0.0)</f>
        <v>0</v>
      </c>
      <c r="R497" s="34">
        <f>IFERROR(__xludf.DUMMYFUNCTION("""COMPUTED_VALUE"""),0.0)</f>
        <v>0</v>
      </c>
      <c r="S497" s="34">
        <f>IFERROR(__xludf.DUMMYFUNCTION("""COMPUTED_VALUE"""),0.0)</f>
        <v>0</v>
      </c>
      <c r="T497" s="17" t="str">
        <f t="shared" si="1"/>
        <v>Greg Jones</v>
      </c>
    </row>
    <row r="498">
      <c r="A498" s="17">
        <f>IFERROR(__xludf.DUMMYFUNCTION("""COMPUTED_VALUE"""),498.0)</f>
        <v>498</v>
      </c>
      <c r="B498" s="17" t="str">
        <f>IFERROR(__xludf.DUMMYFUNCTION("""COMPUTED_VALUE"""),"Orlando Arcia (MIN - 1B,2B,3B,SS) MiLB")</f>
        <v>Orlando Arcia (MIN - 1B,2B,3B,SS) MiLB</v>
      </c>
      <c r="C498" s="17">
        <f>IFERROR(__xludf.DUMMYFUNCTION("""COMPUTED_VALUE"""),43.0)</f>
        <v>43</v>
      </c>
      <c r="D498" s="17">
        <f>IFERROR(__xludf.DUMMYFUNCTION("""COMPUTED_VALUE"""),5.0)</f>
        <v>5</v>
      </c>
      <c r="E498" s="17">
        <f>IFERROR(__xludf.DUMMYFUNCTION("""COMPUTED_VALUE"""),1.0)</f>
        <v>1</v>
      </c>
      <c r="F498" s="17">
        <f>IFERROR(__xludf.DUMMYFUNCTION("""COMPUTED_VALUE"""),5.0)</f>
        <v>5</v>
      </c>
      <c r="G498" s="17">
        <f>IFERROR(__xludf.DUMMYFUNCTION("""COMPUTED_VALUE"""),0.0)</f>
        <v>0</v>
      </c>
      <c r="H498" s="17">
        <f>IFERROR(__xludf.DUMMYFUNCTION("""COMPUTED_VALUE"""),0.225)</f>
        <v>0.225</v>
      </c>
      <c r="I498" s="17">
        <f>IFERROR(__xludf.DUMMYFUNCTION("""COMPUTED_VALUE"""),0.285)</f>
        <v>0.285</v>
      </c>
      <c r="J498" s="17">
        <f>IFERROR(__xludf.DUMMYFUNCTION("""COMPUTED_VALUE"""),10.0)</f>
        <v>10</v>
      </c>
      <c r="K498" s="17">
        <f>IFERROR(__xludf.DUMMYFUNCTION("""COMPUTED_VALUE"""),2.0)</f>
        <v>2</v>
      </c>
      <c r="L498" s="17">
        <f>IFERROR(__xludf.DUMMYFUNCTION("""COMPUTED_VALUE"""),0.0)</f>
        <v>0</v>
      </c>
      <c r="M498" s="17">
        <f>IFERROR(__xludf.DUMMYFUNCTION("""COMPUTED_VALUE"""),3.0)</f>
        <v>3</v>
      </c>
      <c r="N498" s="17">
        <f>IFERROR(__xludf.DUMMYFUNCTION("""COMPUTED_VALUE"""),10.0)</f>
        <v>10</v>
      </c>
      <c r="O498" s="17">
        <f>IFERROR(__xludf.DUMMYFUNCTION("""COMPUTED_VALUE"""),0.352)</f>
        <v>0.352</v>
      </c>
      <c r="P498" s="17">
        <f>IFERROR(__xludf.DUMMYFUNCTION("""COMPUTED_VALUE"""),0.637)</f>
        <v>0.637</v>
      </c>
      <c r="Q498" s="34">
        <f>IFERROR(__xludf.DUMMYFUNCTION("""COMPUTED_VALUE"""),0.0)</f>
        <v>0</v>
      </c>
      <c r="R498" s="34">
        <f>IFERROR(__xludf.DUMMYFUNCTION("""COMPUTED_VALUE"""),0.0)</f>
        <v>0</v>
      </c>
      <c r="S498" s="34">
        <f>IFERROR(__xludf.DUMMYFUNCTION("""COMPUTED_VALUE"""),0.0)</f>
        <v>0</v>
      </c>
      <c r="T498" s="17" t="str">
        <f t="shared" si="1"/>
        <v>Orlando Arcia</v>
      </c>
    </row>
    <row r="499">
      <c r="A499" s="17">
        <f>IFERROR(__xludf.DUMMYFUNCTION("""COMPUTED_VALUE"""),499.0)</f>
        <v>499</v>
      </c>
      <c r="B499" s="17" t="str">
        <f>IFERROR(__xludf.DUMMYFUNCTION("""COMPUTED_VALUE"""),"Braxton Fulford (COL - C) MiLB")</f>
        <v>Braxton Fulford (COL - C) MiLB</v>
      </c>
      <c r="C499" s="17">
        <f>IFERROR(__xludf.DUMMYFUNCTION("""COMPUTED_VALUE"""),36.0)</f>
        <v>36</v>
      </c>
      <c r="D499" s="17">
        <f>IFERROR(__xludf.DUMMYFUNCTION("""COMPUTED_VALUE"""),5.0)</f>
        <v>5</v>
      </c>
      <c r="E499" s="17">
        <f>IFERROR(__xludf.DUMMYFUNCTION("""COMPUTED_VALUE"""),1.0)</f>
        <v>1</v>
      </c>
      <c r="F499" s="17">
        <f>IFERROR(__xludf.DUMMYFUNCTION("""COMPUTED_VALUE"""),5.0)</f>
        <v>5</v>
      </c>
      <c r="G499" s="17">
        <f>IFERROR(__xludf.DUMMYFUNCTION("""COMPUTED_VALUE"""),0.0)</f>
        <v>0</v>
      </c>
      <c r="H499" s="17">
        <f>IFERROR(__xludf.DUMMYFUNCTION("""COMPUTED_VALUE"""),0.236)</f>
        <v>0.236</v>
      </c>
      <c r="I499" s="17">
        <f>IFERROR(__xludf.DUMMYFUNCTION("""COMPUTED_VALUE"""),0.308)</f>
        <v>0.308</v>
      </c>
      <c r="J499" s="17">
        <f>IFERROR(__xludf.DUMMYFUNCTION("""COMPUTED_VALUE"""),8.0)</f>
        <v>8</v>
      </c>
      <c r="K499" s="17">
        <f>IFERROR(__xludf.DUMMYFUNCTION("""COMPUTED_VALUE"""),2.0)</f>
        <v>2</v>
      </c>
      <c r="L499" s="17">
        <f>IFERROR(__xludf.DUMMYFUNCTION("""COMPUTED_VALUE"""),0.0)</f>
        <v>0</v>
      </c>
      <c r="M499" s="17">
        <f>IFERROR(__xludf.DUMMYFUNCTION("""COMPUTED_VALUE"""),3.0)</f>
        <v>3</v>
      </c>
      <c r="N499" s="17">
        <f>IFERROR(__xludf.DUMMYFUNCTION("""COMPUTED_VALUE"""),11.0)</f>
        <v>11</v>
      </c>
      <c r="O499" s="17">
        <f>IFERROR(__xludf.DUMMYFUNCTION("""COMPUTED_VALUE"""),0.396)</f>
        <v>0.396</v>
      </c>
      <c r="P499" s="17">
        <f>IFERROR(__xludf.DUMMYFUNCTION("""COMPUTED_VALUE"""),0.704)</f>
        <v>0.704</v>
      </c>
      <c r="Q499" s="34">
        <f>IFERROR(__xludf.DUMMYFUNCTION("""COMPUTED_VALUE"""),0.0)</f>
        <v>0</v>
      </c>
      <c r="R499" s="34">
        <f>IFERROR(__xludf.DUMMYFUNCTION("""COMPUTED_VALUE"""),0.0)</f>
        <v>0</v>
      </c>
      <c r="S499" s="34">
        <f>IFERROR(__xludf.DUMMYFUNCTION("""COMPUTED_VALUE"""),0.0)</f>
        <v>0</v>
      </c>
      <c r="T499" s="17" t="str">
        <f t="shared" si="1"/>
        <v>Braxton Fulford</v>
      </c>
    </row>
    <row r="500">
      <c r="A500" s="17">
        <f>IFERROR(__xludf.DUMMYFUNCTION("""COMPUTED_VALUE"""),500.0)</f>
        <v>500</v>
      </c>
      <c r="B500" s="17" t="str">
        <f>IFERROR(__xludf.DUMMYFUNCTION("""COMPUTED_VALUE"""),"Chadwick Tromp (ATL - C) MiLB")</f>
        <v>Chadwick Tromp (ATL - C) MiLB</v>
      </c>
      <c r="C500" s="17">
        <f>IFERROR(__xludf.DUMMYFUNCTION("""COMPUTED_VALUE"""),35.0)</f>
        <v>35</v>
      </c>
      <c r="D500" s="17">
        <f>IFERROR(__xludf.DUMMYFUNCTION("""COMPUTED_VALUE"""),4.0)</f>
        <v>4</v>
      </c>
      <c r="E500" s="17">
        <f>IFERROR(__xludf.DUMMYFUNCTION("""COMPUTED_VALUE"""),1.0)</f>
        <v>1</v>
      </c>
      <c r="F500" s="17">
        <f>IFERROR(__xludf.DUMMYFUNCTION("""COMPUTED_VALUE"""),4.0)</f>
        <v>4</v>
      </c>
      <c r="G500" s="17">
        <f>IFERROR(__xludf.DUMMYFUNCTION("""COMPUTED_VALUE"""),1.0)</f>
        <v>1</v>
      </c>
      <c r="H500" s="17">
        <f>IFERROR(__xludf.DUMMYFUNCTION("""COMPUTED_VALUE"""),0.217)</f>
        <v>0.217</v>
      </c>
      <c r="I500" s="17">
        <f>IFERROR(__xludf.DUMMYFUNCTION("""COMPUTED_VALUE"""),0.289)</f>
        <v>0.289</v>
      </c>
      <c r="J500" s="17">
        <f>IFERROR(__xludf.DUMMYFUNCTION("""COMPUTED_VALUE"""),8.0)</f>
        <v>8</v>
      </c>
      <c r="K500" s="17">
        <f>IFERROR(__xludf.DUMMYFUNCTION("""COMPUTED_VALUE"""),2.0)</f>
        <v>2</v>
      </c>
      <c r="L500" s="17">
        <f>IFERROR(__xludf.DUMMYFUNCTION("""COMPUTED_VALUE"""),0.0)</f>
        <v>0</v>
      </c>
      <c r="M500" s="17">
        <f>IFERROR(__xludf.DUMMYFUNCTION("""COMPUTED_VALUE"""),3.0)</f>
        <v>3</v>
      </c>
      <c r="N500" s="17">
        <f>IFERROR(__xludf.DUMMYFUNCTION("""COMPUTED_VALUE"""),10.0)</f>
        <v>10</v>
      </c>
      <c r="O500" s="17">
        <f>IFERROR(__xludf.DUMMYFUNCTION("""COMPUTED_VALUE"""),0.347)</f>
        <v>0.347</v>
      </c>
      <c r="P500" s="17">
        <f>IFERROR(__xludf.DUMMYFUNCTION("""COMPUTED_VALUE"""),0.636)</f>
        <v>0.636</v>
      </c>
      <c r="Q500" s="34">
        <f>IFERROR(__xludf.DUMMYFUNCTION("""COMPUTED_VALUE"""),0.0)</f>
        <v>0</v>
      </c>
      <c r="R500" s="34">
        <f>IFERROR(__xludf.DUMMYFUNCTION("""COMPUTED_VALUE"""),0.0)</f>
        <v>0</v>
      </c>
      <c r="S500" s="34">
        <f>IFERROR(__xludf.DUMMYFUNCTION("""COMPUTED_VALUE"""),0.0)</f>
        <v>0</v>
      </c>
      <c r="T500" s="17" t="str">
        <f t="shared" si="1"/>
        <v>Chadwick Tromp</v>
      </c>
    </row>
    <row r="501">
      <c r="A501" s="17">
        <f>IFERROR(__xludf.DUMMYFUNCTION("""COMPUTED_VALUE"""),501.0)</f>
        <v>501</v>
      </c>
      <c r="B501" s="17" t="str">
        <f>IFERROR(__xludf.DUMMYFUNCTION("""COMPUTED_VALUE"""),"Nacho Alvarez Jr. (ATL - 3B) MiLB")</f>
        <v>Nacho Alvarez Jr. (ATL - 3B) MiLB</v>
      </c>
      <c r="C501" s="17">
        <f>IFERROR(__xludf.DUMMYFUNCTION("""COMPUTED_VALUE"""),35.0)</f>
        <v>35</v>
      </c>
      <c r="D501" s="17">
        <f>IFERROR(__xludf.DUMMYFUNCTION("""COMPUTED_VALUE"""),4.0)</f>
        <v>4</v>
      </c>
      <c r="E501" s="17">
        <f>IFERROR(__xludf.DUMMYFUNCTION("""COMPUTED_VALUE"""),1.0)</f>
        <v>1</v>
      </c>
      <c r="F501" s="17">
        <f>IFERROR(__xludf.DUMMYFUNCTION("""COMPUTED_VALUE"""),4.0)</f>
        <v>4</v>
      </c>
      <c r="G501" s="17">
        <f>IFERROR(__xludf.DUMMYFUNCTION("""COMPUTED_VALUE"""),1.0)</f>
        <v>1</v>
      </c>
      <c r="H501" s="17">
        <f>IFERROR(__xludf.DUMMYFUNCTION("""COMPUTED_VALUE"""),0.232)</f>
        <v>0.232</v>
      </c>
      <c r="I501" s="17">
        <f>IFERROR(__xludf.DUMMYFUNCTION("""COMPUTED_VALUE"""),0.312)</f>
        <v>0.312</v>
      </c>
      <c r="J501" s="17">
        <f>IFERROR(__xludf.DUMMYFUNCTION("""COMPUTED_VALUE"""),8.0)</f>
        <v>8</v>
      </c>
      <c r="K501" s="17">
        <f>IFERROR(__xludf.DUMMYFUNCTION("""COMPUTED_VALUE"""),2.0)</f>
        <v>2</v>
      </c>
      <c r="L501" s="17">
        <f>IFERROR(__xludf.DUMMYFUNCTION("""COMPUTED_VALUE"""),0.0)</f>
        <v>0</v>
      </c>
      <c r="M501" s="17">
        <f>IFERROR(__xludf.DUMMYFUNCTION("""COMPUTED_VALUE"""),4.0)</f>
        <v>4</v>
      </c>
      <c r="N501" s="17">
        <f>IFERROR(__xludf.DUMMYFUNCTION("""COMPUTED_VALUE"""),9.0)</f>
        <v>9</v>
      </c>
      <c r="O501" s="17">
        <f>IFERROR(__xludf.DUMMYFUNCTION("""COMPUTED_VALUE"""),0.319)</f>
        <v>0.319</v>
      </c>
      <c r="P501" s="17">
        <f>IFERROR(__xludf.DUMMYFUNCTION("""COMPUTED_VALUE"""),0.631)</f>
        <v>0.631</v>
      </c>
      <c r="Q501" s="34">
        <f>IFERROR(__xludf.DUMMYFUNCTION("""COMPUTED_VALUE"""),0.0)</f>
        <v>0</v>
      </c>
      <c r="R501" s="34">
        <f>IFERROR(__xludf.DUMMYFUNCTION("""COMPUTED_VALUE"""),0.0)</f>
        <v>0</v>
      </c>
      <c r="S501" s="34">
        <f>IFERROR(__xludf.DUMMYFUNCTION("""COMPUTED_VALUE"""),0.0)</f>
        <v>0</v>
      </c>
      <c r="T501" s="17" t="str">
        <f t="shared" si="1"/>
        <v>Nacho Alvarez Jr.</v>
      </c>
    </row>
    <row r="502">
      <c r="A502" s="17">
        <f>IFERROR(__xludf.DUMMYFUNCTION("""COMPUTED_VALUE"""),502.0)</f>
        <v>502</v>
      </c>
      <c r="B502" s="17" t="str">
        <f>IFERROR(__xludf.DUMMYFUNCTION("""COMPUTED_VALUE"""),"Wander Franco (TB - SS) RST")</f>
        <v>Wander Franco (TB - SS) RST</v>
      </c>
      <c r="C502" s="17">
        <f>IFERROR(__xludf.DUMMYFUNCTION("""COMPUTED_VALUE"""),23.0)</f>
        <v>23</v>
      </c>
      <c r="D502" s="17">
        <f>IFERROR(__xludf.DUMMYFUNCTION("""COMPUTED_VALUE"""),3.0)</f>
        <v>3</v>
      </c>
      <c r="E502" s="17">
        <f>IFERROR(__xludf.DUMMYFUNCTION("""COMPUTED_VALUE"""),1.0)</f>
        <v>1</v>
      </c>
      <c r="F502" s="17">
        <f>IFERROR(__xludf.DUMMYFUNCTION("""COMPUTED_VALUE"""),3.0)</f>
        <v>3</v>
      </c>
      <c r="G502" s="17">
        <f>IFERROR(__xludf.DUMMYFUNCTION("""COMPUTED_VALUE"""),1.0)</f>
        <v>1</v>
      </c>
      <c r="H502" s="17">
        <f>IFERROR(__xludf.DUMMYFUNCTION("""COMPUTED_VALUE"""),0.251)</f>
        <v>0.251</v>
      </c>
      <c r="I502" s="17">
        <f>IFERROR(__xludf.DUMMYFUNCTION("""COMPUTED_VALUE"""),0.314)</f>
        <v>0.314</v>
      </c>
      <c r="J502" s="17">
        <f>IFERROR(__xludf.DUMMYFUNCTION("""COMPUTED_VALUE"""),6.0)</f>
        <v>6</v>
      </c>
      <c r="K502" s="17">
        <f>IFERROR(__xludf.DUMMYFUNCTION("""COMPUTED_VALUE"""),2.0)</f>
        <v>2</v>
      </c>
      <c r="L502" s="17">
        <f>IFERROR(__xludf.DUMMYFUNCTION("""COMPUTED_VALUE"""),0.0)</f>
        <v>0</v>
      </c>
      <c r="M502" s="17">
        <f>IFERROR(__xludf.DUMMYFUNCTION("""COMPUTED_VALUE"""),2.0)</f>
        <v>2</v>
      </c>
      <c r="N502" s="17">
        <f>IFERROR(__xludf.DUMMYFUNCTION("""COMPUTED_VALUE"""),4.0)</f>
        <v>4</v>
      </c>
      <c r="O502" s="17">
        <f>IFERROR(__xludf.DUMMYFUNCTION("""COMPUTED_VALUE"""),0.388)</f>
        <v>0.388</v>
      </c>
      <c r="P502" s="17">
        <f>IFERROR(__xludf.DUMMYFUNCTION("""COMPUTED_VALUE"""),0.702)</f>
        <v>0.702</v>
      </c>
      <c r="Q502" s="34">
        <f>IFERROR(__xludf.DUMMYFUNCTION("""COMPUTED_VALUE"""),0.01)</f>
        <v>0.01</v>
      </c>
      <c r="R502" s="34">
        <f>IFERROR(__xludf.DUMMYFUNCTION("""COMPUTED_VALUE"""),0.01)</f>
        <v>0.01</v>
      </c>
      <c r="S502" s="34">
        <f>IFERROR(__xludf.DUMMYFUNCTION("""COMPUTED_VALUE"""),0.0)</f>
        <v>0</v>
      </c>
      <c r="T502" s="17" t="str">
        <f t="shared" si="1"/>
        <v>Wander Franco</v>
      </c>
    </row>
    <row r="503">
      <c r="A503" s="17">
        <f>IFERROR(__xludf.DUMMYFUNCTION("""COMPUTED_VALUE"""),503.0)</f>
        <v>503</v>
      </c>
      <c r="B503" s="17" t="str">
        <f>IFERROR(__xludf.DUMMYFUNCTION("""COMPUTED_VALUE"""),"Chad Stevens (COL - 2B) MiLB")</f>
        <v>Chad Stevens (COL - 2B) MiLB</v>
      </c>
      <c r="C503" s="17">
        <f>IFERROR(__xludf.DUMMYFUNCTION("""COMPUTED_VALUE"""),23.0)</f>
        <v>23</v>
      </c>
      <c r="D503" s="17">
        <f>IFERROR(__xludf.DUMMYFUNCTION("""COMPUTED_VALUE"""),3.0)</f>
        <v>3</v>
      </c>
      <c r="E503" s="17">
        <f>IFERROR(__xludf.DUMMYFUNCTION("""COMPUTED_VALUE"""),1.0)</f>
        <v>1</v>
      </c>
      <c r="F503" s="17">
        <f>IFERROR(__xludf.DUMMYFUNCTION("""COMPUTED_VALUE"""),3.0)</f>
        <v>3</v>
      </c>
      <c r="G503" s="17">
        <f>IFERROR(__xludf.DUMMYFUNCTION("""COMPUTED_VALUE"""),1.0)</f>
        <v>1</v>
      </c>
      <c r="H503" s="17">
        <f>IFERROR(__xludf.DUMMYFUNCTION("""COMPUTED_VALUE"""),0.244)</f>
        <v>0.244</v>
      </c>
      <c r="I503" s="17">
        <f>IFERROR(__xludf.DUMMYFUNCTION("""COMPUTED_VALUE"""),0.32)</f>
        <v>0.32</v>
      </c>
      <c r="J503" s="17">
        <f>IFERROR(__xludf.DUMMYFUNCTION("""COMPUTED_VALUE"""),6.0)</f>
        <v>6</v>
      </c>
      <c r="K503" s="17">
        <f>IFERROR(__xludf.DUMMYFUNCTION("""COMPUTED_VALUE"""),1.0)</f>
        <v>1</v>
      </c>
      <c r="L503" s="17">
        <f>IFERROR(__xludf.DUMMYFUNCTION("""COMPUTED_VALUE"""),0.0)</f>
        <v>0</v>
      </c>
      <c r="M503" s="17">
        <f>IFERROR(__xludf.DUMMYFUNCTION("""COMPUTED_VALUE"""),2.0)</f>
        <v>2</v>
      </c>
      <c r="N503" s="17">
        <f>IFERROR(__xludf.DUMMYFUNCTION("""COMPUTED_VALUE"""),7.0)</f>
        <v>7</v>
      </c>
      <c r="O503" s="17">
        <f>IFERROR(__xludf.DUMMYFUNCTION("""COMPUTED_VALUE"""),0.356)</f>
        <v>0.356</v>
      </c>
      <c r="P503" s="17">
        <f>IFERROR(__xludf.DUMMYFUNCTION("""COMPUTED_VALUE"""),0.676)</f>
        <v>0.676</v>
      </c>
      <c r="Q503" s="34">
        <f>IFERROR(__xludf.DUMMYFUNCTION("""COMPUTED_VALUE"""),0.0)</f>
        <v>0</v>
      </c>
      <c r="R503" s="34">
        <f>IFERROR(__xludf.DUMMYFUNCTION("""COMPUTED_VALUE"""),0.0)</f>
        <v>0</v>
      </c>
      <c r="S503" s="34">
        <f>IFERROR(__xludf.DUMMYFUNCTION("""COMPUTED_VALUE"""),0.0)</f>
        <v>0</v>
      </c>
      <c r="T503" s="17" t="str">
        <f t="shared" si="1"/>
        <v>Chad Stevens</v>
      </c>
    </row>
    <row r="504">
      <c r="A504" s="17">
        <f>IFERROR(__xludf.DUMMYFUNCTION("""COMPUTED_VALUE"""),504.0)</f>
        <v>504</v>
      </c>
      <c r="B504" s="17" t="str">
        <f>IFERROR(__xludf.DUMMYFUNCTION("""COMPUTED_VALUE"""),"Tom Murphy (C) FA")</f>
        <v>Tom Murphy (C) FA</v>
      </c>
      <c r="C504" s="17">
        <f>IFERROR(__xludf.DUMMYFUNCTION("""COMPUTED_VALUE"""),29.0)</f>
        <v>29</v>
      </c>
      <c r="D504" s="17">
        <f>IFERROR(__xludf.DUMMYFUNCTION("""COMPUTED_VALUE"""),4.0)</f>
        <v>4</v>
      </c>
      <c r="E504" s="17">
        <f>IFERROR(__xludf.DUMMYFUNCTION("""COMPUTED_VALUE"""),1.0)</f>
        <v>1</v>
      </c>
      <c r="F504" s="17">
        <f>IFERROR(__xludf.DUMMYFUNCTION("""COMPUTED_VALUE"""),4.0)</f>
        <v>4</v>
      </c>
      <c r="G504" s="17">
        <f>IFERROR(__xludf.DUMMYFUNCTION("""COMPUTED_VALUE"""),0.0)</f>
        <v>0</v>
      </c>
      <c r="H504" s="17">
        <f>IFERROR(__xludf.DUMMYFUNCTION("""COMPUTED_VALUE"""),0.231)</f>
        <v>0.231</v>
      </c>
      <c r="I504" s="17">
        <f>IFERROR(__xludf.DUMMYFUNCTION("""COMPUTED_VALUE"""),0.31)</f>
        <v>0.31</v>
      </c>
      <c r="J504" s="17">
        <f>IFERROR(__xludf.DUMMYFUNCTION("""COMPUTED_VALUE"""),7.0)</f>
        <v>7</v>
      </c>
      <c r="K504" s="17">
        <f>IFERROR(__xludf.DUMMYFUNCTION("""COMPUTED_VALUE"""),1.0)</f>
        <v>1</v>
      </c>
      <c r="L504" s="17">
        <f>IFERROR(__xludf.DUMMYFUNCTION("""COMPUTED_VALUE"""),0.0)</f>
        <v>0</v>
      </c>
      <c r="M504" s="17">
        <f>IFERROR(__xludf.DUMMYFUNCTION("""COMPUTED_VALUE"""),3.0)</f>
        <v>3</v>
      </c>
      <c r="N504" s="17">
        <f>IFERROR(__xludf.DUMMYFUNCTION("""COMPUTED_VALUE"""),9.0)</f>
        <v>9</v>
      </c>
      <c r="O504" s="17">
        <f>IFERROR(__xludf.DUMMYFUNCTION("""COMPUTED_VALUE"""),0.393)</f>
        <v>0.393</v>
      </c>
      <c r="P504" s="17">
        <f>IFERROR(__xludf.DUMMYFUNCTION("""COMPUTED_VALUE"""),0.703)</f>
        <v>0.703</v>
      </c>
      <c r="Q504" s="34">
        <f>IFERROR(__xludf.DUMMYFUNCTION("""COMPUTED_VALUE"""),0.0)</f>
        <v>0</v>
      </c>
      <c r="R504" s="34">
        <f>IFERROR(__xludf.DUMMYFUNCTION("""COMPUTED_VALUE"""),0.0)</f>
        <v>0</v>
      </c>
      <c r="S504" s="34">
        <f>IFERROR(__xludf.DUMMYFUNCTION("""COMPUTED_VALUE"""),0.0)</f>
        <v>0</v>
      </c>
      <c r="T504" s="17" t="str">
        <f t="shared" si="1"/>
        <v>Tom Murphy</v>
      </c>
    </row>
    <row r="505">
      <c r="A505" s="17">
        <f>IFERROR(__xludf.DUMMYFUNCTION("""COMPUTED_VALUE"""),505.0)</f>
        <v>505</v>
      </c>
      <c r="B505" s="17" t="str">
        <f>IFERROR(__xludf.DUMMYFUNCTION("""COMPUTED_VALUE"""),"Spencer Jones (NYY - CF) MiLB")</f>
        <v>Spencer Jones (NYY - CF) MiLB</v>
      </c>
      <c r="C505" s="17">
        <f>IFERROR(__xludf.DUMMYFUNCTION("""COMPUTED_VALUE"""),20.0)</f>
        <v>20</v>
      </c>
      <c r="D505" s="17">
        <f>IFERROR(__xludf.DUMMYFUNCTION("""COMPUTED_VALUE"""),3.0)</f>
        <v>3</v>
      </c>
      <c r="E505" s="17">
        <f>IFERROR(__xludf.DUMMYFUNCTION("""COMPUTED_VALUE"""),1.0)</f>
        <v>1</v>
      </c>
      <c r="F505" s="17">
        <f>IFERROR(__xludf.DUMMYFUNCTION("""COMPUTED_VALUE"""),3.0)</f>
        <v>3</v>
      </c>
      <c r="G505" s="17">
        <f>IFERROR(__xludf.DUMMYFUNCTION("""COMPUTED_VALUE"""),1.0)</f>
        <v>1</v>
      </c>
      <c r="H505" s="17">
        <f>IFERROR(__xludf.DUMMYFUNCTION("""COMPUTED_VALUE"""),0.228)</f>
        <v>0.228</v>
      </c>
      <c r="I505" s="17">
        <f>IFERROR(__xludf.DUMMYFUNCTION("""COMPUTED_VALUE"""),0.289)</f>
        <v>0.289</v>
      </c>
      <c r="J505" s="17">
        <f>IFERROR(__xludf.DUMMYFUNCTION("""COMPUTED_VALUE"""),5.0)</f>
        <v>5</v>
      </c>
      <c r="K505" s="17">
        <f>IFERROR(__xludf.DUMMYFUNCTION("""COMPUTED_VALUE"""),1.0)</f>
        <v>1</v>
      </c>
      <c r="L505" s="17">
        <f>IFERROR(__xludf.DUMMYFUNCTION("""COMPUTED_VALUE"""),0.0)</f>
        <v>0</v>
      </c>
      <c r="M505" s="17">
        <f>IFERROR(__xludf.DUMMYFUNCTION("""COMPUTED_VALUE"""),2.0)</f>
        <v>2</v>
      </c>
      <c r="N505" s="17">
        <f>IFERROR(__xludf.DUMMYFUNCTION("""COMPUTED_VALUE"""),8.0)</f>
        <v>8</v>
      </c>
      <c r="O505" s="17">
        <f>IFERROR(__xludf.DUMMYFUNCTION("""COMPUTED_VALUE"""),0.43)</f>
        <v>0.43</v>
      </c>
      <c r="P505" s="17">
        <f>IFERROR(__xludf.DUMMYFUNCTION("""COMPUTED_VALUE"""),0.719)</f>
        <v>0.719</v>
      </c>
      <c r="Q505" s="34">
        <f>IFERROR(__xludf.DUMMYFUNCTION("""COMPUTED_VALUE"""),0.04)</f>
        <v>0.04</v>
      </c>
      <c r="R505" s="34">
        <f>IFERROR(__xludf.DUMMYFUNCTION("""COMPUTED_VALUE"""),0.07)</f>
        <v>0.07</v>
      </c>
      <c r="S505" s="34">
        <f>IFERROR(__xludf.DUMMYFUNCTION("""COMPUTED_VALUE"""),0.01)</f>
        <v>0.01</v>
      </c>
      <c r="T505" s="17" t="str">
        <f t="shared" si="1"/>
        <v>Spencer Jones</v>
      </c>
    </row>
    <row r="506">
      <c r="A506" s="17">
        <f>IFERROR(__xludf.DUMMYFUNCTION("""COMPUTED_VALUE"""),506.0)</f>
        <v>506</v>
      </c>
      <c r="B506" s="17" t="str">
        <f>IFERROR(__xludf.DUMMYFUNCTION("""COMPUTED_VALUE"""),"Josh Rojas (KC - 2B,3B) MiLB")</f>
        <v>Josh Rojas (KC - 2B,3B) MiLB</v>
      </c>
      <c r="C506" s="17">
        <f>IFERROR(__xludf.DUMMYFUNCTION("""COMPUTED_VALUE"""),28.0)</f>
        <v>28</v>
      </c>
      <c r="D506" s="17">
        <f>IFERROR(__xludf.DUMMYFUNCTION("""COMPUTED_VALUE"""),3.0)</f>
        <v>3</v>
      </c>
      <c r="E506" s="17">
        <f>IFERROR(__xludf.DUMMYFUNCTION("""COMPUTED_VALUE"""),1.0)</f>
        <v>1</v>
      </c>
      <c r="F506" s="17">
        <f>IFERROR(__xludf.DUMMYFUNCTION("""COMPUTED_VALUE"""),3.0)</f>
        <v>3</v>
      </c>
      <c r="G506" s="17">
        <f>IFERROR(__xludf.DUMMYFUNCTION("""COMPUTED_VALUE"""),1.0)</f>
        <v>1</v>
      </c>
      <c r="H506" s="17">
        <f>IFERROR(__xludf.DUMMYFUNCTION("""COMPUTED_VALUE"""),0.241)</f>
        <v>0.241</v>
      </c>
      <c r="I506" s="17">
        <f>IFERROR(__xludf.DUMMYFUNCTION("""COMPUTED_VALUE"""),0.313)</f>
        <v>0.313</v>
      </c>
      <c r="J506" s="17">
        <f>IFERROR(__xludf.DUMMYFUNCTION("""COMPUTED_VALUE"""),7.0)</f>
        <v>7</v>
      </c>
      <c r="K506" s="17">
        <f>IFERROR(__xludf.DUMMYFUNCTION("""COMPUTED_VALUE"""),2.0)</f>
        <v>2</v>
      </c>
      <c r="L506" s="17">
        <f>IFERROR(__xludf.DUMMYFUNCTION("""COMPUTED_VALUE"""),0.0)</f>
        <v>0</v>
      </c>
      <c r="M506" s="17">
        <f>IFERROR(__xludf.DUMMYFUNCTION("""COMPUTED_VALUE"""),3.0)</f>
        <v>3</v>
      </c>
      <c r="N506" s="17">
        <f>IFERROR(__xludf.DUMMYFUNCTION("""COMPUTED_VALUE"""),7.0)</f>
        <v>7</v>
      </c>
      <c r="O506" s="17">
        <f>IFERROR(__xludf.DUMMYFUNCTION("""COMPUTED_VALUE"""),0.365)</f>
        <v>0.365</v>
      </c>
      <c r="P506" s="17">
        <f>IFERROR(__xludf.DUMMYFUNCTION("""COMPUTED_VALUE"""),0.678)</f>
        <v>0.678</v>
      </c>
      <c r="Q506" s="34">
        <f>IFERROR(__xludf.DUMMYFUNCTION("""COMPUTED_VALUE"""),0.0)</f>
        <v>0</v>
      </c>
      <c r="R506" s="34">
        <f>IFERROR(__xludf.DUMMYFUNCTION("""COMPUTED_VALUE"""),0.0)</f>
        <v>0</v>
      </c>
      <c r="S506" s="34">
        <f>IFERROR(__xludf.DUMMYFUNCTION("""COMPUTED_VALUE"""),0.0)</f>
        <v>0</v>
      </c>
      <c r="T506" s="17" t="str">
        <f t="shared" si="1"/>
        <v>Josh Rojas</v>
      </c>
    </row>
    <row r="507">
      <c r="A507" s="17">
        <f>IFERROR(__xludf.DUMMYFUNCTION("""COMPUTED_VALUE"""),507.0)</f>
        <v>507</v>
      </c>
      <c r="B507" s="17" t="str">
        <f>IFERROR(__xludf.DUMMYFUNCTION("""COMPUTED_VALUE"""),"Elias Diaz (KC - C)")</f>
        <v>Elias Diaz (KC - C)</v>
      </c>
      <c r="C507" s="17">
        <f>IFERROR(__xludf.DUMMYFUNCTION("""COMPUTED_VALUE"""),42.0)</f>
        <v>42</v>
      </c>
      <c r="D507" s="17">
        <f>IFERROR(__xludf.DUMMYFUNCTION("""COMPUTED_VALUE"""),5.0)</f>
        <v>5</v>
      </c>
      <c r="E507" s="17">
        <f>IFERROR(__xludf.DUMMYFUNCTION("""COMPUTED_VALUE"""),1.0)</f>
        <v>1</v>
      </c>
      <c r="F507" s="17">
        <f>IFERROR(__xludf.DUMMYFUNCTION("""COMPUTED_VALUE"""),5.0)</f>
        <v>5</v>
      </c>
      <c r="G507" s="17">
        <f>IFERROR(__xludf.DUMMYFUNCTION("""COMPUTED_VALUE"""),0.0)</f>
        <v>0</v>
      </c>
      <c r="H507" s="17">
        <f>IFERROR(__xludf.DUMMYFUNCTION("""COMPUTED_VALUE"""),0.222)</f>
        <v>0.222</v>
      </c>
      <c r="I507" s="17">
        <f>IFERROR(__xludf.DUMMYFUNCTION("""COMPUTED_VALUE"""),0.281)</f>
        <v>0.281</v>
      </c>
      <c r="J507" s="17">
        <f>IFERROR(__xludf.DUMMYFUNCTION("""COMPUTED_VALUE"""),9.0)</f>
        <v>9</v>
      </c>
      <c r="K507" s="17">
        <f>IFERROR(__xludf.DUMMYFUNCTION("""COMPUTED_VALUE"""),2.0)</f>
        <v>2</v>
      </c>
      <c r="L507" s="17">
        <f>IFERROR(__xludf.DUMMYFUNCTION("""COMPUTED_VALUE"""),0.0)</f>
        <v>0</v>
      </c>
      <c r="M507" s="17">
        <f>IFERROR(__xludf.DUMMYFUNCTION("""COMPUTED_VALUE"""),3.0)</f>
        <v>3</v>
      </c>
      <c r="N507" s="17">
        <f>IFERROR(__xludf.DUMMYFUNCTION("""COMPUTED_VALUE"""),11.0)</f>
        <v>11</v>
      </c>
      <c r="O507" s="17">
        <f>IFERROR(__xludf.DUMMYFUNCTION("""COMPUTED_VALUE"""),0.343)</f>
        <v>0.343</v>
      </c>
      <c r="P507" s="17">
        <f>IFERROR(__xludf.DUMMYFUNCTION("""COMPUTED_VALUE"""),0.624)</f>
        <v>0.624</v>
      </c>
      <c r="Q507" s="34">
        <f>IFERROR(__xludf.DUMMYFUNCTION("""COMPUTED_VALUE"""),0.0)</f>
        <v>0</v>
      </c>
      <c r="R507" s="34">
        <f>IFERROR(__xludf.DUMMYFUNCTION("""COMPUTED_VALUE"""),0.0)</f>
        <v>0</v>
      </c>
      <c r="S507" s="34">
        <f>IFERROR(__xludf.DUMMYFUNCTION("""COMPUTED_VALUE"""),0.0)</f>
        <v>0</v>
      </c>
      <c r="T507" s="17" t="str">
        <f t="shared" si="1"/>
        <v>Elias Diaz</v>
      </c>
    </row>
    <row r="508">
      <c r="A508" s="17">
        <f>IFERROR(__xludf.DUMMYFUNCTION("""COMPUTED_VALUE"""),508.0)</f>
        <v>508</v>
      </c>
      <c r="B508" s="17" t="str">
        <f>IFERROR(__xludf.DUMMYFUNCTION("""COMPUTED_VALUE"""),"Ryan Kreidler (MIN - CF) MiLB")</f>
        <v>Ryan Kreidler (MIN - CF) MiLB</v>
      </c>
      <c r="C508" s="17">
        <f>IFERROR(__xludf.DUMMYFUNCTION("""COMPUTED_VALUE"""),52.0)</f>
        <v>52</v>
      </c>
      <c r="D508" s="17">
        <f>IFERROR(__xludf.DUMMYFUNCTION("""COMPUTED_VALUE"""),6.0)</f>
        <v>6</v>
      </c>
      <c r="E508" s="17">
        <f>IFERROR(__xludf.DUMMYFUNCTION("""COMPUTED_VALUE"""),1.0)</f>
        <v>1</v>
      </c>
      <c r="F508" s="17">
        <f>IFERROR(__xludf.DUMMYFUNCTION("""COMPUTED_VALUE"""),5.0)</f>
        <v>5</v>
      </c>
      <c r="G508" s="17">
        <f>IFERROR(__xludf.DUMMYFUNCTION("""COMPUTED_VALUE"""),1.0)</f>
        <v>1</v>
      </c>
      <c r="H508" s="17">
        <f>IFERROR(__xludf.DUMMYFUNCTION("""COMPUTED_VALUE"""),0.195)</f>
        <v>0.195</v>
      </c>
      <c r="I508" s="17">
        <f>IFERROR(__xludf.DUMMYFUNCTION("""COMPUTED_VALUE"""),0.292)</f>
        <v>0.292</v>
      </c>
      <c r="J508" s="17">
        <f>IFERROR(__xludf.DUMMYFUNCTION("""COMPUTED_VALUE"""),10.0)</f>
        <v>10</v>
      </c>
      <c r="K508" s="17">
        <f>IFERROR(__xludf.DUMMYFUNCTION("""COMPUTED_VALUE"""),2.0)</f>
        <v>2</v>
      </c>
      <c r="L508" s="17">
        <f>IFERROR(__xludf.DUMMYFUNCTION("""COMPUTED_VALUE"""),0.0)</f>
        <v>0</v>
      </c>
      <c r="M508" s="17">
        <f>IFERROR(__xludf.DUMMYFUNCTION("""COMPUTED_VALUE"""),6.0)</f>
        <v>6</v>
      </c>
      <c r="N508" s="17">
        <f>IFERROR(__xludf.DUMMYFUNCTION("""COMPUTED_VALUE"""),18.0)</f>
        <v>18</v>
      </c>
      <c r="O508" s="17">
        <f>IFERROR(__xludf.DUMMYFUNCTION("""COMPUTED_VALUE"""),0.307)</f>
        <v>0.307</v>
      </c>
      <c r="P508" s="17">
        <f>IFERROR(__xludf.DUMMYFUNCTION("""COMPUTED_VALUE"""),0.598)</f>
        <v>0.598</v>
      </c>
      <c r="Q508" s="34">
        <f>IFERROR(__xludf.DUMMYFUNCTION("""COMPUTED_VALUE"""),0.0)</f>
        <v>0</v>
      </c>
      <c r="R508" s="34">
        <f>IFERROR(__xludf.DUMMYFUNCTION("""COMPUTED_VALUE"""),0.0)</f>
        <v>0</v>
      </c>
      <c r="S508" s="34">
        <f>IFERROR(__xludf.DUMMYFUNCTION("""COMPUTED_VALUE"""),0.0)</f>
        <v>0</v>
      </c>
      <c r="T508" s="17" t="str">
        <f t="shared" si="1"/>
        <v>Ryan Kreidler</v>
      </c>
    </row>
    <row r="509">
      <c r="A509" s="17">
        <f>IFERROR(__xludf.DUMMYFUNCTION("""COMPUTED_VALUE"""),509.0)</f>
        <v>509</v>
      </c>
      <c r="B509" s="17" t="str">
        <f>IFERROR(__xludf.DUMMYFUNCTION("""COMPUTED_VALUE"""),"Braden Shewmake (HOU - 2B,3B,SS)")</f>
        <v>Braden Shewmake (HOU - 2B,3B,SS)</v>
      </c>
      <c r="C509" s="17">
        <f>IFERROR(__xludf.DUMMYFUNCTION("""COMPUTED_VALUE"""),37.0)</f>
        <v>37</v>
      </c>
      <c r="D509" s="17">
        <f>IFERROR(__xludf.DUMMYFUNCTION("""COMPUTED_VALUE"""),4.0)</f>
        <v>4</v>
      </c>
      <c r="E509" s="17">
        <f>IFERROR(__xludf.DUMMYFUNCTION("""COMPUTED_VALUE"""),1.0)</f>
        <v>1</v>
      </c>
      <c r="F509" s="17">
        <f>IFERROR(__xludf.DUMMYFUNCTION("""COMPUTED_VALUE"""),4.0)</f>
        <v>4</v>
      </c>
      <c r="G509" s="17">
        <f>IFERROR(__xludf.DUMMYFUNCTION("""COMPUTED_VALUE"""),1.0)</f>
        <v>1</v>
      </c>
      <c r="H509" s="17">
        <f>IFERROR(__xludf.DUMMYFUNCTION("""COMPUTED_VALUE"""),0.204)</f>
        <v>0.204</v>
      </c>
      <c r="I509" s="17">
        <f>IFERROR(__xludf.DUMMYFUNCTION("""COMPUTED_VALUE"""),0.258)</f>
        <v>0.258</v>
      </c>
      <c r="J509" s="17">
        <f>IFERROR(__xludf.DUMMYFUNCTION("""COMPUTED_VALUE"""),8.0)</f>
        <v>8</v>
      </c>
      <c r="K509" s="17">
        <f>IFERROR(__xludf.DUMMYFUNCTION("""COMPUTED_VALUE"""),1.0)</f>
        <v>1</v>
      </c>
      <c r="L509" s="17">
        <f>IFERROR(__xludf.DUMMYFUNCTION("""COMPUTED_VALUE"""),0.0)</f>
        <v>0</v>
      </c>
      <c r="M509" s="17">
        <f>IFERROR(__xludf.DUMMYFUNCTION("""COMPUTED_VALUE"""),2.0)</f>
        <v>2</v>
      </c>
      <c r="N509" s="17">
        <f>IFERROR(__xludf.DUMMYFUNCTION("""COMPUTED_VALUE"""),8.0)</f>
        <v>8</v>
      </c>
      <c r="O509" s="17">
        <f>IFERROR(__xludf.DUMMYFUNCTION("""COMPUTED_VALUE"""),0.326)</f>
        <v>0.326</v>
      </c>
      <c r="P509" s="17">
        <f>IFERROR(__xludf.DUMMYFUNCTION("""COMPUTED_VALUE"""),0.584)</f>
        <v>0.584</v>
      </c>
      <c r="Q509" s="34">
        <f>IFERROR(__xludf.DUMMYFUNCTION("""COMPUTED_VALUE"""),0.0)</f>
        <v>0</v>
      </c>
      <c r="R509" s="34">
        <f>IFERROR(__xludf.DUMMYFUNCTION("""COMPUTED_VALUE"""),0.0)</f>
        <v>0</v>
      </c>
      <c r="S509" s="34">
        <f>IFERROR(__xludf.DUMMYFUNCTION("""COMPUTED_VALUE"""),0.0)</f>
        <v>0</v>
      </c>
      <c r="T509" s="17" t="str">
        <f t="shared" si="1"/>
        <v>Braden Shewmake</v>
      </c>
    </row>
    <row r="510">
      <c r="A510" s="17">
        <f>IFERROR(__xludf.DUMMYFUNCTION("""COMPUTED_VALUE"""),510.0)</f>
        <v>510</v>
      </c>
      <c r="B510" s="17" t="str">
        <f>IFERROR(__xludf.DUMMYFUNCTION("""COMPUTED_VALUE"""),"Michael Helman (TEX - CF) MiLB")</f>
        <v>Michael Helman (TEX - CF) MiLB</v>
      </c>
      <c r="C510" s="17">
        <f>IFERROR(__xludf.DUMMYFUNCTION("""COMPUTED_VALUE"""),37.0)</f>
        <v>37</v>
      </c>
      <c r="D510" s="17">
        <f>IFERROR(__xludf.DUMMYFUNCTION("""COMPUTED_VALUE"""),4.0)</f>
        <v>4</v>
      </c>
      <c r="E510" s="17">
        <f>IFERROR(__xludf.DUMMYFUNCTION("""COMPUTED_VALUE"""),1.0)</f>
        <v>1</v>
      </c>
      <c r="F510" s="17">
        <f>IFERROR(__xludf.DUMMYFUNCTION("""COMPUTED_VALUE"""),4.0)</f>
        <v>4</v>
      </c>
      <c r="G510" s="17">
        <f>IFERROR(__xludf.DUMMYFUNCTION("""COMPUTED_VALUE"""),1.0)</f>
        <v>1</v>
      </c>
      <c r="H510" s="17">
        <f>IFERROR(__xludf.DUMMYFUNCTION("""COMPUTED_VALUE"""),0.209)</f>
        <v>0.209</v>
      </c>
      <c r="I510" s="17">
        <f>IFERROR(__xludf.DUMMYFUNCTION("""COMPUTED_VALUE"""),0.267)</f>
        <v>0.267</v>
      </c>
      <c r="J510" s="17">
        <f>IFERROR(__xludf.DUMMYFUNCTION("""COMPUTED_VALUE"""),8.0)</f>
        <v>8</v>
      </c>
      <c r="K510" s="17">
        <f>IFERROR(__xludf.DUMMYFUNCTION("""COMPUTED_VALUE"""),2.0)</f>
        <v>2</v>
      </c>
      <c r="L510" s="17">
        <f>IFERROR(__xludf.DUMMYFUNCTION("""COMPUTED_VALUE"""),0.0)</f>
        <v>0</v>
      </c>
      <c r="M510" s="17">
        <f>IFERROR(__xludf.DUMMYFUNCTION("""COMPUTED_VALUE"""),2.0)</f>
        <v>2</v>
      </c>
      <c r="N510" s="17">
        <f>IFERROR(__xludf.DUMMYFUNCTION("""COMPUTED_VALUE"""),10.0)</f>
        <v>10</v>
      </c>
      <c r="O510" s="17">
        <f>IFERROR(__xludf.DUMMYFUNCTION("""COMPUTED_VALUE"""),0.346)</f>
        <v>0.346</v>
      </c>
      <c r="P510" s="17">
        <f>IFERROR(__xludf.DUMMYFUNCTION("""COMPUTED_VALUE"""),0.614)</f>
        <v>0.614</v>
      </c>
      <c r="Q510" s="34">
        <f>IFERROR(__xludf.DUMMYFUNCTION("""COMPUTED_VALUE"""),0.0)</f>
        <v>0</v>
      </c>
      <c r="R510" s="34">
        <f>IFERROR(__xludf.DUMMYFUNCTION("""COMPUTED_VALUE"""),0.0)</f>
        <v>0</v>
      </c>
      <c r="S510" s="34">
        <f>IFERROR(__xludf.DUMMYFUNCTION("""COMPUTED_VALUE"""),0.0)</f>
        <v>0</v>
      </c>
      <c r="T510" s="17" t="str">
        <f t="shared" si="1"/>
        <v>Michael Helman</v>
      </c>
    </row>
    <row r="511">
      <c r="A511" s="17">
        <f>IFERROR(__xludf.DUMMYFUNCTION("""COMPUTED_VALUE"""),511.0)</f>
        <v>511</v>
      </c>
      <c r="B511" s="17" t="str">
        <f>IFERROR(__xludf.DUMMYFUNCTION("""COMPUTED_VALUE"""),"Billy Cook (PIT - LF,CF,RF)")</f>
        <v>Billy Cook (PIT - LF,CF,RF)</v>
      </c>
      <c r="C511" s="17">
        <f>IFERROR(__xludf.DUMMYFUNCTION("""COMPUTED_VALUE"""),37.0)</f>
        <v>37</v>
      </c>
      <c r="D511" s="17">
        <f>IFERROR(__xludf.DUMMYFUNCTION("""COMPUTED_VALUE"""),4.0)</f>
        <v>4</v>
      </c>
      <c r="E511" s="17">
        <f>IFERROR(__xludf.DUMMYFUNCTION("""COMPUTED_VALUE"""),1.0)</f>
        <v>1</v>
      </c>
      <c r="F511" s="17">
        <f>IFERROR(__xludf.DUMMYFUNCTION("""COMPUTED_VALUE"""),4.0)</f>
        <v>4</v>
      </c>
      <c r="G511" s="17">
        <f>IFERROR(__xludf.DUMMYFUNCTION("""COMPUTED_VALUE"""),1.0)</f>
        <v>1</v>
      </c>
      <c r="H511" s="17">
        <f>IFERROR(__xludf.DUMMYFUNCTION("""COMPUTED_VALUE"""),0.217)</f>
        <v>0.217</v>
      </c>
      <c r="I511" s="17">
        <f>IFERROR(__xludf.DUMMYFUNCTION("""COMPUTED_VALUE"""),0.272)</f>
        <v>0.272</v>
      </c>
      <c r="J511" s="17">
        <f>IFERROR(__xludf.DUMMYFUNCTION("""COMPUTED_VALUE"""),8.0)</f>
        <v>8</v>
      </c>
      <c r="K511" s="17">
        <f>IFERROR(__xludf.DUMMYFUNCTION("""COMPUTED_VALUE"""),1.0)</f>
        <v>1</v>
      </c>
      <c r="L511" s="17">
        <f>IFERROR(__xludf.DUMMYFUNCTION("""COMPUTED_VALUE"""),0.0)</f>
        <v>0</v>
      </c>
      <c r="M511" s="17">
        <f>IFERROR(__xludf.DUMMYFUNCTION("""COMPUTED_VALUE"""),3.0)</f>
        <v>3</v>
      </c>
      <c r="N511" s="17">
        <f>IFERROR(__xludf.DUMMYFUNCTION("""COMPUTED_VALUE"""),11.0)</f>
        <v>11</v>
      </c>
      <c r="O511" s="17">
        <f>IFERROR(__xludf.DUMMYFUNCTION("""COMPUTED_VALUE"""),0.344)</f>
        <v>0.344</v>
      </c>
      <c r="P511" s="17">
        <f>IFERROR(__xludf.DUMMYFUNCTION("""COMPUTED_VALUE"""),0.616)</f>
        <v>0.616</v>
      </c>
      <c r="Q511" s="34">
        <f>IFERROR(__xludf.DUMMYFUNCTION("""COMPUTED_VALUE"""),0.0)</f>
        <v>0</v>
      </c>
      <c r="R511" s="34">
        <f>IFERROR(__xludf.DUMMYFUNCTION("""COMPUTED_VALUE"""),0.0)</f>
        <v>0</v>
      </c>
      <c r="S511" s="34">
        <f>IFERROR(__xludf.DUMMYFUNCTION("""COMPUTED_VALUE"""),0.0)</f>
        <v>0</v>
      </c>
      <c r="T511" s="17" t="str">
        <f t="shared" si="1"/>
        <v>Billy Cook</v>
      </c>
    </row>
    <row r="512">
      <c r="A512" s="17">
        <f>IFERROR(__xludf.DUMMYFUNCTION("""COMPUTED_VALUE"""),512.0)</f>
        <v>512</v>
      </c>
      <c r="B512" s="17" t="str">
        <f>IFERROR(__xludf.DUMMYFUNCTION("""COMPUTED_VALUE"""),"Ryan Ward (LAD - 1B,LF,RF) MiLB")</f>
        <v>Ryan Ward (LAD - 1B,LF,RF) MiLB</v>
      </c>
      <c r="C512" s="17">
        <f>IFERROR(__xludf.DUMMYFUNCTION("""COMPUTED_VALUE"""),32.0)</f>
        <v>32</v>
      </c>
      <c r="D512" s="17">
        <f>IFERROR(__xludf.DUMMYFUNCTION("""COMPUTED_VALUE"""),4.0)</f>
        <v>4</v>
      </c>
      <c r="E512" s="17">
        <f>IFERROR(__xludf.DUMMYFUNCTION("""COMPUTED_VALUE"""),1.0)</f>
        <v>1</v>
      </c>
      <c r="F512" s="17">
        <f>IFERROR(__xludf.DUMMYFUNCTION("""COMPUTED_VALUE"""),5.0)</f>
        <v>5</v>
      </c>
      <c r="G512" s="17">
        <f>IFERROR(__xludf.DUMMYFUNCTION("""COMPUTED_VALUE"""),0.0)</f>
        <v>0</v>
      </c>
      <c r="H512" s="17">
        <f>IFERROR(__xludf.DUMMYFUNCTION("""COMPUTED_VALUE"""),0.208)</f>
        <v>0.208</v>
      </c>
      <c r="I512" s="17">
        <f>IFERROR(__xludf.DUMMYFUNCTION("""COMPUTED_VALUE"""),0.271)</f>
        <v>0.271</v>
      </c>
      <c r="J512" s="17">
        <f>IFERROR(__xludf.DUMMYFUNCTION("""COMPUTED_VALUE"""),7.0)</f>
        <v>7</v>
      </c>
      <c r="K512" s="17">
        <f>IFERROR(__xludf.DUMMYFUNCTION("""COMPUTED_VALUE"""),1.0)</f>
        <v>1</v>
      </c>
      <c r="L512" s="17">
        <f>IFERROR(__xludf.DUMMYFUNCTION("""COMPUTED_VALUE"""),0.0)</f>
        <v>0</v>
      </c>
      <c r="M512" s="17">
        <f>IFERROR(__xludf.DUMMYFUNCTION("""COMPUTED_VALUE"""),3.0)</f>
        <v>3</v>
      </c>
      <c r="N512" s="17">
        <f>IFERROR(__xludf.DUMMYFUNCTION("""COMPUTED_VALUE"""),9.0)</f>
        <v>9</v>
      </c>
      <c r="O512" s="17">
        <f>IFERROR(__xludf.DUMMYFUNCTION("""COMPUTED_VALUE"""),0.366)</f>
        <v>0.366</v>
      </c>
      <c r="P512" s="17">
        <f>IFERROR(__xludf.DUMMYFUNCTION("""COMPUTED_VALUE"""),0.637)</f>
        <v>0.637</v>
      </c>
      <c r="Q512" s="34">
        <f>IFERROR(__xludf.DUMMYFUNCTION("""COMPUTED_VALUE"""),0.0)</f>
        <v>0</v>
      </c>
      <c r="R512" s="34">
        <f>IFERROR(__xludf.DUMMYFUNCTION("""COMPUTED_VALUE"""),0.0)</f>
        <v>0</v>
      </c>
      <c r="S512" s="34">
        <f>IFERROR(__xludf.DUMMYFUNCTION("""COMPUTED_VALUE"""),0.0)</f>
        <v>0</v>
      </c>
      <c r="T512" s="17" t="str">
        <f t="shared" si="1"/>
        <v>Ryan Ward</v>
      </c>
    </row>
    <row r="513">
      <c r="A513" s="17">
        <f>IFERROR(__xludf.DUMMYFUNCTION("""COMPUTED_VALUE"""),513.0)</f>
        <v>513</v>
      </c>
      <c r="B513" s="17" t="str">
        <f>IFERROR(__xludf.DUMMYFUNCTION("""COMPUTED_VALUE"""),"Nate Eaton (BOS - 3B,CF,RF) MiLB")</f>
        <v>Nate Eaton (BOS - 3B,CF,RF) MiLB</v>
      </c>
      <c r="C513" s="17">
        <f>IFERROR(__xludf.DUMMYFUNCTION("""COMPUTED_VALUE"""),31.0)</f>
        <v>31</v>
      </c>
      <c r="D513" s="17">
        <f>IFERROR(__xludf.DUMMYFUNCTION("""COMPUTED_VALUE"""),4.0)</f>
        <v>4</v>
      </c>
      <c r="E513" s="17">
        <f>IFERROR(__xludf.DUMMYFUNCTION("""COMPUTED_VALUE"""),1.0)</f>
        <v>1</v>
      </c>
      <c r="F513" s="17">
        <f>IFERROR(__xludf.DUMMYFUNCTION("""COMPUTED_VALUE"""),3.0)</f>
        <v>3</v>
      </c>
      <c r="G513" s="17">
        <f>IFERROR(__xludf.DUMMYFUNCTION("""COMPUTED_VALUE"""),1.0)</f>
        <v>1</v>
      </c>
      <c r="H513" s="17">
        <f>IFERROR(__xludf.DUMMYFUNCTION("""COMPUTED_VALUE"""),0.219)</f>
        <v>0.219</v>
      </c>
      <c r="I513" s="17">
        <f>IFERROR(__xludf.DUMMYFUNCTION("""COMPUTED_VALUE"""),0.275)</f>
        <v>0.275</v>
      </c>
      <c r="J513" s="17">
        <f>IFERROR(__xludf.DUMMYFUNCTION("""COMPUTED_VALUE"""),7.0)</f>
        <v>7</v>
      </c>
      <c r="K513" s="17">
        <f>IFERROR(__xludf.DUMMYFUNCTION("""COMPUTED_VALUE"""),1.0)</f>
        <v>1</v>
      </c>
      <c r="L513" s="17">
        <f>IFERROR(__xludf.DUMMYFUNCTION("""COMPUTED_VALUE"""),0.0)</f>
        <v>0</v>
      </c>
      <c r="M513" s="17">
        <f>IFERROR(__xludf.DUMMYFUNCTION("""COMPUTED_VALUE"""),2.0)</f>
        <v>2</v>
      </c>
      <c r="N513" s="17">
        <f>IFERROR(__xludf.DUMMYFUNCTION("""COMPUTED_VALUE"""),8.0)</f>
        <v>8</v>
      </c>
      <c r="O513" s="17">
        <f>IFERROR(__xludf.DUMMYFUNCTION("""COMPUTED_VALUE"""),0.335)</f>
        <v>0.335</v>
      </c>
      <c r="P513" s="17">
        <f>IFERROR(__xludf.DUMMYFUNCTION("""COMPUTED_VALUE"""),0.609)</f>
        <v>0.609</v>
      </c>
      <c r="Q513" s="34">
        <f>IFERROR(__xludf.DUMMYFUNCTION("""COMPUTED_VALUE"""),0.0)</f>
        <v>0</v>
      </c>
      <c r="R513" s="34">
        <f>IFERROR(__xludf.DUMMYFUNCTION("""COMPUTED_VALUE"""),0.0)</f>
        <v>0</v>
      </c>
      <c r="S513" s="34">
        <f>IFERROR(__xludf.DUMMYFUNCTION("""COMPUTED_VALUE"""),0.0)</f>
        <v>0</v>
      </c>
      <c r="T513" s="17" t="str">
        <f t="shared" si="1"/>
        <v>Nate Eaton</v>
      </c>
    </row>
    <row r="514">
      <c r="A514" s="17">
        <f>IFERROR(__xludf.DUMMYFUNCTION("""COMPUTED_VALUE"""),514.0)</f>
        <v>514</v>
      </c>
      <c r="B514" s="17" t="str">
        <f>IFERROR(__xludf.DUMMYFUNCTION("""COMPUTED_VALUE"""),"Andrew Knizner (COL - C) MiLB")</f>
        <v>Andrew Knizner (COL - C) MiLB</v>
      </c>
      <c r="C514" s="17">
        <f>IFERROR(__xludf.DUMMYFUNCTION("""COMPUTED_VALUE"""),30.0)</f>
        <v>30</v>
      </c>
      <c r="D514" s="17">
        <f>IFERROR(__xludf.DUMMYFUNCTION("""COMPUTED_VALUE"""),4.0)</f>
        <v>4</v>
      </c>
      <c r="E514" s="17">
        <f>IFERROR(__xludf.DUMMYFUNCTION("""COMPUTED_VALUE"""),1.0)</f>
        <v>1</v>
      </c>
      <c r="F514" s="17">
        <f>IFERROR(__xludf.DUMMYFUNCTION("""COMPUTED_VALUE"""),4.0)</f>
        <v>4</v>
      </c>
      <c r="G514" s="17">
        <f>IFERROR(__xludf.DUMMYFUNCTION("""COMPUTED_VALUE"""),0.0)</f>
        <v>0</v>
      </c>
      <c r="H514" s="17">
        <f>IFERROR(__xludf.DUMMYFUNCTION("""COMPUTED_VALUE"""),0.221)</f>
        <v>0.221</v>
      </c>
      <c r="I514" s="17">
        <f>IFERROR(__xludf.DUMMYFUNCTION("""COMPUTED_VALUE"""),0.293)</f>
        <v>0.293</v>
      </c>
      <c r="J514" s="17">
        <f>IFERROR(__xludf.DUMMYFUNCTION("""COMPUTED_VALUE"""),7.0)</f>
        <v>7</v>
      </c>
      <c r="K514" s="17">
        <f>IFERROR(__xludf.DUMMYFUNCTION("""COMPUTED_VALUE"""),2.0)</f>
        <v>2</v>
      </c>
      <c r="L514" s="17">
        <f>IFERROR(__xludf.DUMMYFUNCTION("""COMPUTED_VALUE"""),0.0)</f>
        <v>0</v>
      </c>
      <c r="M514" s="17">
        <f>IFERROR(__xludf.DUMMYFUNCTION("""COMPUTED_VALUE"""),3.0)</f>
        <v>3</v>
      </c>
      <c r="N514" s="17">
        <f>IFERROR(__xludf.DUMMYFUNCTION("""COMPUTED_VALUE"""),7.0)</f>
        <v>7</v>
      </c>
      <c r="O514" s="17">
        <f>IFERROR(__xludf.DUMMYFUNCTION("""COMPUTED_VALUE"""),0.323)</f>
        <v>0.323</v>
      </c>
      <c r="P514" s="17">
        <f>IFERROR(__xludf.DUMMYFUNCTION("""COMPUTED_VALUE"""),0.616)</f>
        <v>0.616</v>
      </c>
      <c r="Q514" s="34">
        <f>IFERROR(__xludf.DUMMYFUNCTION("""COMPUTED_VALUE"""),0.0)</f>
        <v>0</v>
      </c>
      <c r="R514" s="34">
        <f>IFERROR(__xludf.DUMMYFUNCTION("""COMPUTED_VALUE"""),0.0)</f>
        <v>0</v>
      </c>
      <c r="S514" s="34">
        <f>IFERROR(__xludf.DUMMYFUNCTION("""COMPUTED_VALUE"""),0.0)</f>
        <v>0</v>
      </c>
      <c r="T514" s="17" t="str">
        <f t="shared" si="1"/>
        <v>Andrew Knizner</v>
      </c>
    </row>
    <row r="515">
      <c r="A515" s="17">
        <f>IFERROR(__xludf.DUMMYFUNCTION("""COMPUTED_VALUE"""),515.0)</f>
        <v>515</v>
      </c>
      <c r="B515" s="17" t="str">
        <f>IFERROR(__xludf.DUMMYFUNCTION("""COMPUTED_VALUE"""),"Zach Dezenzo (HOU - LF,RF) IL10")</f>
        <v>Zach Dezenzo (HOU - LF,RF) IL10</v>
      </c>
      <c r="C515" s="17">
        <f>IFERROR(__xludf.DUMMYFUNCTION("""COMPUTED_VALUE"""),30.0)</f>
        <v>30</v>
      </c>
      <c r="D515" s="17">
        <f>IFERROR(__xludf.DUMMYFUNCTION("""COMPUTED_VALUE"""),4.0)</f>
        <v>4</v>
      </c>
      <c r="E515" s="17">
        <f>IFERROR(__xludf.DUMMYFUNCTION("""COMPUTED_VALUE"""),1.0)</f>
        <v>1</v>
      </c>
      <c r="F515" s="17">
        <f>IFERROR(__xludf.DUMMYFUNCTION("""COMPUTED_VALUE"""),4.0)</f>
        <v>4</v>
      </c>
      <c r="G515" s="17">
        <f>IFERROR(__xludf.DUMMYFUNCTION("""COMPUTED_VALUE"""),0.0)</f>
        <v>0</v>
      </c>
      <c r="H515" s="17">
        <f>IFERROR(__xludf.DUMMYFUNCTION("""COMPUTED_VALUE"""),0.225)</f>
        <v>0.225</v>
      </c>
      <c r="I515" s="17">
        <f>IFERROR(__xludf.DUMMYFUNCTION("""COMPUTED_VALUE"""),0.289)</f>
        <v>0.289</v>
      </c>
      <c r="J515" s="17">
        <f>IFERROR(__xludf.DUMMYFUNCTION("""COMPUTED_VALUE"""),7.0)</f>
        <v>7</v>
      </c>
      <c r="K515" s="17">
        <f>IFERROR(__xludf.DUMMYFUNCTION("""COMPUTED_VALUE"""),2.0)</f>
        <v>2</v>
      </c>
      <c r="L515" s="17">
        <f>IFERROR(__xludf.DUMMYFUNCTION("""COMPUTED_VALUE"""),0.0)</f>
        <v>0</v>
      </c>
      <c r="M515" s="17">
        <f>IFERROR(__xludf.DUMMYFUNCTION("""COMPUTED_VALUE"""),3.0)</f>
        <v>3</v>
      </c>
      <c r="N515" s="17">
        <f>IFERROR(__xludf.DUMMYFUNCTION("""COMPUTED_VALUE"""),10.0)</f>
        <v>10</v>
      </c>
      <c r="O515" s="17">
        <f>IFERROR(__xludf.DUMMYFUNCTION("""COMPUTED_VALUE"""),0.371)</f>
        <v>0.371</v>
      </c>
      <c r="P515" s="17">
        <f>IFERROR(__xludf.DUMMYFUNCTION("""COMPUTED_VALUE"""),0.659)</f>
        <v>0.659</v>
      </c>
      <c r="Q515" s="34">
        <f>IFERROR(__xludf.DUMMYFUNCTION("""COMPUTED_VALUE"""),0.0)</f>
        <v>0</v>
      </c>
      <c r="R515" s="34">
        <f>IFERROR(__xludf.DUMMYFUNCTION("""COMPUTED_VALUE"""),0.0)</f>
        <v>0</v>
      </c>
      <c r="S515" s="34">
        <f>IFERROR(__xludf.DUMMYFUNCTION("""COMPUTED_VALUE"""),0.0)</f>
        <v>0</v>
      </c>
      <c r="T515" s="17" t="str">
        <f t="shared" si="1"/>
        <v>Zach Dezenzo</v>
      </c>
    </row>
    <row r="516">
      <c r="A516" s="17">
        <f>IFERROR(__xludf.DUMMYFUNCTION("""COMPUTED_VALUE"""),516.0)</f>
        <v>516</v>
      </c>
      <c r="B516" s="17" t="str">
        <f>IFERROR(__xludf.DUMMYFUNCTION("""COMPUTED_VALUE"""),"Tommy Pham (LF,CF,RF) FA")</f>
        <v>Tommy Pham (LF,CF,RF) FA</v>
      </c>
      <c r="C516" s="17">
        <f>IFERROR(__xludf.DUMMYFUNCTION("""COMPUTED_VALUE"""),25.0)</f>
        <v>25</v>
      </c>
      <c r="D516" s="17">
        <f>IFERROR(__xludf.DUMMYFUNCTION("""COMPUTED_VALUE"""),3.0)</f>
        <v>3</v>
      </c>
      <c r="E516" s="17">
        <f>IFERROR(__xludf.DUMMYFUNCTION("""COMPUTED_VALUE"""),1.0)</f>
        <v>1</v>
      </c>
      <c r="F516" s="17">
        <f>IFERROR(__xludf.DUMMYFUNCTION("""COMPUTED_VALUE"""),3.0)</f>
        <v>3</v>
      </c>
      <c r="G516" s="17">
        <f>IFERROR(__xludf.DUMMYFUNCTION("""COMPUTED_VALUE"""),1.0)</f>
        <v>1</v>
      </c>
      <c r="H516" s="17">
        <f>IFERROR(__xludf.DUMMYFUNCTION("""COMPUTED_VALUE"""),0.225)</f>
        <v>0.225</v>
      </c>
      <c r="I516" s="17">
        <f>IFERROR(__xludf.DUMMYFUNCTION("""COMPUTED_VALUE"""),0.297)</f>
        <v>0.297</v>
      </c>
      <c r="J516" s="17">
        <f>IFERROR(__xludf.DUMMYFUNCTION("""COMPUTED_VALUE"""),6.0)</f>
        <v>6</v>
      </c>
      <c r="K516" s="17">
        <f>IFERROR(__xludf.DUMMYFUNCTION("""COMPUTED_VALUE"""),1.0)</f>
        <v>1</v>
      </c>
      <c r="L516" s="17">
        <f>IFERROR(__xludf.DUMMYFUNCTION("""COMPUTED_VALUE"""),0.0)</f>
        <v>0</v>
      </c>
      <c r="M516" s="17">
        <f>IFERROR(__xludf.DUMMYFUNCTION("""COMPUTED_VALUE"""),3.0)</f>
        <v>3</v>
      </c>
      <c r="N516" s="17">
        <f>IFERROR(__xludf.DUMMYFUNCTION("""COMPUTED_VALUE"""),7.0)</f>
        <v>7</v>
      </c>
      <c r="O516" s="17">
        <f>IFERROR(__xludf.DUMMYFUNCTION("""COMPUTED_VALUE"""),0.328)</f>
        <v>0.328</v>
      </c>
      <c r="P516" s="17">
        <f>IFERROR(__xludf.DUMMYFUNCTION("""COMPUTED_VALUE"""),0.625)</f>
        <v>0.625</v>
      </c>
      <c r="Q516" s="34">
        <f>IFERROR(__xludf.DUMMYFUNCTION("""COMPUTED_VALUE"""),0.0)</f>
        <v>0</v>
      </c>
      <c r="R516" s="34">
        <f>IFERROR(__xludf.DUMMYFUNCTION("""COMPUTED_VALUE"""),0.0)</f>
        <v>0</v>
      </c>
      <c r="S516" s="34">
        <f>IFERROR(__xludf.DUMMYFUNCTION("""COMPUTED_VALUE"""),0.0)</f>
        <v>0</v>
      </c>
      <c r="T516" s="17" t="str">
        <f t="shared" si="1"/>
        <v>Tommy Pham</v>
      </c>
    </row>
    <row r="517">
      <c r="A517" s="17">
        <f>IFERROR(__xludf.DUMMYFUNCTION("""COMPUTED_VALUE"""),517.0)</f>
        <v>517</v>
      </c>
      <c r="B517" s="17" t="str">
        <f>IFERROR(__xludf.DUMMYFUNCTION("""COMPUTED_VALUE"""),"Charles McAdoo (TOR - 1B,3B) MiLB")</f>
        <v>Charles McAdoo (TOR - 1B,3B) MiLB</v>
      </c>
      <c r="C517" s="17">
        <f>IFERROR(__xludf.DUMMYFUNCTION("""COMPUTED_VALUE"""),25.0)</f>
        <v>25</v>
      </c>
      <c r="D517" s="17">
        <f>IFERROR(__xludf.DUMMYFUNCTION("""COMPUTED_VALUE"""),3.0)</f>
        <v>3</v>
      </c>
      <c r="E517" s="17">
        <f>IFERROR(__xludf.DUMMYFUNCTION("""COMPUTED_VALUE"""),1.0)</f>
        <v>1</v>
      </c>
      <c r="F517" s="17">
        <f>IFERROR(__xludf.DUMMYFUNCTION("""COMPUTED_VALUE"""),3.0)</f>
        <v>3</v>
      </c>
      <c r="G517" s="17">
        <f>IFERROR(__xludf.DUMMYFUNCTION("""COMPUTED_VALUE"""),1.0)</f>
        <v>1</v>
      </c>
      <c r="H517" s="17">
        <f>IFERROR(__xludf.DUMMYFUNCTION("""COMPUTED_VALUE"""),0.229)</f>
        <v>0.229</v>
      </c>
      <c r="I517" s="17">
        <f>IFERROR(__xludf.DUMMYFUNCTION("""COMPUTED_VALUE"""),0.288)</f>
        <v>0.288</v>
      </c>
      <c r="J517" s="17">
        <f>IFERROR(__xludf.DUMMYFUNCTION("""COMPUTED_VALUE"""),6.0)</f>
        <v>6</v>
      </c>
      <c r="K517" s="17">
        <f>IFERROR(__xludf.DUMMYFUNCTION("""COMPUTED_VALUE"""),1.0)</f>
        <v>1</v>
      </c>
      <c r="L517" s="17">
        <f>IFERROR(__xludf.DUMMYFUNCTION("""COMPUTED_VALUE"""),0.0)</f>
        <v>0</v>
      </c>
      <c r="M517" s="17">
        <f>IFERROR(__xludf.DUMMYFUNCTION("""COMPUTED_VALUE"""),2.0)</f>
        <v>2</v>
      </c>
      <c r="N517" s="17">
        <f>IFERROR(__xludf.DUMMYFUNCTION("""COMPUTED_VALUE"""),8.0)</f>
        <v>8</v>
      </c>
      <c r="O517" s="17">
        <f>IFERROR(__xludf.DUMMYFUNCTION("""COMPUTED_VALUE"""),0.395)</f>
        <v>0.395</v>
      </c>
      <c r="P517" s="17">
        <f>IFERROR(__xludf.DUMMYFUNCTION("""COMPUTED_VALUE"""),0.683)</f>
        <v>0.683</v>
      </c>
      <c r="Q517" s="34">
        <f>IFERROR(__xludf.DUMMYFUNCTION("""COMPUTED_VALUE"""),0.0)</f>
        <v>0</v>
      </c>
      <c r="R517" s="34">
        <f>IFERROR(__xludf.DUMMYFUNCTION("""COMPUTED_VALUE"""),0.0)</f>
        <v>0</v>
      </c>
      <c r="S517" s="34">
        <f>IFERROR(__xludf.DUMMYFUNCTION("""COMPUTED_VALUE"""),0.0)</f>
        <v>0</v>
      </c>
      <c r="T517" s="17" t="str">
        <f t="shared" si="1"/>
        <v>Charles McAdoo</v>
      </c>
    </row>
    <row r="518">
      <c r="A518" s="17">
        <f>IFERROR(__xludf.DUMMYFUNCTION("""COMPUTED_VALUE"""),518.0)</f>
        <v>518</v>
      </c>
      <c r="B518" s="17" t="str">
        <f>IFERROR(__xludf.DUMMYFUNCTION("""COMPUTED_VALUE"""),"Tyler Callihan (PIT - 2B,LF) MiLB")</f>
        <v>Tyler Callihan (PIT - 2B,LF) MiLB</v>
      </c>
      <c r="C518" s="17">
        <f>IFERROR(__xludf.DUMMYFUNCTION("""COMPUTED_VALUE"""),29.0)</f>
        <v>29</v>
      </c>
      <c r="D518" s="17">
        <f>IFERROR(__xludf.DUMMYFUNCTION("""COMPUTED_VALUE"""),3.0)</f>
        <v>3</v>
      </c>
      <c r="E518" s="17">
        <f>IFERROR(__xludf.DUMMYFUNCTION("""COMPUTED_VALUE"""),1.0)</f>
        <v>1</v>
      </c>
      <c r="F518" s="17">
        <f>IFERROR(__xludf.DUMMYFUNCTION("""COMPUTED_VALUE"""),3.0)</f>
        <v>3</v>
      </c>
      <c r="G518" s="17">
        <f>IFERROR(__xludf.DUMMYFUNCTION("""COMPUTED_VALUE"""),1.0)</f>
        <v>1</v>
      </c>
      <c r="H518" s="17">
        <f>IFERROR(__xludf.DUMMYFUNCTION("""COMPUTED_VALUE"""),0.225)</f>
        <v>0.225</v>
      </c>
      <c r="I518" s="17">
        <f>IFERROR(__xludf.DUMMYFUNCTION("""COMPUTED_VALUE"""),0.289)</f>
        <v>0.289</v>
      </c>
      <c r="J518" s="17">
        <f>IFERROR(__xludf.DUMMYFUNCTION("""COMPUTED_VALUE"""),7.0)</f>
        <v>7</v>
      </c>
      <c r="K518" s="17">
        <f>IFERROR(__xludf.DUMMYFUNCTION("""COMPUTED_VALUE"""),1.0)</f>
        <v>1</v>
      </c>
      <c r="L518" s="17">
        <f>IFERROR(__xludf.DUMMYFUNCTION("""COMPUTED_VALUE"""),0.0)</f>
        <v>0</v>
      </c>
      <c r="M518" s="17">
        <f>IFERROR(__xludf.DUMMYFUNCTION("""COMPUTED_VALUE"""),3.0)</f>
        <v>3</v>
      </c>
      <c r="N518" s="17">
        <f>IFERROR(__xludf.DUMMYFUNCTION("""COMPUTED_VALUE"""),8.0)</f>
        <v>8</v>
      </c>
      <c r="O518" s="17">
        <f>IFERROR(__xludf.DUMMYFUNCTION("""COMPUTED_VALUE"""),0.345)</f>
        <v>0.345</v>
      </c>
      <c r="P518" s="17">
        <f>IFERROR(__xludf.DUMMYFUNCTION("""COMPUTED_VALUE"""),0.634)</f>
        <v>0.634</v>
      </c>
      <c r="Q518" s="34">
        <f>IFERROR(__xludf.DUMMYFUNCTION("""COMPUTED_VALUE"""),0.0)</f>
        <v>0</v>
      </c>
      <c r="R518" s="34">
        <f>IFERROR(__xludf.DUMMYFUNCTION("""COMPUTED_VALUE"""),0.0)</f>
        <v>0</v>
      </c>
      <c r="S518" s="34">
        <f>IFERROR(__xludf.DUMMYFUNCTION("""COMPUTED_VALUE"""),0.0)</f>
        <v>0</v>
      </c>
      <c r="T518" s="17" t="str">
        <f t="shared" si="1"/>
        <v>Tyler Callihan</v>
      </c>
    </row>
    <row r="519">
      <c r="A519" s="17">
        <f>IFERROR(__xludf.DUMMYFUNCTION("""COMPUTED_VALUE"""),519.0)</f>
        <v>519</v>
      </c>
      <c r="B519" s="17" t="str">
        <f>IFERROR(__xludf.DUMMYFUNCTION("""COMPUTED_VALUE"""),"Petey Halpin (CLE - CF) MiLB")</f>
        <v>Petey Halpin (CLE - CF) MiLB</v>
      </c>
      <c r="C519" s="17">
        <f>IFERROR(__xludf.DUMMYFUNCTION("""COMPUTED_VALUE"""),34.0)</f>
        <v>34</v>
      </c>
      <c r="D519" s="17">
        <f>IFERROR(__xludf.DUMMYFUNCTION("""COMPUTED_VALUE"""),4.0)</f>
        <v>4</v>
      </c>
      <c r="E519" s="17">
        <f>IFERROR(__xludf.DUMMYFUNCTION("""COMPUTED_VALUE"""),1.0)</f>
        <v>1</v>
      </c>
      <c r="F519" s="17">
        <f>IFERROR(__xludf.DUMMYFUNCTION("""COMPUTED_VALUE"""),4.0)</f>
        <v>4</v>
      </c>
      <c r="G519" s="17">
        <f>IFERROR(__xludf.DUMMYFUNCTION("""COMPUTED_VALUE"""),1.0)</f>
        <v>1</v>
      </c>
      <c r="H519" s="17">
        <f>IFERROR(__xludf.DUMMYFUNCTION("""COMPUTED_VALUE"""),0.215)</f>
        <v>0.215</v>
      </c>
      <c r="I519" s="17">
        <f>IFERROR(__xludf.DUMMYFUNCTION("""COMPUTED_VALUE"""),0.274)</f>
        <v>0.274</v>
      </c>
      <c r="J519" s="17">
        <f>IFERROR(__xludf.DUMMYFUNCTION("""COMPUTED_VALUE"""),7.0)</f>
        <v>7</v>
      </c>
      <c r="K519" s="17">
        <f>IFERROR(__xludf.DUMMYFUNCTION("""COMPUTED_VALUE"""),2.0)</f>
        <v>2</v>
      </c>
      <c r="L519" s="17">
        <f>IFERROR(__xludf.DUMMYFUNCTION("""COMPUTED_VALUE"""),0.0)</f>
        <v>0</v>
      </c>
      <c r="M519" s="17">
        <f>IFERROR(__xludf.DUMMYFUNCTION("""COMPUTED_VALUE"""),3.0)</f>
        <v>3</v>
      </c>
      <c r="N519" s="17">
        <f>IFERROR(__xludf.DUMMYFUNCTION("""COMPUTED_VALUE"""),11.0)</f>
        <v>11</v>
      </c>
      <c r="O519" s="17">
        <f>IFERROR(__xludf.DUMMYFUNCTION("""COMPUTED_VALUE"""),0.339)</f>
        <v>0.339</v>
      </c>
      <c r="P519" s="17">
        <f>IFERROR(__xludf.DUMMYFUNCTION("""COMPUTED_VALUE"""),0.613)</f>
        <v>0.613</v>
      </c>
      <c r="Q519" s="34">
        <f>IFERROR(__xludf.DUMMYFUNCTION("""COMPUTED_VALUE"""),0.0)</f>
        <v>0</v>
      </c>
      <c r="R519" s="34">
        <f>IFERROR(__xludf.DUMMYFUNCTION("""COMPUTED_VALUE"""),0.0)</f>
        <v>0</v>
      </c>
      <c r="S519" s="34">
        <f>IFERROR(__xludf.DUMMYFUNCTION("""COMPUTED_VALUE"""),0.0)</f>
        <v>0</v>
      </c>
      <c r="T519" s="17" t="str">
        <f t="shared" si="1"/>
        <v>Petey Halpin</v>
      </c>
    </row>
    <row r="520">
      <c r="A520" s="17">
        <f>IFERROR(__xludf.DUMMYFUNCTION("""COMPUTED_VALUE"""),520.0)</f>
        <v>520</v>
      </c>
      <c r="B520" s="17" t="str">
        <f>IFERROR(__xludf.DUMMYFUNCTION("""COMPUTED_VALUE"""),"Nicky Lopez (CHC - 3B)")</f>
        <v>Nicky Lopez (CHC - 3B)</v>
      </c>
      <c r="C520" s="17">
        <f>IFERROR(__xludf.DUMMYFUNCTION("""COMPUTED_VALUE"""),44.0)</f>
        <v>44</v>
      </c>
      <c r="D520" s="17">
        <f>IFERROR(__xludf.DUMMYFUNCTION("""COMPUTED_VALUE"""),5.0)</f>
        <v>5</v>
      </c>
      <c r="E520" s="17">
        <f>IFERROR(__xludf.DUMMYFUNCTION("""COMPUTED_VALUE"""),0.0)</f>
        <v>0</v>
      </c>
      <c r="F520" s="17">
        <f>IFERROR(__xludf.DUMMYFUNCTION("""COMPUTED_VALUE"""),4.0)</f>
        <v>4</v>
      </c>
      <c r="G520" s="17">
        <f>IFERROR(__xludf.DUMMYFUNCTION("""COMPUTED_VALUE"""),1.0)</f>
        <v>1</v>
      </c>
      <c r="H520" s="17">
        <f>IFERROR(__xludf.DUMMYFUNCTION("""COMPUTED_VALUE"""),0.23)</f>
        <v>0.23</v>
      </c>
      <c r="I520" s="17">
        <f>IFERROR(__xludf.DUMMYFUNCTION("""COMPUTED_VALUE"""),0.295)</f>
        <v>0.295</v>
      </c>
      <c r="J520" s="17">
        <f>IFERROR(__xludf.DUMMYFUNCTION("""COMPUTED_VALUE"""),10.0)</f>
        <v>10</v>
      </c>
      <c r="K520" s="17">
        <f>IFERROR(__xludf.DUMMYFUNCTION("""COMPUTED_VALUE"""),2.0)</f>
        <v>2</v>
      </c>
      <c r="L520" s="17">
        <f>IFERROR(__xludf.DUMMYFUNCTION("""COMPUTED_VALUE"""),0.0)</f>
        <v>0</v>
      </c>
      <c r="M520" s="17">
        <f>IFERROR(__xludf.DUMMYFUNCTION("""COMPUTED_VALUE"""),4.0)</f>
        <v>4</v>
      </c>
      <c r="N520" s="17">
        <f>IFERROR(__xludf.DUMMYFUNCTION("""COMPUTED_VALUE"""),8.0)</f>
        <v>8</v>
      </c>
      <c r="O520" s="17">
        <f>IFERROR(__xludf.DUMMYFUNCTION("""COMPUTED_VALUE"""),0.276)</f>
        <v>0.276</v>
      </c>
      <c r="P520" s="17">
        <f>IFERROR(__xludf.DUMMYFUNCTION("""COMPUTED_VALUE"""),0.571)</f>
        <v>0.571</v>
      </c>
      <c r="Q520" s="34">
        <f>IFERROR(__xludf.DUMMYFUNCTION("""COMPUTED_VALUE"""),0.0)</f>
        <v>0</v>
      </c>
      <c r="R520" s="34">
        <f>IFERROR(__xludf.DUMMYFUNCTION("""COMPUTED_VALUE"""),0.0)</f>
        <v>0</v>
      </c>
      <c r="S520" s="34">
        <f>IFERROR(__xludf.DUMMYFUNCTION("""COMPUTED_VALUE"""),0.0)</f>
        <v>0</v>
      </c>
      <c r="T520" s="17" t="str">
        <f t="shared" si="1"/>
        <v>Nicky Lopez</v>
      </c>
    </row>
    <row r="521">
      <c r="A521" s="17">
        <f>IFERROR(__xludf.DUMMYFUNCTION("""COMPUTED_VALUE"""),521.0)</f>
        <v>521</v>
      </c>
      <c r="B521" s="17" t="str">
        <f>IFERROR(__xludf.DUMMYFUNCTION("""COMPUTED_VALUE"""),"Anthony Rendon (LAA - 3B) IL60")</f>
        <v>Anthony Rendon (LAA - 3B) IL60</v>
      </c>
      <c r="C521" s="17">
        <f>IFERROR(__xludf.DUMMYFUNCTION("""COMPUTED_VALUE"""),28.0)</f>
        <v>28</v>
      </c>
      <c r="D521" s="17">
        <f>IFERROR(__xludf.DUMMYFUNCTION("""COMPUTED_VALUE"""),4.0)</f>
        <v>4</v>
      </c>
      <c r="E521" s="17">
        <f>IFERROR(__xludf.DUMMYFUNCTION("""COMPUTED_VALUE"""),1.0)</f>
        <v>1</v>
      </c>
      <c r="F521" s="17">
        <f>IFERROR(__xludf.DUMMYFUNCTION("""COMPUTED_VALUE"""),3.0)</f>
        <v>3</v>
      </c>
      <c r="G521" s="17">
        <f>IFERROR(__xludf.DUMMYFUNCTION("""COMPUTED_VALUE"""),1.0)</f>
        <v>1</v>
      </c>
      <c r="H521" s="17">
        <f>IFERROR(__xludf.DUMMYFUNCTION("""COMPUTED_VALUE"""),0.222)</f>
        <v>0.222</v>
      </c>
      <c r="I521" s="17">
        <f>IFERROR(__xludf.DUMMYFUNCTION("""COMPUTED_VALUE"""),0.312)</f>
        <v>0.312</v>
      </c>
      <c r="J521" s="17">
        <f>IFERROR(__xludf.DUMMYFUNCTION("""COMPUTED_VALUE"""),6.0)</f>
        <v>6</v>
      </c>
      <c r="K521" s="17">
        <f>IFERROR(__xludf.DUMMYFUNCTION("""COMPUTED_VALUE"""),1.0)</f>
        <v>1</v>
      </c>
      <c r="L521" s="17">
        <f>IFERROR(__xludf.DUMMYFUNCTION("""COMPUTED_VALUE"""),0.0)</f>
        <v>0</v>
      </c>
      <c r="M521" s="17">
        <f>IFERROR(__xludf.DUMMYFUNCTION("""COMPUTED_VALUE"""),3.0)</f>
        <v>3</v>
      </c>
      <c r="N521" s="17">
        <f>IFERROR(__xludf.DUMMYFUNCTION("""COMPUTED_VALUE"""),6.0)</f>
        <v>6</v>
      </c>
      <c r="O521" s="17">
        <f>IFERROR(__xludf.DUMMYFUNCTION("""COMPUTED_VALUE"""),0.316)</f>
        <v>0.316</v>
      </c>
      <c r="P521" s="17">
        <f>IFERROR(__xludf.DUMMYFUNCTION("""COMPUTED_VALUE"""),0.627)</f>
        <v>0.627</v>
      </c>
      <c r="Q521" s="34">
        <f>IFERROR(__xludf.DUMMYFUNCTION("""COMPUTED_VALUE"""),0.0)</f>
        <v>0</v>
      </c>
      <c r="R521" s="34">
        <f>IFERROR(__xludf.DUMMYFUNCTION("""COMPUTED_VALUE"""),0.0)</f>
        <v>0</v>
      </c>
      <c r="S521" s="34">
        <f>IFERROR(__xludf.DUMMYFUNCTION("""COMPUTED_VALUE"""),0.0)</f>
        <v>0</v>
      </c>
      <c r="T521" s="17" t="str">
        <f t="shared" si="1"/>
        <v>Anthony Rendon</v>
      </c>
    </row>
    <row r="522">
      <c r="A522" s="17">
        <f>IFERROR(__xludf.DUMMYFUNCTION("""COMPUTED_VALUE"""),522.0)</f>
        <v>522</v>
      </c>
      <c r="B522" s="17" t="str">
        <f>IFERROR(__xludf.DUMMYFUNCTION("""COMPUTED_VALUE"""),"Alex Verdugo (SD - LF,RF) MiLB")</f>
        <v>Alex Verdugo (SD - LF,RF) MiLB</v>
      </c>
      <c r="C522" s="17">
        <f>IFERROR(__xludf.DUMMYFUNCTION("""COMPUTED_VALUE"""),26.0)</f>
        <v>26</v>
      </c>
      <c r="D522" s="17">
        <f>IFERROR(__xludf.DUMMYFUNCTION("""COMPUTED_VALUE"""),3.0)</f>
        <v>3</v>
      </c>
      <c r="E522" s="17">
        <f>IFERROR(__xludf.DUMMYFUNCTION("""COMPUTED_VALUE"""),1.0)</f>
        <v>1</v>
      </c>
      <c r="F522" s="17">
        <f>IFERROR(__xludf.DUMMYFUNCTION("""COMPUTED_VALUE"""),3.0)</f>
        <v>3</v>
      </c>
      <c r="G522" s="17">
        <f>IFERROR(__xludf.DUMMYFUNCTION("""COMPUTED_VALUE"""),0.0)</f>
        <v>0</v>
      </c>
      <c r="H522" s="17">
        <f>IFERROR(__xludf.DUMMYFUNCTION("""COMPUTED_VALUE"""),0.26)</f>
        <v>0.26</v>
      </c>
      <c r="I522" s="17">
        <f>IFERROR(__xludf.DUMMYFUNCTION("""COMPUTED_VALUE"""),0.327)</f>
        <v>0.327</v>
      </c>
      <c r="J522" s="17">
        <f>IFERROR(__xludf.DUMMYFUNCTION("""COMPUTED_VALUE"""),7.0)</f>
        <v>7</v>
      </c>
      <c r="K522" s="17">
        <f>IFERROR(__xludf.DUMMYFUNCTION("""COMPUTED_VALUE"""),2.0)</f>
        <v>2</v>
      </c>
      <c r="L522" s="17">
        <f>IFERROR(__xludf.DUMMYFUNCTION("""COMPUTED_VALUE"""),0.0)</f>
        <v>0</v>
      </c>
      <c r="M522" s="17">
        <f>IFERROR(__xludf.DUMMYFUNCTION("""COMPUTED_VALUE"""),3.0)</f>
        <v>3</v>
      </c>
      <c r="N522" s="17">
        <f>IFERROR(__xludf.DUMMYFUNCTION("""COMPUTED_VALUE"""),5.0)</f>
        <v>5</v>
      </c>
      <c r="O522" s="17">
        <f>IFERROR(__xludf.DUMMYFUNCTION("""COMPUTED_VALUE"""),0.38)</f>
        <v>0.38</v>
      </c>
      <c r="P522" s="17">
        <f>IFERROR(__xludf.DUMMYFUNCTION("""COMPUTED_VALUE"""),0.707)</f>
        <v>0.707</v>
      </c>
      <c r="Q522" s="34">
        <f>IFERROR(__xludf.DUMMYFUNCTION("""COMPUTED_VALUE"""),0.0)</f>
        <v>0</v>
      </c>
      <c r="R522" s="34">
        <f>IFERROR(__xludf.DUMMYFUNCTION("""COMPUTED_VALUE"""),0.0)</f>
        <v>0</v>
      </c>
      <c r="S522" s="34">
        <f>IFERROR(__xludf.DUMMYFUNCTION("""COMPUTED_VALUE"""),0.0)</f>
        <v>0</v>
      </c>
      <c r="T522" s="17" t="str">
        <f t="shared" si="1"/>
        <v>Alex Verdugo</v>
      </c>
    </row>
    <row r="523">
      <c r="A523" s="17">
        <f>IFERROR(__xludf.DUMMYFUNCTION("""COMPUTED_VALUE"""),523.0)</f>
        <v>523</v>
      </c>
      <c r="B523" s="17" t="str">
        <f>IFERROR(__xludf.DUMMYFUNCTION("""COMPUTED_VALUE"""),"Chas McCormick (CHC - LF,CF,RF) MiLB")</f>
        <v>Chas McCormick (CHC - LF,CF,RF) MiLB</v>
      </c>
      <c r="C523" s="17">
        <f>IFERROR(__xludf.DUMMYFUNCTION("""COMPUTED_VALUE"""),22.0)</f>
        <v>22</v>
      </c>
      <c r="D523" s="17">
        <f>IFERROR(__xludf.DUMMYFUNCTION("""COMPUTED_VALUE"""),3.0)</f>
        <v>3</v>
      </c>
      <c r="E523" s="17">
        <f>IFERROR(__xludf.DUMMYFUNCTION("""COMPUTED_VALUE"""),1.0)</f>
        <v>1</v>
      </c>
      <c r="F523" s="17">
        <f>IFERROR(__xludf.DUMMYFUNCTION("""COMPUTED_VALUE"""),3.0)</f>
        <v>3</v>
      </c>
      <c r="G523" s="17">
        <f>IFERROR(__xludf.DUMMYFUNCTION("""COMPUTED_VALUE"""),1.0)</f>
        <v>1</v>
      </c>
      <c r="H523" s="17">
        <f>IFERROR(__xludf.DUMMYFUNCTION("""COMPUTED_VALUE"""),0.212)</f>
        <v>0.212</v>
      </c>
      <c r="I523" s="17">
        <f>IFERROR(__xludf.DUMMYFUNCTION("""COMPUTED_VALUE"""),0.285)</f>
        <v>0.285</v>
      </c>
      <c r="J523" s="17">
        <f>IFERROR(__xludf.DUMMYFUNCTION("""COMPUTED_VALUE"""),5.0)</f>
        <v>5</v>
      </c>
      <c r="K523" s="17">
        <f>IFERROR(__xludf.DUMMYFUNCTION("""COMPUTED_VALUE"""),1.0)</f>
        <v>1</v>
      </c>
      <c r="L523" s="17">
        <f>IFERROR(__xludf.DUMMYFUNCTION("""COMPUTED_VALUE"""),0.0)</f>
        <v>0</v>
      </c>
      <c r="M523" s="17">
        <f>IFERROR(__xludf.DUMMYFUNCTION("""COMPUTED_VALUE"""),2.0)</f>
        <v>2</v>
      </c>
      <c r="N523" s="17">
        <f>IFERROR(__xludf.DUMMYFUNCTION("""COMPUTED_VALUE"""),7.0)</f>
        <v>7</v>
      </c>
      <c r="O523" s="17">
        <f>IFERROR(__xludf.DUMMYFUNCTION("""COMPUTED_VALUE"""),0.331)</f>
        <v>0.331</v>
      </c>
      <c r="P523" s="17">
        <f>IFERROR(__xludf.DUMMYFUNCTION("""COMPUTED_VALUE"""),0.616)</f>
        <v>0.616</v>
      </c>
      <c r="Q523" s="34">
        <f>IFERROR(__xludf.DUMMYFUNCTION("""COMPUTED_VALUE"""),0.01)</f>
        <v>0.01</v>
      </c>
      <c r="R523" s="34">
        <f>IFERROR(__xludf.DUMMYFUNCTION("""COMPUTED_VALUE"""),0.01)</f>
        <v>0.01</v>
      </c>
      <c r="S523" s="34">
        <f>IFERROR(__xludf.DUMMYFUNCTION("""COMPUTED_VALUE"""),0.0)</f>
        <v>0</v>
      </c>
      <c r="T523" s="17" t="str">
        <f t="shared" si="1"/>
        <v>Chas McCormick</v>
      </c>
    </row>
    <row r="524">
      <c r="A524" s="17">
        <f>IFERROR(__xludf.DUMMYFUNCTION("""COMPUTED_VALUE"""),524.0)</f>
        <v>524</v>
      </c>
      <c r="B524" s="17" t="str">
        <f>IFERROR(__xludf.DUMMYFUNCTION("""COMPUTED_VALUE"""),"Gabriel Rincones (PHI - LF,RF) MiLB")</f>
        <v>Gabriel Rincones (PHI - LF,RF) MiLB</v>
      </c>
      <c r="C524" s="17">
        <f>IFERROR(__xludf.DUMMYFUNCTION("""COMPUTED_VALUE"""),31.0)</f>
        <v>31</v>
      </c>
      <c r="D524" s="17">
        <f>IFERROR(__xludf.DUMMYFUNCTION("""COMPUTED_VALUE"""),4.0)</f>
        <v>4</v>
      </c>
      <c r="E524" s="17">
        <f>IFERROR(__xludf.DUMMYFUNCTION("""COMPUTED_VALUE"""),1.0)</f>
        <v>1</v>
      </c>
      <c r="F524" s="17">
        <f>IFERROR(__xludf.DUMMYFUNCTION("""COMPUTED_VALUE"""),4.0)</f>
        <v>4</v>
      </c>
      <c r="G524" s="17">
        <f>IFERROR(__xludf.DUMMYFUNCTION("""COMPUTED_VALUE"""),1.0)</f>
        <v>1</v>
      </c>
      <c r="H524" s="17">
        <f>IFERROR(__xludf.DUMMYFUNCTION("""COMPUTED_VALUE"""),0.211)</f>
        <v>0.211</v>
      </c>
      <c r="I524" s="17">
        <f>IFERROR(__xludf.DUMMYFUNCTION("""COMPUTED_VALUE"""),0.298)</f>
        <v>0.298</v>
      </c>
      <c r="J524" s="17">
        <f>IFERROR(__xludf.DUMMYFUNCTION("""COMPUTED_VALUE"""),6.0)</f>
        <v>6</v>
      </c>
      <c r="K524" s="17">
        <f>IFERROR(__xludf.DUMMYFUNCTION("""COMPUTED_VALUE"""),1.0)</f>
        <v>1</v>
      </c>
      <c r="L524" s="17">
        <f>IFERROR(__xludf.DUMMYFUNCTION("""COMPUTED_VALUE"""),0.0)</f>
        <v>0</v>
      </c>
      <c r="M524" s="17">
        <f>IFERROR(__xludf.DUMMYFUNCTION("""COMPUTED_VALUE"""),4.0)</f>
        <v>4</v>
      </c>
      <c r="N524" s="17">
        <f>IFERROR(__xludf.DUMMYFUNCTION("""COMPUTED_VALUE"""),9.0)</f>
        <v>9</v>
      </c>
      <c r="O524" s="17">
        <f>IFERROR(__xludf.DUMMYFUNCTION("""COMPUTED_VALUE"""),0.349)</f>
        <v>0.349</v>
      </c>
      <c r="P524" s="17">
        <f>IFERROR(__xludf.DUMMYFUNCTION("""COMPUTED_VALUE"""),0.647)</f>
        <v>0.647</v>
      </c>
      <c r="Q524" s="34">
        <f>IFERROR(__xludf.DUMMYFUNCTION("""COMPUTED_VALUE"""),0.0)</f>
        <v>0</v>
      </c>
      <c r="R524" s="34">
        <f>IFERROR(__xludf.DUMMYFUNCTION("""COMPUTED_VALUE"""),0.0)</f>
        <v>0</v>
      </c>
      <c r="S524" s="34">
        <f>IFERROR(__xludf.DUMMYFUNCTION("""COMPUTED_VALUE"""),0.0)</f>
        <v>0</v>
      </c>
      <c r="T524" s="17" t="str">
        <f t="shared" si="1"/>
        <v>Gabriel Rincones</v>
      </c>
    </row>
    <row r="525">
      <c r="A525" s="17">
        <f>IFERROR(__xludf.DUMMYFUNCTION("""COMPUTED_VALUE"""),525.0)</f>
        <v>525</v>
      </c>
      <c r="B525" s="17" t="str">
        <f>IFERROR(__xludf.DUMMYFUNCTION("""COMPUTED_VALUE"""),"Raynel Delgado (TB - 2B,SS) MiLB")</f>
        <v>Raynel Delgado (TB - 2B,SS) MiLB</v>
      </c>
      <c r="C525" s="17">
        <f>IFERROR(__xludf.DUMMYFUNCTION("""COMPUTED_VALUE"""),24.0)</f>
        <v>24</v>
      </c>
      <c r="D525" s="17">
        <f>IFERROR(__xludf.DUMMYFUNCTION("""COMPUTED_VALUE"""),3.0)</f>
        <v>3</v>
      </c>
      <c r="E525" s="17">
        <f>IFERROR(__xludf.DUMMYFUNCTION("""COMPUTED_VALUE"""),1.0)</f>
        <v>1</v>
      </c>
      <c r="F525" s="17">
        <f>IFERROR(__xludf.DUMMYFUNCTION("""COMPUTED_VALUE"""),2.0)</f>
        <v>2</v>
      </c>
      <c r="G525" s="17">
        <f>IFERROR(__xludf.DUMMYFUNCTION("""COMPUTED_VALUE"""),1.0)</f>
        <v>1</v>
      </c>
      <c r="H525" s="17">
        <f>IFERROR(__xludf.DUMMYFUNCTION("""COMPUTED_VALUE"""),0.239)</f>
        <v>0.239</v>
      </c>
      <c r="I525" s="17">
        <f>IFERROR(__xludf.DUMMYFUNCTION("""COMPUTED_VALUE"""),0.313)</f>
        <v>0.313</v>
      </c>
      <c r="J525" s="17">
        <f>IFERROR(__xludf.DUMMYFUNCTION("""COMPUTED_VALUE"""),6.0)</f>
        <v>6</v>
      </c>
      <c r="K525" s="17">
        <f>IFERROR(__xludf.DUMMYFUNCTION("""COMPUTED_VALUE"""),1.0)</f>
        <v>1</v>
      </c>
      <c r="L525" s="17">
        <f>IFERROR(__xludf.DUMMYFUNCTION("""COMPUTED_VALUE"""),0.0)</f>
        <v>0</v>
      </c>
      <c r="M525" s="17">
        <f>IFERROR(__xludf.DUMMYFUNCTION("""COMPUTED_VALUE"""),2.0)</f>
        <v>2</v>
      </c>
      <c r="N525" s="17">
        <f>IFERROR(__xludf.DUMMYFUNCTION("""COMPUTED_VALUE"""),7.0)</f>
        <v>7</v>
      </c>
      <c r="O525" s="17">
        <f>IFERROR(__xludf.DUMMYFUNCTION("""COMPUTED_VALUE"""),0.346)</f>
        <v>0.346</v>
      </c>
      <c r="P525" s="17">
        <f>IFERROR(__xludf.DUMMYFUNCTION("""COMPUTED_VALUE"""),0.659)</f>
        <v>0.659</v>
      </c>
      <c r="Q525" s="34">
        <f>IFERROR(__xludf.DUMMYFUNCTION("""COMPUTED_VALUE"""),0.0)</f>
        <v>0</v>
      </c>
      <c r="R525" s="34">
        <f>IFERROR(__xludf.DUMMYFUNCTION("""COMPUTED_VALUE"""),0.0)</f>
        <v>0</v>
      </c>
      <c r="S525" s="34">
        <f>IFERROR(__xludf.DUMMYFUNCTION("""COMPUTED_VALUE"""),0.0)</f>
        <v>0</v>
      </c>
      <c r="T525" s="17" t="str">
        <f t="shared" si="1"/>
        <v>Raynel Delgado</v>
      </c>
    </row>
    <row r="526">
      <c r="A526" s="17">
        <f>IFERROR(__xludf.DUMMYFUNCTION("""COMPUTED_VALUE"""),526.0)</f>
        <v>526</v>
      </c>
      <c r="B526" s="17" t="str">
        <f>IFERROR(__xludf.DUMMYFUNCTION("""COMPUTED_VALUE"""),"Luke Williams (ATL - 2B,SS) MiLB")</f>
        <v>Luke Williams (ATL - 2B,SS) MiLB</v>
      </c>
      <c r="C526" s="17">
        <f>IFERROR(__xludf.DUMMYFUNCTION("""COMPUTED_VALUE"""),26.0)</f>
        <v>26</v>
      </c>
      <c r="D526" s="17">
        <f>IFERROR(__xludf.DUMMYFUNCTION("""COMPUTED_VALUE"""),3.0)</f>
        <v>3</v>
      </c>
      <c r="E526" s="17">
        <f>IFERROR(__xludf.DUMMYFUNCTION("""COMPUTED_VALUE"""),1.0)</f>
        <v>1</v>
      </c>
      <c r="F526" s="17">
        <f>IFERROR(__xludf.DUMMYFUNCTION("""COMPUTED_VALUE"""),3.0)</f>
        <v>3</v>
      </c>
      <c r="G526" s="17">
        <f>IFERROR(__xludf.DUMMYFUNCTION("""COMPUTED_VALUE"""),2.0)</f>
        <v>2</v>
      </c>
      <c r="H526" s="17">
        <f>IFERROR(__xludf.DUMMYFUNCTION("""COMPUTED_VALUE"""),0.196)</f>
        <v>0.196</v>
      </c>
      <c r="I526" s="17">
        <f>IFERROR(__xludf.DUMMYFUNCTION("""COMPUTED_VALUE"""),0.268)</f>
        <v>0.268</v>
      </c>
      <c r="J526" s="17">
        <f>IFERROR(__xludf.DUMMYFUNCTION("""COMPUTED_VALUE"""),5.0)</f>
        <v>5</v>
      </c>
      <c r="K526" s="17">
        <f>IFERROR(__xludf.DUMMYFUNCTION("""COMPUTED_VALUE"""),1.0)</f>
        <v>1</v>
      </c>
      <c r="L526" s="17">
        <f>IFERROR(__xludf.DUMMYFUNCTION("""COMPUTED_VALUE"""),0.0)</f>
        <v>0</v>
      </c>
      <c r="M526" s="17">
        <f>IFERROR(__xludf.DUMMYFUNCTION("""COMPUTED_VALUE"""),2.0)</f>
        <v>2</v>
      </c>
      <c r="N526" s="17">
        <f>IFERROR(__xludf.DUMMYFUNCTION("""COMPUTED_VALUE"""),9.0)</f>
        <v>9</v>
      </c>
      <c r="O526" s="17">
        <f>IFERROR(__xludf.DUMMYFUNCTION("""COMPUTED_VALUE"""),0.295)</f>
        <v>0.295</v>
      </c>
      <c r="P526" s="17">
        <f>IFERROR(__xludf.DUMMYFUNCTION("""COMPUTED_VALUE"""),0.562)</f>
        <v>0.562</v>
      </c>
      <c r="Q526" s="34">
        <f>IFERROR(__xludf.DUMMYFUNCTION("""COMPUTED_VALUE"""),0.0)</f>
        <v>0</v>
      </c>
      <c r="R526" s="34">
        <f>IFERROR(__xludf.DUMMYFUNCTION("""COMPUTED_VALUE"""),0.0)</f>
        <v>0</v>
      </c>
      <c r="S526" s="34">
        <f>IFERROR(__xludf.DUMMYFUNCTION("""COMPUTED_VALUE"""),0.0)</f>
        <v>0</v>
      </c>
      <c r="T526" s="17" t="str">
        <f t="shared" si="1"/>
        <v>Luke Williams</v>
      </c>
    </row>
    <row r="527">
      <c r="A527" s="17">
        <f>IFERROR(__xludf.DUMMYFUNCTION("""COMPUTED_VALUE"""),527.0)</f>
        <v>527</v>
      </c>
      <c r="B527" s="17" t="str">
        <f>IFERROR(__xludf.DUMMYFUNCTION("""COMPUTED_VALUE"""),"Christian Encarnacion-Strand (BAL - 1B,3B) MiLB")</f>
        <v>Christian Encarnacion-Strand (BAL - 1B,3B) MiLB</v>
      </c>
      <c r="C527" s="17">
        <f>IFERROR(__xludf.DUMMYFUNCTION("""COMPUTED_VALUE"""),23.0)</f>
        <v>23</v>
      </c>
      <c r="D527" s="17">
        <f>IFERROR(__xludf.DUMMYFUNCTION("""COMPUTED_VALUE"""),3.0)</f>
        <v>3</v>
      </c>
      <c r="E527" s="17">
        <f>IFERROR(__xludf.DUMMYFUNCTION("""COMPUTED_VALUE"""),1.0)</f>
        <v>1</v>
      </c>
      <c r="F527" s="17">
        <f>IFERROR(__xludf.DUMMYFUNCTION("""COMPUTED_VALUE"""),3.0)</f>
        <v>3</v>
      </c>
      <c r="G527" s="17">
        <f>IFERROR(__xludf.DUMMYFUNCTION("""COMPUTED_VALUE"""),0.0)</f>
        <v>0</v>
      </c>
      <c r="H527" s="17">
        <f>IFERROR(__xludf.DUMMYFUNCTION("""COMPUTED_VALUE"""),0.247)</f>
        <v>0.247</v>
      </c>
      <c r="I527" s="17">
        <f>IFERROR(__xludf.DUMMYFUNCTION("""COMPUTED_VALUE"""),0.294)</f>
        <v>0.294</v>
      </c>
      <c r="J527" s="17">
        <f>IFERROR(__xludf.DUMMYFUNCTION("""COMPUTED_VALUE"""),6.0)</f>
        <v>6</v>
      </c>
      <c r="K527" s="17">
        <f>IFERROR(__xludf.DUMMYFUNCTION("""COMPUTED_VALUE"""),1.0)</f>
        <v>1</v>
      </c>
      <c r="L527" s="17">
        <f>IFERROR(__xludf.DUMMYFUNCTION("""COMPUTED_VALUE"""),0.0)</f>
        <v>0</v>
      </c>
      <c r="M527" s="17">
        <f>IFERROR(__xludf.DUMMYFUNCTION("""COMPUTED_VALUE"""),1.0)</f>
        <v>1</v>
      </c>
      <c r="N527" s="17">
        <f>IFERROR(__xludf.DUMMYFUNCTION("""COMPUTED_VALUE"""),7.0)</f>
        <v>7</v>
      </c>
      <c r="O527" s="17">
        <f>IFERROR(__xludf.DUMMYFUNCTION("""COMPUTED_VALUE"""),0.446)</f>
        <v>0.446</v>
      </c>
      <c r="P527" s="17">
        <f>IFERROR(__xludf.DUMMYFUNCTION("""COMPUTED_VALUE"""),0.74)</f>
        <v>0.74</v>
      </c>
      <c r="Q527" s="34">
        <f>IFERROR(__xludf.DUMMYFUNCTION("""COMPUTED_VALUE"""),0.0)</f>
        <v>0</v>
      </c>
      <c r="R527" s="34">
        <f>IFERROR(__xludf.DUMMYFUNCTION("""COMPUTED_VALUE"""),0.0)</f>
        <v>0</v>
      </c>
      <c r="S527" s="34">
        <f>IFERROR(__xludf.DUMMYFUNCTION("""COMPUTED_VALUE"""),0.0)</f>
        <v>0</v>
      </c>
      <c r="T527" s="17" t="str">
        <f t="shared" si="1"/>
        <v>Christian Encarnacion-Strand</v>
      </c>
    </row>
    <row r="528">
      <c r="A528" s="17">
        <f>IFERROR(__xludf.DUMMYFUNCTION("""COMPUTED_VALUE"""),528.0)</f>
        <v>528</v>
      </c>
      <c r="B528" s="17" t="str">
        <f>IFERROR(__xludf.DUMMYFUNCTION("""COMPUTED_VALUE"""),"Luke Maile (KC - C) MiLB")</f>
        <v>Luke Maile (KC - C) MiLB</v>
      </c>
      <c r="C528" s="17">
        <f>IFERROR(__xludf.DUMMYFUNCTION("""COMPUTED_VALUE"""),29.0)</f>
        <v>29</v>
      </c>
      <c r="D528" s="17">
        <f>IFERROR(__xludf.DUMMYFUNCTION("""COMPUTED_VALUE"""),4.0)</f>
        <v>4</v>
      </c>
      <c r="E528" s="17">
        <f>IFERROR(__xludf.DUMMYFUNCTION("""COMPUTED_VALUE"""),1.0)</f>
        <v>1</v>
      </c>
      <c r="F528" s="17">
        <f>IFERROR(__xludf.DUMMYFUNCTION("""COMPUTED_VALUE"""),3.0)</f>
        <v>3</v>
      </c>
      <c r="G528" s="17">
        <f>IFERROR(__xludf.DUMMYFUNCTION("""COMPUTED_VALUE"""),1.0)</f>
        <v>1</v>
      </c>
      <c r="H528" s="17">
        <f>IFERROR(__xludf.DUMMYFUNCTION("""COMPUTED_VALUE"""),0.211)</f>
        <v>0.211</v>
      </c>
      <c r="I528" s="17">
        <f>IFERROR(__xludf.DUMMYFUNCTION("""COMPUTED_VALUE"""),0.297)</f>
        <v>0.297</v>
      </c>
      <c r="J528" s="17">
        <f>IFERROR(__xludf.DUMMYFUNCTION("""COMPUTED_VALUE"""),6.0)</f>
        <v>6</v>
      </c>
      <c r="K528" s="17">
        <f>IFERROR(__xludf.DUMMYFUNCTION("""COMPUTED_VALUE"""),2.0)</f>
        <v>2</v>
      </c>
      <c r="L528" s="17">
        <f>IFERROR(__xludf.DUMMYFUNCTION("""COMPUTED_VALUE"""),0.0)</f>
        <v>0</v>
      </c>
      <c r="M528" s="17">
        <f>IFERROR(__xludf.DUMMYFUNCTION("""COMPUTED_VALUE"""),3.0)</f>
        <v>3</v>
      </c>
      <c r="N528" s="17">
        <f>IFERROR(__xludf.DUMMYFUNCTION("""COMPUTED_VALUE"""),9.0)</f>
        <v>9</v>
      </c>
      <c r="O528" s="17">
        <f>IFERROR(__xludf.DUMMYFUNCTION("""COMPUTED_VALUE"""),0.316)</f>
        <v>0.316</v>
      </c>
      <c r="P528" s="17">
        <f>IFERROR(__xludf.DUMMYFUNCTION("""COMPUTED_VALUE"""),0.613)</f>
        <v>0.613</v>
      </c>
      <c r="Q528" s="34">
        <f>IFERROR(__xludf.DUMMYFUNCTION("""COMPUTED_VALUE"""),0.0)</f>
        <v>0</v>
      </c>
      <c r="R528" s="34">
        <f>IFERROR(__xludf.DUMMYFUNCTION("""COMPUTED_VALUE"""),0.0)</f>
        <v>0</v>
      </c>
      <c r="S528" s="34">
        <f>IFERROR(__xludf.DUMMYFUNCTION("""COMPUTED_VALUE"""),0.0)</f>
        <v>0</v>
      </c>
      <c r="T528" s="17" t="str">
        <f t="shared" si="1"/>
        <v>Luke Maile</v>
      </c>
    </row>
    <row r="529">
      <c r="A529" s="17">
        <f>IFERROR(__xludf.DUMMYFUNCTION("""COMPUTED_VALUE"""),529.0)</f>
        <v>529</v>
      </c>
      <c r="B529" s="17" t="str">
        <f>IFERROR(__xludf.DUMMYFUNCTION("""COMPUTED_VALUE"""),"Luken Baker (ARI - 1B,DH) MiLB")</f>
        <v>Luken Baker (ARI - 1B,DH) MiLB</v>
      </c>
      <c r="C529" s="17">
        <f>IFERROR(__xludf.DUMMYFUNCTION("""COMPUTED_VALUE"""),28.0)</f>
        <v>28</v>
      </c>
      <c r="D529" s="17">
        <f>IFERROR(__xludf.DUMMYFUNCTION("""COMPUTED_VALUE"""),4.0)</f>
        <v>4</v>
      </c>
      <c r="E529" s="17">
        <f>IFERROR(__xludf.DUMMYFUNCTION("""COMPUTED_VALUE"""),1.0)</f>
        <v>1</v>
      </c>
      <c r="F529" s="17">
        <f>IFERROR(__xludf.DUMMYFUNCTION("""COMPUTED_VALUE"""),4.0)</f>
        <v>4</v>
      </c>
      <c r="G529" s="17">
        <f>IFERROR(__xludf.DUMMYFUNCTION("""COMPUTED_VALUE"""),0.0)</f>
        <v>0</v>
      </c>
      <c r="H529" s="17">
        <f>IFERROR(__xludf.DUMMYFUNCTION("""COMPUTED_VALUE"""),0.204)</f>
        <v>0.204</v>
      </c>
      <c r="I529" s="17">
        <f>IFERROR(__xludf.DUMMYFUNCTION("""COMPUTED_VALUE"""),0.295)</f>
        <v>0.295</v>
      </c>
      <c r="J529" s="17">
        <f>IFERROR(__xludf.DUMMYFUNCTION("""COMPUTED_VALUE"""),6.0)</f>
        <v>6</v>
      </c>
      <c r="K529" s="17">
        <f>IFERROR(__xludf.DUMMYFUNCTION("""COMPUTED_VALUE"""),1.0)</f>
        <v>1</v>
      </c>
      <c r="L529" s="17">
        <f>IFERROR(__xludf.DUMMYFUNCTION("""COMPUTED_VALUE"""),0.0)</f>
        <v>0</v>
      </c>
      <c r="M529" s="17">
        <f>IFERROR(__xludf.DUMMYFUNCTION("""COMPUTED_VALUE"""),4.0)</f>
        <v>4</v>
      </c>
      <c r="N529" s="17">
        <f>IFERROR(__xludf.DUMMYFUNCTION("""COMPUTED_VALUE"""),9.0)</f>
        <v>9</v>
      </c>
      <c r="O529" s="17">
        <f>IFERROR(__xludf.DUMMYFUNCTION("""COMPUTED_VALUE"""),0.353)</f>
        <v>0.353</v>
      </c>
      <c r="P529" s="17">
        <f>IFERROR(__xludf.DUMMYFUNCTION("""COMPUTED_VALUE"""),0.648)</f>
        <v>0.648</v>
      </c>
      <c r="Q529" s="34">
        <f>IFERROR(__xludf.DUMMYFUNCTION("""COMPUTED_VALUE"""),0.0)</f>
        <v>0</v>
      </c>
      <c r="R529" s="34">
        <f>IFERROR(__xludf.DUMMYFUNCTION("""COMPUTED_VALUE"""),0.0)</f>
        <v>0</v>
      </c>
      <c r="S529" s="34">
        <f>IFERROR(__xludf.DUMMYFUNCTION("""COMPUTED_VALUE"""),0.0)</f>
        <v>0</v>
      </c>
      <c r="T529" s="17" t="str">
        <f t="shared" si="1"/>
        <v>Luken Baker</v>
      </c>
    </row>
    <row r="530">
      <c r="A530" s="17">
        <f>IFERROR(__xludf.DUMMYFUNCTION("""COMPUTED_VALUE"""),530.0)</f>
        <v>530</v>
      </c>
      <c r="B530" s="17" t="str">
        <f>IFERROR(__xludf.DUMMYFUNCTION("""COMPUTED_VALUE"""),"Oscar Mercado (PHI - LF,RF) MiLB")</f>
        <v>Oscar Mercado (PHI - LF,RF) MiLB</v>
      </c>
      <c r="C530" s="17">
        <f>IFERROR(__xludf.DUMMYFUNCTION("""COMPUTED_VALUE"""),23.0)</f>
        <v>23</v>
      </c>
      <c r="D530" s="17">
        <f>IFERROR(__xludf.DUMMYFUNCTION("""COMPUTED_VALUE"""),3.0)</f>
        <v>3</v>
      </c>
      <c r="E530" s="17">
        <f>IFERROR(__xludf.DUMMYFUNCTION("""COMPUTED_VALUE"""),1.0)</f>
        <v>1</v>
      </c>
      <c r="F530" s="17">
        <f>IFERROR(__xludf.DUMMYFUNCTION("""COMPUTED_VALUE"""),3.0)</f>
        <v>3</v>
      </c>
      <c r="G530" s="17">
        <f>IFERROR(__xludf.DUMMYFUNCTION("""COMPUTED_VALUE"""),1.0)</f>
        <v>1</v>
      </c>
      <c r="H530" s="17">
        <f>IFERROR(__xludf.DUMMYFUNCTION("""COMPUTED_VALUE"""),0.2)</f>
        <v>0.2</v>
      </c>
      <c r="I530" s="17">
        <f>IFERROR(__xludf.DUMMYFUNCTION("""COMPUTED_VALUE"""),0.28)</f>
        <v>0.28</v>
      </c>
      <c r="J530" s="17">
        <f>IFERROR(__xludf.DUMMYFUNCTION("""COMPUTED_VALUE"""),5.0)</f>
        <v>5</v>
      </c>
      <c r="K530" s="17">
        <f>IFERROR(__xludf.DUMMYFUNCTION("""COMPUTED_VALUE"""),1.0)</f>
        <v>1</v>
      </c>
      <c r="L530" s="17">
        <f>IFERROR(__xludf.DUMMYFUNCTION("""COMPUTED_VALUE"""),0.0)</f>
        <v>0</v>
      </c>
      <c r="M530" s="17">
        <f>IFERROR(__xludf.DUMMYFUNCTION("""COMPUTED_VALUE"""),2.0)</f>
        <v>2</v>
      </c>
      <c r="N530" s="17">
        <f>IFERROR(__xludf.DUMMYFUNCTION("""COMPUTED_VALUE"""),6.0)</f>
        <v>6</v>
      </c>
      <c r="O530" s="17">
        <f>IFERROR(__xludf.DUMMYFUNCTION("""COMPUTED_VALUE"""),0.311)</f>
        <v>0.311</v>
      </c>
      <c r="P530" s="17">
        <f>IFERROR(__xludf.DUMMYFUNCTION("""COMPUTED_VALUE"""),0.591)</f>
        <v>0.591</v>
      </c>
      <c r="Q530" s="34">
        <f>IFERROR(__xludf.DUMMYFUNCTION("""COMPUTED_VALUE"""),0.0)</f>
        <v>0</v>
      </c>
      <c r="R530" s="34">
        <f>IFERROR(__xludf.DUMMYFUNCTION("""COMPUTED_VALUE"""),0.0)</f>
        <v>0</v>
      </c>
      <c r="S530" s="34">
        <f>IFERROR(__xludf.DUMMYFUNCTION("""COMPUTED_VALUE"""),0.0)</f>
        <v>0</v>
      </c>
      <c r="T530" s="17" t="str">
        <f t="shared" si="1"/>
        <v>Oscar Mercado</v>
      </c>
    </row>
    <row r="531">
      <c r="A531" s="17">
        <f>IFERROR(__xludf.DUMMYFUNCTION("""COMPUTED_VALUE"""),531.0)</f>
        <v>531</v>
      </c>
      <c r="B531" s="17" t="str">
        <f>IFERROR(__xludf.DUMMYFUNCTION("""COMPUTED_VALUE"""),"Nathan Martorella (MIA - 1B) MiLB")</f>
        <v>Nathan Martorella (MIA - 1B) MiLB</v>
      </c>
      <c r="C531" s="17">
        <f>IFERROR(__xludf.DUMMYFUNCTION("""COMPUTED_VALUE"""),23.0)</f>
        <v>23</v>
      </c>
      <c r="D531" s="17">
        <f>IFERROR(__xludf.DUMMYFUNCTION("""COMPUTED_VALUE"""),3.0)</f>
        <v>3</v>
      </c>
      <c r="E531" s="17">
        <f>IFERROR(__xludf.DUMMYFUNCTION("""COMPUTED_VALUE"""),1.0)</f>
        <v>1</v>
      </c>
      <c r="F531" s="17">
        <f>IFERROR(__xludf.DUMMYFUNCTION("""COMPUTED_VALUE"""),3.0)</f>
        <v>3</v>
      </c>
      <c r="G531" s="17">
        <f>IFERROR(__xludf.DUMMYFUNCTION("""COMPUTED_VALUE"""),1.0)</f>
        <v>1</v>
      </c>
      <c r="H531" s="17">
        <f>IFERROR(__xludf.DUMMYFUNCTION("""COMPUTED_VALUE"""),0.2)</f>
        <v>0.2</v>
      </c>
      <c r="I531" s="17">
        <f>IFERROR(__xludf.DUMMYFUNCTION("""COMPUTED_VALUE"""),0.294)</f>
        <v>0.294</v>
      </c>
      <c r="J531" s="17">
        <f>IFERROR(__xludf.DUMMYFUNCTION("""COMPUTED_VALUE"""),5.0)</f>
        <v>5</v>
      </c>
      <c r="K531" s="17">
        <f>IFERROR(__xludf.DUMMYFUNCTION("""COMPUTED_VALUE"""),1.0)</f>
        <v>1</v>
      </c>
      <c r="L531" s="17">
        <f>IFERROR(__xludf.DUMMYFUNCTION("""COMPUTED_VALUE"""),0.0)</f>
        <v>0</v>
      </c>
      <c r="M531" s="17">
        <f>IFERROR(__xludf.DUMMYFUNCTION("""COMPUTED_VALUE"""),3.0)</f>
        <v>3</v>
      </c>
      <c r="N531" s="17">
        <f>IFERROR(__xludf.DUMMYFUNCTION("""COMPUTED_VALUE"""),6.0)</f>
        <v>6</v>
      </c>
      <c r="O531" s="17">
        <f>IFERROR(__xludf.DUMMYFUNCTION("""COMPUTED_VALUE"""),0.312)</f>
        <v>0.312</v>
      </c>
      <c r="P531" s="17">
        <f>IFERROR(__xludf.DUMMYFUNCTION("""COMPUTED_VALUE"""),0.606)</f>
        <v>0.606</v>
      </c>
      <c r="Q531" s="34">
        <f>IFERROR(__xludf.DUMMYFUNCTION("""COMPUTED_VALUE"""),0.0)</f>
        <v>0</v>
      </c>
      <c r="R531" s="34">
        <f>IFERROR(__xludf.DUMMYFUNCTION("""COMPUTED_VALUE"""),0.0)</f>
        <v>0</v>
      </c>
      <c r="S531" s="34">
        <f>IFERROR(__xludf.DUMMYFUNCTION("""COMPUTED_VALUE"""),0.0)</f>
        <v>0</v>
      </c>
      <c r="T531" s="17" t="str">
        <f t="shared" si="1"/>
        <v>Nathan Martorella</v>
      </c>
    </row>
    <row r="532">
      <c r="A532" s="17">
        <f>IFERROR(__xludf.DUMMYFUNCTION("""COMPUTED_VALUE"""),532.0)</f>
        <v>532</v>
      </c>
      <c r="B532" s="17" t="str">
        <f>IFERROR(__xludf.DUMMYFUNCTION("""COMPUTED_VALUE"""),"Sam Huff (BAL - C) DFA")</f>
        <v>Sam Huff (BAL - C) DFA</v>
      </c>
      <c r="C532" s="17">
        <f>IFERROR(__xludf.DUMMYFUNCTION("""COMPUTED_VALUE"""),41.0)</f>
        <v>41</v>
      </c>
      <c r="D532" s="17">
        <f>IFERROR(__xludf.DUMMYFUNCTION("""COMPUTED_VALUE"""),5.0)</f>
        <v>5</v>
      </c>
      <c r="E532" s="17">
        <f>IFERROR(__xludf.DUMMYFUNCTION("""COMPUTED_VALUE"""),1.0)</f>
        <v>1</v>
      </c>
      <c r="F532" s="17">
        <f>IFERROR(__xludf.DUMMYFUNCTION("""COMPUTED_VALUE"""),5.0)</f>
        <v>5</v>
      </c>
      <c r="G532" s="17">
        <f>IFERROR(__xludf.DUMMYFUNCTION("""COMPUTED_VALUE"""),0.0)</f>
        <v>0</v>
      </c>
      <c r="H532" s="17">
        <f>IFERROR(__xludf.DUMMYFUNCTION("""COMPUTED_VALUE"""),0.188)</f>
        <v>0.188</v>
      </c>
      <c r="I532" s="17">
        <f>IFERROR(__xludf.DUMMYFUNCTION("""COMPUTED_VALUE"""),0.253)</f>
        <v>0.253</v>
      </c>
      <c r="J532" s="17">
        <f>IFERROR(__xludf.DUMMYFUNCTION("""COMPUTED_VALUE"""),8.0)</f>
        <v>8</v>
      </c>
      <c r="K532" s="17">
        <f>IFERROR(__xludf.DUMMYFUNCTION("""COMPUTED_VALUE"""),2.0)</f>
        <v>2</v>
      </c>
      <c r="L532" s="17">
        <f>IFERROR(__xludf.DUMMYFUNCTION("""COMPUTED_VALUE"""),0.0)</f>
        <v>0</v>
      </c>
      <c r="M532" s="17">
        <f>IFERROR(__xludf.DUMMYFUNCTION("""COMPUTED_VALUE"""),3.0)</f>
        <v>3</v>
      </c>
      <c r="N532" s="17">
        <f>IFERROR(__xludf.DUMMYFUNCTION("""COMPUTED_VALUE"""),16.0)</f>
        <v>16</v>
      </c>
      <c r="O532" s="17">
        <f>IFERROR(__xludf.DUMMYFUNCTION("""COMPUTED_VALUE"""),0.301)</f>
        <v>0.301</v>
      </c>
      <c r="P532" s="17">
        <f>IFERROR(__xludf.DUMMYFUNCTION("""COMPUTED_VALUE"""),0.554)</f>
        <v>0.554</v>
      </c>
      <c r="Q532" s="34">
        <f>IFERROR(__xludf.DUMMYFUNCTION("""COMPUTED_VALUE"""),0.0)</f>
        <v>0</v>
      </c>
      <c r="R532" s="34">
        <f>IFERROR(__xludf.DUMMYFUNCTION("""COMPUTED_VALUE"""),0.0)</f>
        <v>0</v>
      </c>
      <c r="S532" s="34">
        <f>IFERROR(__xludf.DUMMYFUNCTION("""COMPUTED_VALUE"""),0.0)</f>
        <v>0</v>
      </c>
      <c r="T532" s="17" t="str">
        <f t="shared" si="1"/>
        <v>Sam Huff</v>
      </c>
    </row>
    <row r="533">
      <c r="A533" s="17">
        <f>IFERROR(__xludf.DUMMYFUNCTION("""COMPUTED_VALUE"""),533.0)</f>
        <v>533</v>
      </c>
      <c r="B533" s="17" t="str">
        <f>IFERROR(__xludf.DUMMYFUNCTION("""COMPUTED_VALUE"""),"Cameron Cauley (TEX - 2B,SS,OF) MiLB")</f>
        <v>Cameron Cauley (TEX - 2B,SS,OF) MiLB</v>
      </c>
      <c r="C533" s="17">
        <f>IFERROR(__xludf.DUMMYFUNCTION("""COMPUTED_VALUE"""),21.0)</f>
        <v>21</v>
      </c>
      <c r="D533" s="17">
        <f>IFERROR(__xludf.DUMMYFUNCTION("""COMPUTED_VALUE"""),3.0)</f>
        <v>3</v>
      </c>
      <c r="E533" s="17">
        <f>IFERROR(__xludf.DUMMYFUNCTION("""COMPUTED_VALUE"""),1.0)</f>
        <v>1</v>
      </c>
      <c r="F533" s="17">
        <f>IFERROR(__xludf.DUMMYFUNCTION("""COMPUTED_VALUE"""),2.0)</f>
        <v>2</v>
      </c>
      <c r="G533" s="17">
        <f>IFERROR(__xludf.DUMMYFUNCTION("""COMPUTED_VALUE"""),1.0)</f>
        <v>1</v>
      </c>
      <c r="H533" s="17">
        <f>IFERROR(__xludf.DUMMYFUNCTION("""COMPUTED_VALUE"""),0.213)</f>
        <v>0.213</v>
      </c>
      <c r="I533" s="17">
        <f>IFERROR(__xludf.DUMMYFUNCTION("""COMPUTED_VALUE"""),0.274)</f>
        <v>0.274</v>
      </c>
      <c r="J533" s="17">
        <f>IFERROR(__xludf.DUMMYFUNCTION("""COMPUTED_VALUE"""),5.0)</f>
        <v>5</v>
      </c>
      <c r="K533" s="17">
        <f>IFERROR(__xludf.DUMMYFUNCTION("""COMPUTED_VALUE"""),1.0)</f>
        <v>1</v>
      </c>
      <c r="L533" s="17">
        <f>IFERROR(__xludf.DUMMYFUNCTION("""COMPUTED_VALUE"""),0.0)</f>
        <v>0</v>
      </c>
      <c r="M533" s="17">
        <f>IFERROR(__xludf.DUMMYFUNCTION("""COMPUTED_VALUE"""),2.0)</f>
        <v>2</v>
      </c>
      <c r="N533" s="17">
        <f>IFERROR(__xludf.DUMMYFUNCTION("""COMPUTED_VALUE"""),7.0)</f>
        <v>7</v>
      </c>
      <c r="O533" s="17">
        <f>IFERROR(__xludf.DUMMYFUNCTION("""COMPUTED_VALUE"""),0.337)</f>
        <v>0.337</v>
      </c>
      <c r="P533" s="17">
        <f>IFERROR(__xludf.DUMMYFUNCTION("""COMPUTED_VALUE"""),0.611)</f>
        <v>0.611</v>
      </c>
      <c r="Q533" s="34">
        <f>IFERROR(__xludf.DUMMYFUNCTION("""COMPUTED_VALUE"""),0.0)</f>
        <v>0</v>
      </c>
      <c r="R533" s="34">
        <f>IFERROR(__xludf.DUMMYFUNCTION("""COMPUTED_VALUE"""),0.0)</f>
        <v>0</v>
      </c>
      <c r="S533" s="34">
        <f>IFERROR(__xludf.DUMMYFUNCTION("""COMPUTED_VALUE"""),0.0)</f>
        <v>0</v>
      </c>
      <c r="T533" s="17" t="str">
        <f t="shared" si="1"/>
        <v>Cameron Cauley</v>
      </c>
    </row>
    <row r="534">
      <c r="A534" s="17">
        <f>IFERROR(__xludf.DUMMYFUNCTION("""COMPUTED_VALUE"""),534.0)</f>
        <v>534</v>
      </c>
      <c r="B534" s="17" t="str">
        <f>IFERROR(__xludf.DUMMYFUNCTION("""COMPUTED_VALUE"""),"Rowdy Tellez (ATL - 1B) MiLB")</f>
        <v>Rowdy Tellez (ATL - 1B) MiLB</v>
      </c>
      <c r="C534" s="17">
        <f>IFERROR(__xludf.DUMMYFUNCTION("""COMPUTED_VALUE"""),20.0)</f>
        <v>20</v>
      </c>
      <c r="D534" s="17">
        <f>IFERROR(__xludf.DUMMYFUNCTION("""COMPUTED_VALUE"""),3.0)</f>
        <v>3</v>
      </c>
      <c r="E534" s="17">
        <f>IFERROR(__xludf.DUMMYFUNCTION("""COMPUTED_VALUE"""),1.0)</f>
        <v>1</v>
      </c>
      <c r="F534" s="17">
        <f>IFERROR(__xludf.DUMMYFUNCTION("""COMPUTED_VALUE"""),3.0)</f>
        <v>3</v>
      </c>
      <c r="G534" s="17">
        <f>IFERROR(__xludf.DUMMYFUNCTION("""COMPUTED_VALUE"""),0.0)</f>
        <v>0</v>
      </c>
      <c r="H534" s="17">
        <f>IFERROR(__xludf.DUMMYFUNCTION("""COMPUTED_VALUE"""),0.229)</f>
        <v>0.229</v>
      </c>
      <c r="I534" s="17">
        <f>IFERROR(__xludf.DUMMYFUNCTION("""COMPUTED_VALUE"""),0.291)</f>
        <v>0.291</v>
      </c>
      <c r="J534" s="17">
        <f>IFERROR(__xludf.DUMMYFUNCTION("""COMPUTED_VALUE"""),5.0)</f>
        <v>5</v>
      </c>
      <c r="K534" s="17">
        <f>IFERROR(__xludf.DUMMYFUNCTION("""COMPUTED_VALUE"""),1.0)</f>
        <v>1</v>
      </c>
      <c r="L534" s="17">
        <f>IFERROR(__xludf.DUMMYFUNCTION("""COMPUTED_VALUE"""),0.0)</f>
        <v>0</v>
      </c>
      <c r="M534" s="17">
        <f>IFERROR(__xludf.DUMMYFUNCTION("""COMPUTED_VALUE"""),2.0)</f>
        <v>2</v>
      </c>
      <c r="N534" s="17">
        <f>IFERROR(__xludf.DUMMYFUNCTION("""COMPUTED_VALUE"""),5.0)</f>
        <v>5</v>
      </c>
      <c r="O534" s="17">
        <f>IFERROR(__xludf.DUMMYFUNCTION("""COMPUTED_VALUE"""),0.432)</f>
        <v>0.432</v>
      </c>
      <c r="P534" s="17">
        <f>IFERROR(__xludf.DUMMYFUNCTION("""COMPUTED_VALUE"""),0.723)</f>
        <v>0.723</v>
      </c>
      <c r="Q534" s="34">
        <f>IFERROR(__xludf.DUMMYFUNCTION("""COMPUTED_VALUE"""),0.0)</f>
        <v>0</v>
      </c>
      <c r="R534" s="34">
        <f>IFERROR(__xludf.DUMMYFUNCTION("""COMPUTED_VALUE"""),0.0)</f>
        <v>0</v>
      </c>
      <c r="S534" s="34">
        <f>IFERROR(__xludf.DUMMYFUNCTION("""COMPUTED_VALUE"""),0.0)</f>
        <v>0</v>
      </c>
      <c r="T534" s="17" t="str">
        <f t="shared" si="1"/>
        <v>Rowdy Tellez</v>
      </c>
    </row>
    <row r="535">
      <c r="A535" s="17">
        <f>IFERROR(__xludf.DUMMYFUNCTION("""COMPUTED_VALUE"""),535.0)</f>
        <v>535</v>
      </c>
      <c r="B535" s="17" t="str">
        <f>IFERROR(__xludf.DUMMYFUNCTION("""COMPUTED_VALUE"""),"Matt Mervis (1B) FA")</f>
        <v>Matt Mervis (1B) FA</v>
      </c>
      <c r="C535" s="17">
        <f>IFERROR(__xludf.DUMMYFUNCTION("""COMPUTED_VALUE"""),20.0)</f>
        <v>20</v>
      </c>
      <c r="D535" s="17">
        <f>IFERROR(__xludf.DUMMYFUNCTION("""COMPUTED_VALUE"""),3.0)</f>
        <v>3</v>
      </c>
      <c r="E535" s="17">
        <f>IFERROR(__xludf.DUMMYFUNCTION("""COMPUTED_VALUE"""),1.0)</f>
        <v>1</v>
      </c>
      <c r="F535" s="17">
        <f>IFERROR(__xludf.DUMMYFUNCTION("""COMPUTED_VALUE"""),3.0)</f>
        <v>3</v>
      </c>
      <c r="G535" s="17">
        <f>IFERROR(__xludf.DUMMYFUNCTION("""COMPUTED_VALUE"""),0.0)</f>
        <v>0</v>
      </c>
      <c r="H535" s="17">
        <f>IFERROR(__xludf.DUMMYFUNCTION("""COMPUTED_VALUE"""),0.23)</f>
        <v>0.23</v>
      </c>
      <c r="I535" s="17">
        <f>IFERROR(__xludf.DUMMYFUNCTION("""COMPUTED_VALUE"""),0.317)</f>
        <v>0.317</v>
      </c>
      <c r="J535" s="17">
        <f>IFERROR(__xludf.DUMMYFUNCTION("""COMPUTED_VALUE"""),5.0)</f>
        <v>5</v>
      </c>
      <c r="K535" s="17">
        <f>IFERROR(__xludf.DUMMYFUNCTION("""COMPUTED_VALUE"""),1.0)</f>
        <v>1</v>
      </c>
      <c r="L535" s="17">
        <f>IFERROR(__xludf.DUMMYFUNCTION("""COMPUTED_VALUE"""),0.0)</f>
        <v>0</v>
      </c>
      <c r="M535" s="17">
        <f>IFERROR(__xludf.DUMMYFUNCTION("""COMPUTED_VALUE"""),2.0)</f>
        <v>2</v>
      </c>
      <c r="N535" s="17">
        <f>IFERROR(__xludf.DUMMYFUNCTION("""COMPUTED_VALUE"""),7.0)</f>
        <v>7</v>
      </c>
      <c r="O535" s="17">
        <f>IFERROR(__xludf.DUMMYFUNCTION("""COMPUTED_VALUE"""),0.434)</f>
        <v>0.434</v>
      </c>
      <c r="P535" s="17">
        <f>IFERROR(__xludf.DUMMYFUNCTION("""COMPUTED_VALUE"""),0.751)</f>
        <v>0.751</v>
      </c>
      <c r="Q535" s="34">
        <f>IFERROR(__xludf.DUMMYFUNCTION("""COMPUTED_VALUE"""),0.0)</f>
        <v>0</v>
      </c>
      <c r="R535" s="34">
        <f>IFERROR(__xludf.DUMMYFUNCTION("""COMPUTED_VALUE"""),0.0)</f>
        <v>0</v>
      </c>
      <c r="S535" s="34">
        <f>IFERROR(__xludf.DUMMYFUNCTION("""COMPUTED_VALUE"""),0.0)</f>
        <v>0</v>
      </c>
      <c r="T535" s="17" t="str">
        <f t="shared" si="1"/>
        <v>Matt Mervis</v>
      </c>
    </row>
    <row r="536">
      <c r="A536" s="17">
        <f>IFERROR(__xludf.DUMMYFUNCTION("""COMPUTED_VALUE"""),536.0)</f>
        <v>536</v>
      </c>
      <c r="B536" s="17" t="str">
        <f>IFERROR(__xludf.DUMMYFUNCTION("""COMPUTED_VALUE"""),"Jose Miranda (SD - 1B,3B) MiLB")</f>
        <v>Jose Miranda (SD - 1B,3B) MiLB</v>
      </c>
      <c r="C536" s="17">
        <f>IFERROR(__xludf.DUMMYFUNCTION("""COMPUTED_VALUE"""),24.0)</f>
        <v>24</v>
      </c>
      <c r="D536" s="17">
        <f>IFERROR(__xludf.DUMMYFUNCTION("""COMPUTED_VALUE"""),3.0)</f>
        <v>3</v>
      </c>
      <c r="E536" s="17">
        <f>IFERROR(__xludf.DUMMYFUNCTION("""COMPUTED_VALUE"""),1.0)</f>
        <v>1</v>
      </c>
      <c r="F536" s="17">
        <f>IFERROR(__xludf.DUMMYFUNCTION("""COMPUTED_VALUE"""),3.0)</f>
        <v>3</v>
      </c>
      <c r="G536" s="17">
        <f>IFERROR(__xludf.DUMMYFUNCTION("""COMPUTED_VALUE"""),0.0)</f>
        <v>0</v>
      </c>
      <c r="H536" s="17">
        <f>IFERROR(__xludf.DUMMYFUNCTION("""COMPUTED_VALUE"""),0.23)</f>
        <v>0.23</v>
      </c>
      <c r="I536" s="17">
        <f>IFERROR(__xludf.DUMMYFUNCTION("""COMPUTED_VALUE"""),0.286)</f>
        <v>0.286</v>
      </c>
      <c r="J536" s="17">
        <f>IFERROR(__xludf.DUMMYFUNCTION("""COMPUTED_VALUE"""),6.0)</f>
        <v>6</v>
      </c>
      <c r="K536" s="17">
        <f>IFERROR(__xludf.DUMMYFUNCTION("""COMPUTED_VALUE"""),1.0)</f>
        <v>1</v>
      </c>
      <c r="L536" s="17">
        <f>IFERROR(__xludf.DUMMYFUNCTION("""COMPUTED_VALUE"""),0.0)</f>
        <v>0</v>
      </c>
      <c r="M536" s="17">
        <f>IFERROR(__xludf.DUMMYFUNCTION("""COMPUTED_VALUE"""),2.0)</f>
        <v>2</v>
      </c>
      <c r="N536" s="17">
        <f>IFERROR(__xludf.DUMMYFUNCTION("""COMPUTED_VALUE"""),5.0)</f>
        <v>5</v>
      </c>
      <c r="O536" s="17">
        <f>IFERROR(__xludf.DUMMYFUNCTION("""COMPUTED_VALUE"""),0.352)</f>
        <v>0.352</v>
      </c>
      <c r="P536" s="17">
        <f>IFERROR(__xludf.DUMMYFUNCTION("""COMPUTED_VALUE"""),0.637)</f>
        <v>0.637</v>
      </c>
      <c r="Q536" s="34">
        <f>IFERROR(__xludf.DUMMYFUNCTION("""COMPUTED_VALUE"""),0.0)</f>
        <v>0</v>
      </c>
      <c r="R536" s="34">
        <f>IFERROR(__xludf.DUMMYFUNCTION("""COMPUTED_VALUE"""),0.0)</f>
        <v>0</v>
      </c>
      <c r="S536" s="34">
        <f>IFERROR(__xludf.DUMMYFUNCTION("""COMPUTED_VALUE"""),0.0)</f>
        <v>0</v>
      </c>
      <c r="T536" s="17" t="str">
        <f t="shared" si="1"/>
        <v>Jose Miranda</v>
      </c>
    </row>
    <row r="537">
      <c r="A537" s="17">
        <f>IFERROR(__xludf.DUMMYFUNCTION("""COMPUTED_VALUE"""),537.0)</f>
        <v>537</v>
      </c>
      <c r="B537" s="17" t="str">
        <f>IFERROR(__xludf.DUMMYFUNCTION("""COMPUTED_VALUE"""),"Eric Wagaman (NYM - 1B,LF)")</f>
        <v>Eric Wagaman (NYM - 1B,LF)</v>
      </c>
      <c r="C537" s="17">
        <f>IFERROR(__xludf.DUMMYFUNCTION("""COMPUTED_VALUE"""),28.0)</f>
        <v>28</v>
      </c>
      <c r="D537" s="17">
        <f>IFERROR(__xludf.DUMMYFUNCTION("""COMPUTED_VALUE"""),3.0)</f>
        <v>3</v>
      </c>
      <c r="E537" s="17">
        <f>IFERROR(__xludf.DUMMYFUNCTION("""COMPUTED_VALUE"""),1.0)</f>
        <v>1</v>
      </c>
      <c r="F537" s="17">
        <f>IFERROR(__xludf.DUMMYFUNCTION("""COMPUTED_VALUE"""),3.0)</f>
        <v>3</v>
      </c>
      <c r="G537" s="17">
        <f>IFERROR(__xludf.DUMMYFUNCTION("""COMPUTED_VALUE"""),0.0)</f>
        <v>0</v>
      </c>
      <c r="H537" s="17">
        <f>IFERROR(__xludf.DUMMYFUNCTION("""COMPUTED_VALUE"""),0.245)</f>
        <v>0.245</v>
      </c>
      <c r="I537" s="17">
        <f>IFERROR(__xludf.DUMMYFUNCTION("""COMPUTED_VALUE"""),0.304)</f>
        <v>0.304</v>
      </c>
      <c r="J537" s="17">
        <f>IFERROR(__xludf.DUMMYFUNCTION("""COMPUTED_VALUE"""),7.0)</f>
        <v>7</v>
      </c>
      <c r="K537" s="17">
        <f>IFERROR(__xludf.DUMMYFUNCTION("""COMPUTED_VALUE"""),1.0)</f>
        <v>1</v>
      </c>
      <c r="L537" s="17">
        <f>IFERROR(__xludf.DUMMYFUNCTION("""COMPUTED_VALUE"""),0.0)</f>
        <v>0</v>
      </c>
      <c r="M537" s="17">
        <f>IFERROR(__xludf.DUMMYFUNCTION("""COMPUTED_VALUE"""),2.0)</f>
        <v>2</v>
      </c>
      <c r="N537" s="17">
        <f>IFERROR(__xludf.DUMMYFUNCTION("""COMPUTED_VALUE"""),7.0)</f>
        <v>7</v>
      </c>
      <c r="O537" s="17">
        <f>IFERROR(__xludf.DUMMYFUNCTION("""COMPUTED_VALUE"""),0.376)</f>
        <v>0.376</v>
      </c>
      <c r="P537" s="17">
        <f>IFERROR(__xludf.DUMMYFUNCTION("""COMPUTED_VALUE"""),0.679)</f>
        <v>0.679</v>
      </c>
      <c r="Q537" s="34">
        <f>IFERROR(__xludf.DUMMYFUNCTION("""COMPUTED_VALUE"""),0.0)</f>
        <v>0</v>
      </c>
      <c r="R537" s="34">
        <f>IFERROR(__xludf.DUMMYFUNCTION("""COMPUTED_VALUE"""),0.0)</f>
        <v>0</v>
      </c>
      <c r="S537" s="34">
        <f>IFERROR(__xludf.DUMMYFUNCTION("""COMPUTED_VALUE"""),0.0)</f>
        <v>0</v>
      </c>
      <c r="T537" s="17" t="str">
        <f t="shared" si="1"/>
        <v>Eric Wagaman</v>
      </c>
    </row>
    <row r="538">
      <c r="A538" s="17">
        <f>IFERROR(__xludf.DUMMYFUNCTION("""COMPUTED_VALUE"""),538.0)</f>
        <v>538</v>
      </c>
      <c r="B538" s="17" t="str">
        <f>IFERROR(__xludf.DUMMYFUNCTION("""COMPUTED_VALUE"""),"Kenedy Corona (NYY - LF,CF,RF) MiLB")</f>
        <v>Kenedy Corona (NYY - LF,CF,RF) MiLB</v>
      </c>
      <c r="C538" s="17">
        <f>IFERROR(__xludf.DUMMYFUNCTION("""COMPUTED_VALUE"""),24.0)</f>
        <v>24</v>
      </c>
      <c r="D538" s="17">
        <f>IFERROR(__xludf.DUMMYFUNCTION("""COMPUTED_VALUE"""),3.0)</f>
        <v>3</v>
      </c>
      <c r="E538" s="17">
        <f>IFERROR(__xludf.DUMMYFUNCTION("""COMPUTED_VALUE"""),1.0)</f>
        <v>1</v>
      </c>
      <c r="F538" s="17">
        <f>IFERROR(__xludf.DUMMYFUNCTION("""COMPUTED_VALUE"""),3.0)</f>
        <v>3</v>
      </c>
      <c r="G538" s="17">
        <f>IFERROR(__xludf.DUMMYFUNCTION("""COMPUTED_VALUE"""),1.0)</f>
        <v>1</v>
      </c>
      <c r="H538" s="17">
        <f>IFERROR(__xludf.DUMMYFUNCTION("""COMPUTED_VALUE"""),0.196)</f>
        <v>0.196</v>
      </c>
      <c r="I538" s="17">
        <f>IFERROR(__xludf.DUMMYFUNCTION("""COMPUTED_VALUE"""),0.275)</f>
        <v>0.275</v>
      </c>
      <c r="J538" s="17">
        <f>IFERROR(__xludf.DUMMYFUNCTION("""COMPUTED_VALUE"""),5.0)</f>
        <v>5</v>
      </c>
      <c r="K538" s="17">
        <f>IFERROR(__xludf.DUMMYFUNCTION("""COMPUTED_VALUE"""),1.0)</f>
        <v>1</v>
      </c>
      <c r="L538" s="17">
        <f>IFERROR(__xludf.DUMMYFUNCTION("""COMPUTED_VALUE"""),0.0)</f>
        <v>0</v>
      </c>
      <c r="M538" s="17">
        <f>IFERROR(__xludf.DUMMYFUNCTION("""COMPUTED_VALUE"""),2.0)</f>
        <v>2</v>
      </c>
      <c r="N538" s="17">
        <f>IFERROR(__xludf.DUMMYFUNCTION("""COMPUTED_VALUE"""),7.0)</f>
        <v>7</v>
      </c>
      <c r="O538" s="17">
        <f>IFERROR(__xludf.DUMMYFUNCTION("""COMPUTED_VALUE"""),0.305)</f>
        <v>0.305</v>
      </c>
      <c r="P538" s="17">
        <f>IFERROR(__xludf.DUMMYFUNCTION("""COMPUTED_VALUE"""),0.58)</f>
        <v>0.58</v>
      </c>
      <c r="Q538" s="34">
        <f>IFERROR(__xludf.DUMMYFUNCTION("""COMPUTED_VALUE"""),0.0)</f>
        <v>0</v>
      </c>
      <c r="R538" s="34">
        <f>IFERROR(__xludf.DUMMYFUNCTION("""COMPUTED_VALUE"""),0.0)</f>
        <v>0</v>
      </c>
      <c r="S538" s="34">
        <f>IFERROR(__xludf.DUMMYFUNCTION("""COMPUTED_VALUE"""),0.0)</f>
        <v>0</v>
      </c>
      <c r="T538" s="17" t="str">
        <f t="shared" si="1"/>
        <v>Kenedy Corona</v>
      </c>
    </row>
    <row r="539">
      <c r="A539" s="17">
        <f>IFERROR(__xludf.DUMMYFUNCTION("""COMPUTED_VALUE"""),539.0)</f>
        <v>539</v>
      </c>
      <c r="B539" s="17" t="str">
        <f>IFERROR(__xludf.DUMMYFUNCTION("""COMPUTED_VALUE"""),"Logan Davidson (TB - 1B,3B) MiLB")</f>
        <v>Logan Davidson (TB - 1B,3B) MiLB</v>
      </c>
      <c r="C539" s="17">
        <f>IFERROR(__xludf.DUMMYFUNCTION("""COMPUTED_VALUE"""),24.0)</f>
        <v>24</v>
      </c>
      <c r="D539" s="17">
        <f>IFERROR(__xludf.DUMMYFUNCTION("""COMPUTED_VALUE"""),3.0)</f>
        <v>3</v>
      </c>
      <c r="E539" s="17">
        <f>IFERROR(__xludf.DUMMYFUNCTION("""COMPUTED_VALUE"""),1.0)</f>
        <v>1</v>
      </c>
      <c r="F539" s="17">
        <f>IFERROR(__xludf.DUMMYFUNCTION("""COMPUTED_VALUE"""),3.0)</f>
        <v>3</v>
      </c>
      <c r="G539" s="17">
        <f>IFERROR(__xludf.DUMMYFUNCTION("""COMPUTED_VALUE"""),1.0)</f>
        <v>1</v>
      </c>
      <c r="H539" s="17">
        <f>IFERROR(__xludf.DUMMYFUNCTION("""COMPUTED_VALUE"""),0.196)</f>
        <v>0.196</v>
      </c>
      <c r="I539" s="17">
        <f>IFERROR(__xludf.DUMMYFUNCTION("""COMPUTED_VALUE"""),0.288)</f>
        <v>0.288</v>
      </c>
      <c r="J539" s="17">
        <f>IFERROR(__xludf.DUMMYFUNCTION("""COMPUTED_VALUE"""),5.0)</f>
        <v>5</v>
      </c>
      <c r="K539" s="17">
        <f>IFERROR(__xludf.DUMMYFUNCTION("""COMPUTED_VALUE"""),1.0)</f>
        <v>1</v>
      </c>
      <c r="L539" s="17">
        <f>IFERROR(__xludf.DUMMYFUNCTION("""COMPUTED_VALUE"""),0.0)</f>
        <v>0</v>
      </c>
      <c r="M539" s="17">
        <f>IFERROR(__xludf.DUMMYFUNCTION("""COMPUTED_VALUE"""),3.0)</f>
        <v>3</v>
      </c>
      <c r="N539" s="17">
        <f>IFERROR(__xludf.DUMMYFUNCTION("""COMPUTED_VALUE"""),9.0)</f>
        <v>9</v>
      </c>
      <c r="O539" s="17">
        <f>IFERROR(__xludf.DUMMYFUNCTION("""COMPUTED_VALUE"""),0.304)</f>
        <v>0.304</v>
      </c>
      <c r="P539" s="17">
        <f>IFERROR(__xludf.DUMMYFUNCTION("""COMPUTED_VALUE"""),0.592)</f>
        <v>0.592</v>
      </c>
      <c r="Q539" s="34">
        <f>IFERROR(__xludf.DUMMYFUNCTION("""COMPUTED_VALUE"""),0.0)</f>
        <v>0</v>
      </c>
      <c r="R539" s="34">
        <f>IFERROR(__xludf.DUMMYFUNCTION("""COMPUTED_VALUE"""),0.0)</f>
        <v>0</v>
      </c>
      <c r="S539" s="34">
        <f>IFERROR(__xludf.DUMMYFUNCTION("""COMPUTED_VALUE"""),0.0)</f>
        <v>0</v>
      </c>
      <c r="T539" s="17" t="str">
        <f t="shared" si="1"/>
        <v>Logan Davidson</v>
      </c>
    </row>
    <row r="540">
      <c r="A540" s="17">
        <f>IFERROR(__xludf.DUMMYFUNCTION("""COMPUTED_VALUE"""),540.0)</f>
        <v>540</v>
      </c>
      <c r="B540" s="17" t="str">
        <f>IFERROR(__xludf.DUMMYFUNCTION("""COMPUTED_VALUE"""),"Brian Navarreto (MIA - C) MiLB")</f>
        <v>Brian Navarreto (MIA - C) MiLB</v>
      </c>
      <c r="C540" s="17">
        <f>IFERROR(__xludf.DUMMYFUNCTION("""COMPUTED_VALUE"""),24.0)</f>
        <v>24</v>
      </c>
      <c r="D540" s="17">
        <f>IFERROR(__xludf.DUMMYFUNCTION("""COMPUTED_VALUE"""),3.0)</f>
        <v>3</v>
      </c>
      <c r="E540" s="17">
        <f>IFERROR(__xludf.DUMMYFUNCTION("""COMPUTED_VALUE"""),1.0)</f>
        <v>1</v>
      </c>
      <c r="F540" s="17">
        <f>IFERROR(__xludf.DUMMYFUNCTION("""COMPUTED_VALUE"""),3.0)</f>
        <v>3</v>
      </c>
      <c r="G540" s="17">
        <f>IFERROR(__xludf.DUMMYFUNCTION("""COMPUTED_VALUE"""),1.0)</f>
        <v>1</v>
      </c>
      <c r="H540" s="17">
        <f>IFERROR(__xludf.DUMMYFUNCTION("""COMPUTED_VALUE"""),0.217)</f>
        <v>0.217</v>
      </c>
      <c r="I540" s="17">
        <f>IFERROR(__xludf.DUMMYFUNCTION("""COMPUTED_VALUE"""),0.28)</f>
        <v>0.28</v>
      </c>
      <c r="J540" s="17">
        <f>IFERROR(__xludf.DUMMYFUNCTION("""COMPUTED_VALUE"""),5.0)</f>
        <v>5</v>
      </c>
      <c r="K540" s="17">
        <f>IFERROR(__xludf.DUMMYFUNCTION("""COMPUTED_VALUE"""),1.0)</f>
        <v>1</v>
      </c>
      <c r="L540" s="17">
        <f>IFERROR(__xludf.DUMMYFUNCTION("""COMPUTED_VALUE"""),0.0)</f>
        <v>0</v>
      </c>
      <c r="M540" s="17">
        <f>IFERROR(__xludf.DUMMYFUNCTION("""COMPUTED_VALUE"""),2.0)</f>
        <v>2</v>
      </c>
      <c r="N540" s="17">
        <f>IFERROR(__xludf.DUMMYFUNCTION("""COMPUTED_VALUE"""),6.0)</f>
        <v>6</v>
      </c>
      <c r="O540" s="17">
        <f>IFERROR(__xludf.DUMMYFUNCTION("""COMPUTED_VALUE"""),0.326)</f>
        <v>0.326</v>
      </c>
      <c r="P540" s="17">
        <f>IFERROR(__xludf.DUMMYFUNCTION("""COMPUTED_VALUE"""),0.605)</f>
        <v>0.605</v>
      </c>
      <c r="Q540" s="34">
        <f>IFERROR(__xludf.DUMMYFUNCTION("""COMPUTED_VALUE"""),0.0)</f>
        <v>0</v>
      </c>
      <c r="R540" s="34">
        <f>IFERROR(__xludf.DUMMYFUNCTION("""COMPUTED_VALUE"""),0.0)</f>
        <v>0</v>
      </c>
      <c r="S540" s="34">
        <f>IFERROR(__xludf.DUMMYFUNCTION("""COMPUTED_VALUE"""),0.0)</f>
        <v>0</v>
      </c>
      <c r="T540" s="17" t="str">
        <f t="shared" si="1"/>
        <v>Brian Navarreto</v>
      </c>
    </row>
    <row r="541">
      <c r="A541" s="17">
        <f>IFERROR(__xludf.DUMMYFUNCTION("""COMPUTED_VALUE"""),541.0)</f>
        <v>541</v>
      </c>
      <c r="B541" s="17" t="str">
        <f>IFERROR(__xludf.DUMMYFUNCTION("""COMPUTED_VALUE"""),"Tirso Ornelas (SD - LF) MiLB")</f>
        <v>Tirso Ornelas (SD - LF) MiLB</v>
      </c>
      <c r="C541" s="17">
        <f>IFERROR(__xludf.DUMMYFUNCTION("""COMPUTED_VALUE"""),24.0)</f>
        <v>24</v>
      </c>
      <c r="D541" s="17">
        <f>IFERROR(__xludf.DUMMYFUNCTION("""COMPUTED_VALUE"""),3.0)</f>
        <v>3</v>
      </c>
      <c r="E541" s="17">
        <f>IFERROR(__xludf.DUMMYFUNCTION("""COMPUTED_VALUE"""),1.0)</f>
        <v>1</v>
      </c>
      <c r="F541" s="17">
        <f>IFERROR(__xludf.DUMMYFUNCTION("""COMPUTED_VALUE"""),3.0)</f>
        <v>3</v>
      </c>
      <c r="G541" s="17">
        <f>IFERROR(__xludf.DUMMYFUNCTION("""COMPUTED_VALUE"""),1.0)</f>
        <v>1</v>
      </c>
      <c r="H541" s="17">
        <f>IFERROR(__xludf.DUMMYFUNCTION("""COMPUTED_VALUE"""),0.214)</f>
        <v>0.214</v>
      </c>
      <c r="I541" s="17">
        <f>IFERROR(__xludf.DUMMYFUNCTION("""COMPUTED_VALUE"""),0.289)</f>
        <v>0.289</v>
      </c>
      <c r="J541" s="17">
        <f>IFERROR(__xludf.DUMMYFUNCTION("""COMPUTED_VALUE"""),5.0)</f>
        <v>5</v>
      </c>
      <c r="K541" s="17">
        <f>IFERROR(__xludf.DUMMYFUNCTION("""COMPUTED_VALUE"""),1.0)</f>
        <v>1</v>
      </c>
      <c r="L541" s="17">
        <f>IFERROR(__xludf.DUMMYFUNCTION("""COMPUTED_VALUE"""),0.0)</f>
        <v>0</v>
      </c>
      <c r="M541" s="17">
        <f>IFERROR(__xludf.DUMMYFUNCTION("""COMPUTED_VALUE"""),3.0)</f>
        <v>3</v>
      </c>
      <c r="N541" s="17">
        <f>IFERROR(__xludf.DUMMYFUNCTION("""COMPUTED_VALUE"""),6.0)</f>
        <v>6</v>
      </c>
      <c r="O541" s="17">
        <f>IFERROR(__xludf.DUMMYFUNCTION("""COMPUTED_VALUE"""),0.321)</f>
        <v>0.321</v>
      </c>
      <c r="P541" s="17">
        <f>IFERROR(__xludf.DUMMYFUNCTION("""COMPUTED_VALUE"""),0.61)</f>
        <v>0.61</v>
      </c>
      <c r="Q541" s="34">
        <f>IFERROR(__xludf.DUMMYFUNCTION("""COMPUTED_VALUE"""),0.0)</f>
        <v>0</v>
      </c>
      <c r="R541" s="34">
        <f>IFERROR(__xludf.DUMMYFUNCTION("""COMPUTED_VALUE"""),0.0)</f>
        <v>0</v>
      </c>
      <c r="S541" s="34">
        <f>IFERROR(__xludf.DUMMYFUNCTION("""COMPUTED_VALUE"""),0.0)</f>
        <v>0</v>
      </c>
      <c r="T541" s="17" t="str">
        <f t="shared" si="1"/>
        <v>Tirso Ornelas</v>
      </c>
    </row>
    <row r="542">
      <c r="A542" s="17">
        <f>IFERROR(__xludf.DUMMYFUNCTION("""COMPUTED_VALUE"""),542.0)</f>
        <v>542</v>
      </c>
      <c r="B542" s="17" t="str">
        <f>IFERROR(__xludf.DUMMYFUNCTION("""COMPUTED_VALUE"""),"Peyton Wilson (KC - 2B) MiLB")</f>
        <v>Peyton Wilson (KC - 2B) MiLB</v>
      </c>
      <c r="C542" s="17">
        <f>IFERROR(__xludf.DUMMYFUNCTION("""COMPUTED_VALUE"""),24.0)</f>
        <v>24</v>
      </c>
      <c r="D542" s="17">
        <f>IFERROR(__xludf.DUMMYFUNCTION("""COMPUTED_VALUE"""),3.0)</f>
        <v>3</v>
      </c>
      <c r="E542" s="17">
        <f>IFERROR(__xludf.DUMMYFUNCTION("""COMPUTED_VALUE"""),1.0)</f>
        <v>1</v>
      </c>
      <c r="F542" s="17">
        <f>IFERROR(__xludf.DUMMYFUNCTION("""COMPUTED_VALUE"""),3.0)</f>
        <v>3</v>
      </c>
      <c r="G542" s="17">
        <f>IFERROR(__xludf.DUMMYFUNCTION("""COMPUTED_VALUE"""),1.0)</f>
        <v>1</v>
      </c>
      <c r="H542" s="17">
        <f>IFERROR(__xludf.DUMMYFUNCTION("""COMPUTED_VALUE"""),0.218)</f>
        <v>0.218</v>
      </c>
      <c r="I542" s="17">
        <f>IFERROR(__xludf.DUMMYFUNCTION("""COMPUTED_VALUE"""),0.308)</f>
        <v>0.308</v>
      </c>
      <c r="J542" s="17">
        <f>IFERROR(__xludf.DUMMYFUNCTION("""COMPUTED_VALUE"""),5.0)</f>
        <v>5</v>
      </c>
      <c r="K542" s="17">
        <f>IFERROR(__xludf.DUMMYFUNCTION("""COMPUTED_VALUE"""),1.0)</f>
        <v>1</v>
      </c>
      <c r="L542" s="17">
        <f>IFERROR(__xludf.DUMMYFUNCTION("""COMPUTED_VALUE"""),0.0)</f>
        <v>0</v>
      </c>
      <c r="M542" s="17">
        <f>IFERROR(__xludf.DUMMYFUNCTION("""COMPUTED_VALUE"""),3.0)</f>
        <v>3</v>
      </c>
      <c r="N542" s="17">
        <f>IFERROR(__xludf.DUMMYFUNCTION("""COMPUTED_VALUE"""),7.0)</f>
        <v>7</v>
      </c>
      <c r="O542" s="17">
        <f>IFERROR(__xludf.DUMMYFUNCTION("""COMPUTED_VALUE"""),0.327)</f>
        <v>0.327</v>
      </c>
      <c r="P542" s="17">
        <f>IFERROR(__xludf.DUMMYFUNCTION("""COMPUTED_VALUE"""),0.634)</f>
        <v>0.634</v>
      </c>
      <c r="Q542" s="34">
        <f>IFERROR(__xludf.DUMMYFUNCTION("""COMPUTED_VALUE"""),0.0)</f>
        <v>0</v>
      </c>
      <c r="R542" s="34">
        <f>IFERROR(__xludf.DUMMYFUNCTION("""COMPUTED_VALUE"""),0.0)</f>
        <v>0</v>
      </c>
      <c r="S542" s="34">
        <f>IFERROR(__xludf.DUMMYFUNCTION("""COMPUTED_VALUE"""),0.0)</f>
        <v>0</v>
      </c>
      <c r="T542" s="17" t="str">
        <f t="shared" si="1"/>
        <v>Peyton Wilson</v>
      </c>
    </row>
    <row r="543">
      <c r="A543" s="17">
        <f>IFERROR(__xludf.DUMMYFUNCTION("""COMPUTED_VALUE"""),543.0)</f>
        <v>543</v>
      </c>
      <c r="B543" s="17" t="str">
        <f>IFERROR(__xludf.DUMMYFUNCTION("""COMPUTED_VALUE"""),"Gavin Cross (KC - RF) MiLB")</f>
        <v>Gavin Cross (KC - RF) MiLB</v>
      </c>
      <c r="C543" s="17">
        <f>IFERROR(__xludf.DUMMYFUNCTION("""COMPUTED_VALUE"""),24.0)</f>
        <v>24</v>
      </c>
      <c r="D543" s="17">
        <f>IFERROR(__xludf.DUMMYFUNCTION("""COMPUTED_VALUE"""),3.0)</f>
        <v>3</v>
      </c>
      <c r="E543" s="17">
        <f>IFERROR(__xludf.DUMMYFUNCTION("""COMPUTED_VALUE"""),1.0)</f>
        <v>1</v>
      </c>
      <c r="F543" s="17">
        <f>IFERROR(__xludf.DUMMYFUNCTION("""COMPUTED_VALUE"""),3.0)</f>
        <v>3</v>
      </c>
      <c r="G543" s="17">
        <f>IFERROR(__xludf.DUMMYFUNCTION("""COMPUTED_VALUE"""),1.0)</f>
        <v>1</v>
      </c>
      <c r="H543" s="17">
        <f>IFERROR(__xludf.DUMMYFUNCTION("""COMPUTED_VALUE"""),0.192)</f>
        <v>0.192</v>
      </c>
      <c r="I543" s="17">
        <f>IFERROR(__xludf.DUMMYFUNCTION("""COMPUTED_VALUE"""),0.255)</f>
        <v>0.255</v>
      </c>
      <c r="J543" s="17">
        <f>IFERROR(__xludf.DUMMYFUNCTION("""COMPUTED_VALUE"""),5.0)</f>
        <v>5</v>
      </c>
      <c r="K543" s="17">
        <f>IFERROR(__xludf.DUMMYFUNCTION("""COMPUTED_VALUE"""),1.0)</f>
        <v>1</v>
      </c>
      <c r="L543" s="17">
        <f>IFERROR(__xludf.DUMMYFUNCTION("""COMPUTED_VALUE"""),0.0)</f>
        <v>0</v>
      </c>
      <c r="M543" s="17">
        <f>IFERROR(__xludf.DUMMYFUNCTION("""COMPUTED_VALUE"""),2.0)</f>
        <v>2</v>
      </c>
      <c r="N543" s="17">
        <f>IFERROR(__xludf.DUMMYFUNCTION("""COMPUTED_VALUE"""),8.0)</f>
        <v>8</v>
      </c>
      <c r="O543" s="17">
        <f>IFERROR(__xludf.DUMMYFUNCTION("""COMPUTED_VALUE"""),0.298)</f>
        <v>0.298</v>
      </c>
      <c r="P543" s="17">
        <f>IFERROR(__xludf.DUMMYFUNCTION("""COMPUTED_VALUE"""),0.553)</f>
        <v>0.553</v>
      </c>
      <c r="Q543" s="34">
        <f>IFERROR(__xludf.DUMMYFUNCTION("""COMPUTED_VALUE"""),0.0)</f>
        <v>0</v>
      </c>
      <c r="R543" s="34">
        <f>IFERROR(__xludf.DUMMYFUNCTION("""COMPUTED_VALUE"""),0.0)</f>
        <v>0</v>
      </c>
      <c r="S543" s="34">
        <f>IFERROR(__xludf.DUMMYFUNCTION("""COMPUTED_VALUE"""),0.0)</f>
        <v>0</v>
      </c>
      <c r="T543" s="17" t="str">
        <f t="shared" si="1"/>
        <v>Gavin Cross</v>
      </c>
    </row>
    <row r="544">
      <c r="A544" s="17">
        <f>IFERROR(__xludf.DUMMYFUNCTION("""COMPUTED_VALUE"""),544.0)</f>
        <v>544</v>
      </c>
      <c r="B544" s="17" t="str">
        <f>IFERROR(__xludf.DUMMYFUNCTION("""COMPUTED_VALUE"""),"Connor Kaiser (KC - 2B,SS) MiLB")</f>
        <v>Connor Kaiser (KC - 2B,SS) MiLB</v>
      </c>
      <c r="C544" s="17">
        <f>IFERROR(__xludf.DUMMYFUNCTION("""COMPUTED_VALUE"""),22.0)</f>
        <v>22</v>
      </c>
      <c r="D544" s="17">
        <f>IFERROR(__xludf.DUMMYFUNCTION("""COMPUTED_VALUE"""),3.0)</f>
        <v>3</v>
      </c>
      <c r="E544" s="17">
        <f>IFERROR(__xludf.DUMMYFUNCTION("""COMPUTED_VALUE"""),1.0)</f>
        <v>1</v>
      </c>
      <c r="F544" s="17">
        <f>IFERROR(__xludf.DUMMYFUNCTION("""COMPUTED_VALUE"""),2.0)</f>
        <v>2</v>
      </c>
      <c r="G544" s="17">
        <f>IFERROR(__xludf.DUMMYFUNCTION("""COMPUTED_VALUE"""),1.0)</f>
        <v>1</v>
      </c>
      <c r="H544" s="17">
        <f>IFERROR(__xludf.DUMMYFUNCTION("""COMPUTED_VALUE"""),0.209)</f>
        <v>0.209</v>
      </c>
      <c r="I544" s="17">
        <f>IFERROR(__xludf.DUMMYFUNCTION("""COMPUTED_VALUE"""),0.305)</f>
        <v>0.305</v>
      </c>
      <c r="J544" s="17">
        <f>IFERROR(__xludf.DUMMYFUNCTION("""COMPUTED_VALUE"""),5.0)</f>
        <v>5</v>
      </c>
      <c r="K544" s="17">
        <f>IFERROR(__xludf.DUMMYFUNCTION("""COMPUTED_VALUE"""),1.0)</f>
        <v>1</v>
      </c>
      <c r="L544" s="17">
        <f>IFERROR(__xludf.DUMMYFUNCTION("""COMPUTED_VALUE"""),0.0)</f>
        <v>0</v>
      </c>
      <c r="M544" s="17">
        <f>IFERROR(__xludf.DUMMYFUNCTION("""COMPUTED_VALUE"""),3.0)</f>
        <v>3</v>
      </c>
      <c r="N544" s="17">
        <f>IFERROR(__xludf.DUMMYFUNCTION("""COMPUTED_VALUE"""),8.0)</f>
        <v>8</v>
      </c>
      <c r="O544" s="17">
        <f>IFERROR(__xludf.DUMMYFUNCTION("""COMPUTED_VALUE"""),0.325)</f>
        <v>0.325</v>
      </c>
      <c r="P544" s="17">
        <f>IFERROR(__xludf.DUMMYFUNCTION("""COMPUTED_VALUE"""),0.63)</f>
        <v>0.63</v>
      </c>
      <c r="Q544" s="34">
        <f>IFERROR(__xludf.DUMMYFUNCTION("""COMPUTED_VALUE"""),0.0)</f>
        <v>0</v>
      </c>
      <c r="R544" s="34">
        <f>IFERROR(__xludf.DUMMYFUNCTION("""COMPUTED_VALUE"""),0.0)</f>
        <v>0</v>
      </c>
      <c r="S544" s="34">
        <f>IFERROR(__xludf.DUMMYFUNCTION("""COMPUTED_VALUE"""),0.0)</f>
        <v>0</v>
      </c>
      <c r="T544" s="17" t="str">
        <f t="shared" si="1"/>
        <v>Connor Kaiser</v>
      </c>
    </row>
    <row r="545">
      <c r="A545" s="17">
        <f>IFERROR(__xludf.DUMMYFUNCTION("""COMPUTED_VALUE"""),545.0)</f>
        <v>545</v>
      </c>
      <c r="B545" s="17" t="str">
        <f>IFERROR(__xludf.DUMMYFUNCTION("""COMPUTED_VALUE"""),"Kameron Misner (KC - CF,RF) MiLB")</f>
        <v>Kameron Misner (KC - CF,RF) MiLB</v>
      </c>
      <c r="C545" s="17">
        <f>IFERROR(__xludf.DUMMYFUNCTION("""COMPUTED_VALUE"""),22.0)</f>
        <v>22</v>
      </c>
      <c r="D545" s="17">
        <f>IFERROR(__xludf.DUMMYFUNCTION("""COMPUTED_VALUE"""),3.0)</f>
        <v>3</v>
      </c>
      <c r="E545" s="17">
        <f>IFERROR(__xludf.DUMMYFUNCTION("""COMPUTED_VALUE"""),1.0)</f>
        <v>1</v>
      </c>
      <c r="F545" s="17">
        <f>IFERROR(__xludf.DUMMYFUNCTION("""COMPUTED_VALUE"""),2.0)</f>
        <v>2</v>
      </c>
      <c r="G545" s="17">
        <f>IFERROR(__xludf.DUMMYFUNCTION("""COMPUTED_VALUE"""),1.0)</f>
        <v>1</v>
      </c>
      <c r="H545" s="17">
        <f>IFERROR(__xludf.DUMMYFUNCTION("""COMPUTED_VALUE"""),0.229)</f>
        <v>0.229</v>
      </c>
      <c r="I545" s="17">
        <f>IFERROR(__xludf.DUMMYFUNCTION("""COMPUTED_VALUE"""),0.313)</f>
        <v>0.313</v>
      </c>
      <c r="J545" s="17">
        <f>IFERROR(__xludf.DUMMYFUNCTION("""COMPUTED_VALUE"""),5.0)</f>
        <v>5</v>
      </c>
      <c r="K545" s="17">
        <f>IFERROR(__xludf.DUMMYFUNCTION("""COMPUTED_VALUE"""),1.0)</f>
        <v>1</v>
      </c>
      <c r="L545" s="17">
        <f>IFERROR(__xludf.DUMMYFUNCTION("""COMPUTED_VALUE"""),0.0)</f>
        <v>0</v>
      </c>
      <c r="M545" s="17">
        <f>IFERROR(__xludf.DUMMYFUNCTION("""COMPUTED_VALUE"""),3.0)</f>
        <v>3</v>
      </c>
      <c r="N545" s="17">
        <f>IFERROR(__xludf.DUMMYFUNCTION("""COMPUTED_VALUE"""),8.0)</f>
        <v>8</v>
      </c>
      <c r="O545" s="17">
        <f>IFERROR(__xludf.DUMMYFUNCTION("""COMPUTED_VALUE"""),0.4)</f>
        <v>0.4</v>
      </c>
      <c r="P545" s="17">
        <f>IFERROR(__xludf.DUMMYFUNCTION("""COMPUTED_VALUE"""),0.713)</f>
        <v>0.713</v>
      </c>
      <c r="Q545" s="34">
        <f>IFERROR(__xludf.DUMMYFUNCTION("""COMPUTED_VALUE"""),0.0)</f>
        <v>0</v>
      </c>
      <c r="R545" s="34">
        <f>IFERROR(__xludf.DUMMYFUNCTION("""COMPUTED_VALUE"""),0.0)</f>
        <v>0</v>
      </c>
      <c r="S545" s="34">
        <f>IFERROR(__xludf.DUMMYFUNCTION("""COMPUTED_VALUE"""),0.0)</f>
        <v>0</v>
      </c>
      <c r="T545" s="17" t="str">
        <f t="shared" si="1"/>
        <v>Kameron Misner</v>
      </c>
    </row>
    <row r="546">
      <c r="A546" s="17">
        <f>IFERROR(__xludf.DUMMYFUNCTION("""COMPUTED_VALUE"""),546.0)</f>
        <v>546</v>
      </c>
      <c r="B546" s="17" t="str">
        <f>IFERROR(__xludf.DUMMYFUNCTION("""COMPUTED_VALUE"""),"Brandon Drury (KC - 1B,2B,3B) MiLB")</f>
        <v>Brandon Drury (KC - 1B,2B,3B) MiLB</v>
      </c>
      <c r="C546" s="17">
        <f>IFERROR(__xludf.DUMMYFUNCTION("""COMPUTED_VALUE"""),25.0)</f>
        <v>25</v>
      </c>
      <c r="D546" s="17">
        <f>IFERROR(__xludf.DUMMYFUNCTION("""COMPUTED_VALUE"""),3.0)</f>
        <v>3</v>
      </c>
      <c r="E546" s="17">
        <f>IFERROR(__xludf.DUMMYFUNCTION("""COMPUTED_VALUE"""),1.0)</f>
        <v>1</v>
      </c>
      <c r="F546" s="17">
        <f>IFERROR(__xludf.DUMMYFUNCTION("""COMPUTED_VALUE"""),3.0)</f>
        <v>3</v>
      </c>
      <c r="G546" s="17">
        <f>IFERROR(__xludf.DUMMYFUNCTION("""COMPUTED_VALUE"""),0.0)</f>
        <v>0</v>
      </c>
      <c r="H546" s="17">
        <f>IFERROR(__xludf.DUMMYFUNCTION("""COMPUTED_VALUE"""),0.22)</f>
        <v>0.22</v>
      </c>
      <c r="I546" s="17">
        <f>IFERROR(__xludf.DUMMYFUNCTION("""COMPUTED_VALUE"""),0.28)</f>
        <v>0.28</v>
      </c>
      <c r="J546" s="17">
        <f>IFERROR(__xludf.DUMMYFUNCTION("""COMPUTED_VALUE"""),6.0)</f>
        <v>6</v>
      </c>
      <c r="K546" s="17">
        <f>IFERROR(__xludf.DUMMYFUNCTION("""COMPUTED_VALUE"""),1.0)</f>
        <v>1</v>
      </c>
      <c r="L546" s="17">
        <f>IFERROR(__xludf.DUMMYFUNCTION("""COMPUTED_VALUE"""),0.0)</f>
        <v>0</v>
      </c>
      <c r="M546" s="17">
        <f>IFERROR(__xludf.DUMMYFUNCTION("""COMPUTED_VALUE"""),2.0)</f>
        <v>2</v>
      </c>
      <c r="N546" s="17">
        <f>IFERROR(__xludf.DUMMYFUNCTION("""COMPUTED_VALUE"""),7.0)</f>
        <v>7</v>
      </c>
      <c r="O546" s="17">
        <f>IFERROR(__xludf.DUMMYFUNCTION("""COMPUTED_VALUE"""),0.357)</f>
        <v>0.357</v>
      </c>
      <c r="P546" s="17">
        <f>IFERROR(__xludf.DUMMYFUNCTION("""COMPUTED_VALUE"""),0.637)</f>
        <v>0.637</v>
      </c>
      <c r="Q546" s="34">
        <f>IFERROR(__xludf.DUMMYFUNCTION("""COMPUTED_VALUE"""),0.0)</f>
        <v>0</v>
      </c>
      <c r="R546" s="34">
        <f>IFERROR(__xludf.DUMMYFUNCTION("""COMPUTED_VALUE"""),0.0)</f>
        <v>0</v>
      </c>
      <c r="S546" s="34">
        <f>IFERROR(__xludf.DUMMYFUNCTION("""COMPUTED_VALUE"""),0.0)</f>
        <v>0</v>
      </c>
      <c r="T546" s="17" t="str">
        <f t="shared" si="1"/>
        <v>Brandon Drury</v>
      </c>
    </row>
    <row r="547">
      <c r="A547" s="17">
        <f>IFERROR(__xludf.DUMMYFUNCTION("""COMPUTED_VALUE"""),547.0)</f>
        <v>547</v>
      </c>
      <c r="B547" s="17" t="str">
        <f>IFERROR(__xludf.DUMMYFUNCTION("""COMPUTED_VALUE"""),"Heston Kjerstad (BAL - LF,RF) IL10")</f>
        <v>Heston Kjerstad (BAL - LF,RF) IL10</v>
      </c>
      <c r="C547" s="17">
        <f>IFERROR(__xludf.DUMMYFUNCTION("""COMPUTED_VALUE"""),25.0)</f>
        <v>25</v>
      </c>
      <c r="D547" s="17">
        <f>IFERROR(__xludf.DUMMYFUNCTION("""COMPUTED_VALUE"""),3.0)</f>
        <v>3</v>
      </c>
      <c r="E547" s="17">
        <f>IFERROR(__xludf.DUMMYFUNCTION("""COMPUTED_VALUE"""),1.0)</f>
        <v>1</v>
      </c>
      <c r="F547" s="17">
        <f>IFERROR(__xludf.DUMMYFUNCTION("""COMPUTED_VALUE"""),3.0)</f>
        <v>3</v>
      </c>
      <c r="G547" s="17">
        <f>IFERROR(__xludf.DUMMYFUNCTION("""COMPUTED_VALUE"""),0.0)</f>
        <v>0</v>
      </c>
      <c r="H547" s="17">
        <f>IFERROR(__xludf.DUMMYFUNCTION("""COMPUTED_VALUE"""),0.236)</f>
        <v>0.236</v>
      </c>
      <c r="I547" s="17">
        <f>IFERROR(__xludf.DUMMYFUNCTION("""COMPUTED_VALUE"""),0.3)</f>
        <v>0.3</v>
      </c>
      <c r="J547" s="17">
        <f>IFERROR(__xludf.DUMMYFUNCTION("""COMPUTED_VALUE"""),6.0)</f>
        <v>6</v>
      </c>
      <c r="K547" s="17">
        <f>IFERROR(__xludf.DUMMYFUNCTION("""COMPUTED_VALUE"""),1.0)</f>
        <v>1</v>
      </c>
      <c r="L547" s="17">
        <f>IFERROR(__xludf.DUMMYFUNCTION("""COMPUTED_VALUE"""),0.0)</f>
        <v>0</v>
      </c>
      <c r="M547" s="17">
        <f>IFERROR(__xludf.DUMMYFUNCTION("""COMPUTED_VALUE"""),2.0)</f>
        <v>2</v>
      </c>
      <c r="N547" s="17">
        <f>IFERROR(__xludf.DUMMYFUNCTION("""COMPUTED_VALUE"""),7.0)</f>
        <v>7</v>
      </c>
      <c r="O547" s="17">
        <f>IFERROR(__xludf.DUMMYFUNCTION("""COMPUTED_VALUE"""),0.407)</f>
        <v>0.407</v>
      </c>
      <c r="P547" s="17">
        <f>IFERROR(__xludf.DUMMYFUNCTION("""COMPUTED_VALUE"""),0.707)</f>
        <v>0.707</v>
      </c>
      <c r="Q547" s="34">
        <f>IFERROR(__xludf.DUMMYFUNCTION("""COMPUTED_VALUE"""),0.0)</f>
        <v>0</v>
      </c>
      <c r="R547" s="34">
        <f>IFERROR(__xludf.DUMMYFUNCTION("""COMPUTED_VALUE"""),0.0)</f>
        <v>0</v>
      </c>
      <c r="S547" s="34">
        <f>IFERROR(__xludf.DUMMYFUNCTION("""COMPUTED_VALUE"""),0.0)</f>
        <v>0</v>
      </c>
      <c r="T547" s="17" t="str">
        <f t="shared" si="1"/>
        <v>Heston Kjerstad</v>
      </c>
    </row>
    <row r="548">
      <c r="A548" s="17">
        <f>IFERROR(__xludf.DUMMYFUNCTION("""COMPUTED_VALUE"""),548.0)</f>
        <v>548</v>
      </c>
      <c r="B548" s="17" t="str">
        <f>IFERROR(__xludf.DUMMYFUNCTION("""COMPUTED_VALUE"""),"Yanquiel Fernandez (NYY - RF,DH) MiLB")</f>
        <v>Yanquiel Fernandez (NYY - RF,DH) MiLB</v>
      </c>
      <c r="C548" s="17">
        <f>IFERROR(__xludf.DUMMYFUNCTION("""COMPUTED_VALUE"""),25.0)</f>
        <v>25</v>
      </c>
      <c r="D548" s="17">
        <f>IFERROR(__xludf.DUMMYFUNCTION("""COMPUTED_VALUE"""),3.0)</f>
        <v>3</v>
      </c>
      <c r="E548" s="17">
        <f>IFERROR(__xludf.DUMMYFUNCTION("""COMPUTED_VALUE"""),1.0)</f>
        <v>1</v>
      </c>
      <c r="F548" s="17">
        <f>IFERROR(__xludf.DUMMYFUNCTION("""COMPUTED_VALUE"""),3.0)</f>
        <v>3</v>
      </c>
      <c r="G548" s="17">
        <f>IFERROR(__xludf.DUMMYFUNCTION("""COMPUTED_VALUE"""),0.0)</f>
        <v>0</v>
      </c>
      <c r="H548" s="17">
        <f>IFERROR(__xludf.DUMMYFUNCTION("""COMPUTED_VALUE"""),0.225)</f>
        <v>0.225</v>
      </c>
      <c r="I548" s="17">
        <f>IFERROR(__xludf.DUMMYFUNCTION("""COMPUTED_VALUE"""),0.27)</f>
        <v>0.27</v>
      </c>
      <c r="J548" s="17">
        <f>IFERROR(__xludf.DUMMYFUNCTION("""COMPUTED_VALUE"""),6.0)</f>
        <v>6</v>
      </c>
      <c r="K548" s="17">
        <f>IFERROR(__xludf.DUMMYFUNCTION("""COMPUTED_VALUE"""),1.0)</f>
        <v>1</v>
      </c>
      <c r="L548" s="17">
        <f>IFERROR(__xludf.DUMMYFUNCTION("""COMPUTED_VALUE"""),0.0)</f>
        <v>0</v>
      </c>
      <c r="M548" s="17">
        <f>IFERROR(__xludf.DUMMYFUNCTION("""COMPUTED_VALUE"""),2.0)</f>
        <v>2</v>
      </c>
      <c r="N548" s="17">
        <f>IFERROR(__xludf.DUMMYFUNCTION("""COMPUTED_VALUE"""),6.0)</f>
        <v>6</v>
      </c>
      <c r="O548" s="17">
        <f>IFERROR(__xludf.DUMMYFUNCTION("""COMPUTED_VALUE"""),0.388)</f>
        <v>0.388</v>
      </c>
      <c r="P548" s="17">
        <f>IFERROR(__xludf.DUMMYFUNCTION("""COMPUTED_VALUE"""),0.658)</f>
        <v>0.658</v>
      </c>
      <c r="Q548" s="34">
        <f>IFERROR(__xludf.DUMMYFUNCTION("""COMPUTED_VALUE"""),0.0)</f>
        <v>0</v>
      </c>
      <c r="R548" s="34">
        <f>IFERROR(__xludf.DUMMYFUNCTION("""COMPUTED_VALUE"""),0.0)</f>
        <v>0</v>
      </c>
      <c r="S548" s="34">
        <f>IFERROR(__xludf.DUMMYFUNCTION("""COMPUTED_VALUE"""),0.0)</f>
        <v>0</v>
      </c>
      <c r="T548" s="17" t="str">
        <f t="shared" si="1"/>
        <v>Yanquiel Fernandez</v>
      </c>
    </row>
    <row r="549">
      <c r="A549" s="17">
        <f>IFERROR(__xludf.DUMMYFUNCTION("""COMPUTED_VALUE"""),549.0)</f>
        <v>549</v>
      </c>
      <c r="B549" s="17" t="str">
        <f>IFERROR(__xludf.DUMMYFUNCTION("""COMPUTED_VALUE"""),"Esmerlyn Valdez (PIT - 1B,LF,RF) MiLB")</f>
        <v>Esmerlyn Valdez (PIT - 1B,LF,RF) MiLB</v>
      </c>
      <c r="C549" s="17">
        <f>IFERROR(__xludf.DUMMYFUNCTION("""COMPUTED_VALUE"""),25.0)</f>
        <v>25</v>
      </c>
      <c r="D549" s="17">
        <f>IFERROR(__xludf.DUMMYFUNCTION("""COMPUTED_VALUE"""),3.0)</f>
        <v>3</v>
      </c>
      <c r="E549" s="17">
        <f>IFERROR(__xludf.DUMMYFUNCTION("""COMPUTED_VALUE"""),1.0)</f>
        <v>1</v>
      </c>
      <c r="F549" s="17">
        <f>IFERROR(__xludf.DUMMYFUNCTION("""COMPUTED_VALUE"""),3.0)</f>
        <v>3</v>
      </c>
      <c r="G549" s="17">
        <f>IFERROR(__xludf.DUMMYFUNCTION("""COMPUTED_VALUE"""),0.0)</f>
        <v>0</v>
      </c>
      <c r="H549" s="17">
        <f>IFERROR(__xludf.DUMMYFUNCTION("""COMPUTED_VALUE"""),0.233)</f>
        <v>0.233</v>
      </c>
      <c r="I549" s="17">
        <f>IFERROR(__xludf.DUMMYFUNCTION("""COMPUTED_VALUE"""),0.307)</f>
        <v>0.307</v>
      </c>
      <c r="J549" s="17">
        <f>IFERROR(__xludf.DUMMYFUNCTION("""COMPUTED_VALUE"""),6.0)</f>
        <v>6</v>
      </c>
      <c r="K549" s="17">
        <f>IFERROR(__xludf.DUMMYFUNCTION("""COMPUTED_VALUE"""),1.0)</f>
        <v>1</v>
      </c>
      <c r="L549" s="17">
        <f>IFERROR(__xludf.DUMMYFUNCTION("""COMPUTED_VALUE"""),0.0)</f>
        <v>0</v>
      </c>
      <c r="M549" s="17">
        <f>IFERROR(__xludf.DUMMYFUNCTION("""COMPUTED_VALUE"""),2.0)</f>
        <v>2</v>
      </c>
      <c r="N549" s="17">
        <f>IFERROR(__xludf.DUMMYFUNCTION("""COMPUTED_VALUE"""),8.0)</f>
        <v>8</v>
      </c>
      <c r="O549" s="17">
        <f>IFERROR(__xludf.DUMMYFUNCTION("""COMPUTED_VALUE"""),0.395)</f>
        <v>0.395</v>
      </c>
      <c r="P549" s="17">
        <f>IFERROR(__xludf.DUMMYFUNCTION("""COMPUTED_VALUE"""),0.702)</f>
        <v>0.702</v>
      </c>
      <c r="Q549" s="34">
        <f>IFERROR(__xludf.DUMMYFUNCTION("""COMPUTED_VALUE"""),0.0)</f>
        <v>0</v>
      </c>
      <c r="R549" s="34">
        <f>IFERROR(__xludf.DUMMYFUNCTION("""COMPUTED_VALUE"""),0.0)</f>
        <v>0</v>
      </c>
      <c r="S549" s="34">
        <f>IFERROR(__xludf.DUMMYFUNCTION("""COMPUTED_VALUE"""),0.0)</f>
        <v>0</v>
      </c>
      <c r="T549" s="17" t="str">
        <f t="shared" si="1"/>
        <v>Esmerlyn Valdez</v>
      </c>
    </row>
    <row r="550">
      <c r="A550" s="17">
        <f>IFERROR(__xludf.DUMMYFUNCTION("""COMPUTED_VALUE"""),550.0)</f>
        <v>550</v>
      </c>
      <c r="B550" s="17" t="str">
        <f>IFERROR(__xludf.DUMMYFUNCTION("""COMPUTED_VALUE"""),"Samad Taylor (SD - 2B,RF) MiLB")</f>
        <v>Samad Taylor (SD - 2B,RF) MiLB</v>
      </c>
      <c r="C550" s="17">
        <f>IFERROR(__xludf.DUMMYFUNCTION("""COMPUTED_VALUE"""),16.0)</f>
        <v>16</v>
      </c>
      <c r="D550" s="17">
        <f>IFERROR(__xludf.DUMMYFUNCTION("""COMPUTED_VALUE"""),2.0)</f>
        <v>2</v>
      </c>
      <c r="E550" s="17">
        <f>IFERROR(__xludf.DUMMYFUNCTION("""COMPUTED_VALUE"""),1.0)</f>
        <v>1</v>
      </c>
      <c r="F550" s="17">
        <f>IFERROR(__xludf.DUMMYFUNCTION("""COMPUTED_VALUE"""),2.0)</f>
        <v>2</v>
      </c>
      <c r="G550" s="17">
        <f>IFERROR(__xludf.DUMMYFUNCTION("""COMPUTED_VALUE"""),1.0)</f>
        <v>1</v>
      </c>
      <c r="H550" s="17">
        <f>IFERROR(__xludf.DUMMYFUNCTION("""COMPUTED_VALUE"""),0.226)</f>
        <v>0.226</v>
      </c>
      <c r="I550" s="17">
        <f>IFERROR(__xludf.DUMMYFUNCTION("""COMPUTED_VALUE"""),0.295)</f>
        <v>0.295</v>
      </c>
      <c r="J550" s="17">
        <f>IFERROR(__xludf.DUMMYFUNCTION("""COMPUTED_VALUE"""),4.0)</f>
        <v>4</v>
      </c>
      <c r="K550" s="17">
        <f>IFERROR(__xludf.DUMMYFUNCTION("""COMPUTED_VALUE"""),1.0)</f>
        <v>1</v>
      </c>
      <c r="L550" s="17">
        <f>IFERROR(__xludf.DUMMYFUNCTION("""COMPUTED_VALUE"""),0.0)</f>
        <v>0</v>
      </c>
      <c r="M550" s="17">
        <f>IFERROR(__xludf.DUMMYFUNCTION("""COMPUTED_VALUE"""),2.0)</f>
        <v>2</v>
      </c>
      <c r="N550" s="17">
        <f>IFERROR(__xludf.DUMMYFUNCTION("""COMPUTED_VALUE"""),4.0)</f>
        <v>4</v>
      </c>
      <c r="O550" s="17">
        <f>IFERROR(__xludf.DUMMYFUNCTION("""COMPUTED_VALUE"""),0.355)</f>
        <v>0.355</v>
      </c>
      <c r="P550" s="17">
        <f>IFERROR(__xludf.DUMMYFUNCTION("""COMPUTED_VALUE"""),0.65)</f>
        <v>0.65</v>
      </c>
      <c r="Q550" s="34">
        <f>IFERROR(__xludf.DUMMYFUNCTION("""COMPUTED_VALUE"""),0.0)</f>
        <v>0</v>
      </c>
      <c r="R550" s="34">
        <f>IFERROR(__xludf.DUMMYFUNCTION("""COMPUTED_VALUE"""),0.0)</f>
        <v>0</v>
      </c>
      <c r="S550" s="34">
        <f>IFERROR(__xludf.DUMMYFUNCTION("""COMPUTED_VALUE"""),0.0)</f>
        <v>0</v>
      </c>
      <c r="T550" s="17" t="str">
        <f t="shared" si="1"/>
        <v>Samad Taylor</v>
      </c>
    </row>
    <row r="551">
      <c r="A551" s="17">
        <f>IFERROR(__xludf.DUMMYFUNCTION("""COMPUTED_VALUE"""),551.0)</f>
        <v>551</v>
      </c>
      <c r="B551" s="17" t="str">
        <f>IFERROR(__xludf.DUMMYFUNCTION("""COMPUTED_VALUE"""),"Brett Wisely (ATL - 2B) MiLB")</f>
        <v>Brett Wisely (ATL - 2B) MiLB</v>
      </c>
      <c r="C551" s="17">
        <f>IFERROR(__xludf.DUMMYFUNCTION("""COMPUTED_VALUE"""),16.0)</f>
        <v>16</v>
      </c>
      <c r="D551" s="17">
        <f>IFERROR(__xludf.DUMMYFUNCTION("""COMPUTED_VALUE"""),2.0)</f>
        <v>2</v>
      </c>
      <c r="E551" s="17">
        <f>IFERROR(__xludf.DUMMYFUNCTION("""COMPUTED_VALUE"""),1.0)</f>
        <v>1</v>
      </c>
      <c r="F551" s="17">
        <f>IFERROR(__xludf.DUMMYFUNCTION("""COMPUTED_VALUE"""),2.0)</f>
        <v>2</v>
      </c>
      <c r="G551" s="17">
        <f>IFERROR(__xludf.DUMMYFUNCTION("""COMPUTED_VALUE"""),1.0)</f>
        <v>1</v>
      </c>
      <c r="H551" s="17">
        <f>IFERROR(__xludf.DUMMYFUNCTION("""COMPUTED_VALUE"""),0.257)</f>
        <v>0.257</v>
      </c>
      <c r="I551" s="17">
        <f>IFERROR(__xludf.DUMMYFUNCTION("""COMPUTED_VALUE"""),0.322)</f>
        <v>0.322</v>
      </c>
      <c r="J551" s="17">
        <f>IFERROR(__xludf.DUMMYFUNCTION("""COMPUTED_VALUE"""),4.0)</f>
        <v>4</v>
      </c>
      <c r="K551" s="17">
        <f>IFERROR(__xludf.DUMMYFUNCTION("""COMPUTED_VALUE"""),1.0)</f>
        <v>1</v>
      </c>
      <c r="L551" s="17">
        <f>IFERROR(__xludf.DUMMYFUNCTION("""COMPUTED_VALUE"""),0.0)</f>
        <v>0</v>
      </c>
      <c r="M551" s="17">
        <f>IFERROR(__xludf.DUMMYFUNCTION("""COMPUTED_VALUE"""),2.0)</f>
        <v>2</v>
      </c>
      <c r="N551" s="17">
        <f>IFERROR(__xludf.DUMMYFUNCTION("""COMPUTED_VALUE"""),4.0)</f>
        <v>4</v>
      </c>
      <c r="O551" s="17">
        <f>IFERROR(__xludf.DUMMYFUNCTION("""COMPUTED_VALUE"""),0.415)</f>
        <v>0.415</v>
      </c>
      <c r="P551" s="17">
        <f>IFERROR(__xludf.DUMMYFUNCTION("""COMPUTED_VALUE"""),0.737)</f>
        <v>0.737</v>
      </c>
      <c r="Q551" s="34">
        <f>IFERROR(__xludf.DUMMYFUNCTION("""COMPUTED_VALUE"""),0.0)</f>
        <v>0</v>
      </c>
      <c r="R551" s="34">
        <f>IFERROR(__xludf.DUMMYFUNCTION("""COMPUTED_VALUE"""),0.0)</f>
        <v>0</v>
      </c>
      <c r="S551" s="34">
        <f>IFERROR(__xludf.DUMMYFUNCTION("""COMPUTED_VALUE"""),0.0)</f>
        <v>0</v>
      </c>
      <c r="T551" s="17" t="str">
        <f t="shared" si="1"/>
        <v>Brett Wisely</v>
      </c>
    </row>
    <row r="552">
      <c r="A552" s="17">
        <f>IFERROR(__xludf.DUMMYFUNCTION("""COMPUTED_VALUE"""),552.0)</f>
        <v>552</v>
      </c>
      <c r="B552" s="17" t="str">
        <f>IFERROR(__xludf.DUMMYFUNCTION("""COMPUTED_VALUE"""),"Sebastian Rivero (LAA - C)")</f>
        <v>Sebastian Rivero (LAA - C)</v>
      </c>
      <c r="C552" s="17">
        <f>IFERROR(__xludf.DUMMYFUNCTION("""COMPUTED_VALUE"""),48.0)</f>
        <v>48</v>
      </c>
      <c r="D552" s="17">
        <f>IFERROR(__xludf.DUMMYFUNCTION("""COMPUTED_VALUE"""),4.0)</f>
        <v>4</v>
      </c>
      <c r="E552" s="17">
        <f>IFERROR(__xludf.DUMMYFUNCTION("""COMPUTED_VALUE"""),1.0)</f>
        <v>1</v>
      </c>
      <c r="F552" s="17">
        <f>IFERROR(__xludf.DUMMYFUNCTION("""COMPUTED_VALUE"""),5.0)</f>
        <v>5</v>
      </c>
      <c r="G552" s="17">
        <f>IFERROR(__xludf.DUMMYFUNCTION("""COMPUTED_VALUE"""),0.0)</f>
        <v>0</v>
      </c>
      <c r="H552" s="17">
        <f>IFERROR(__xludf.DUMMYFUNCTION("""COMPUTED_VALUE"""),0.211)</f>
        <v>0.211</v>
      </c>
      <c r="I552" s="17">
        <f>IFERROR(__xludf.DUMMYFUNCTION("""COMPUTED_VALUE"""),0.254)</f>
        <v>0.254</v>
      </c>
      <c r="J552" s="17">
        <f>IFERROR(__xludf.DUMMYFUNCTION("""COMPUTED_VALUE"""),10.0)</f>
        <v>10</v>
      </c>
      <c r="K552" s="17">
        <f>IFERROR(__xludf.DUMMYFUNCTION("""COMPUTED_VALUE"""),2.0)</f>
        <v>2</v>
      </c>
      <c r="L552" s="17">
        <f>IFERROR(__xludf.DUMMYFUNCTION("""COMPUTED_VALUE"""),0.0)</f>
        <v>0</v>
      </c>
      <c r="M552" s="17">
        <f>IFERROR(__xludf.DUMMYFUNCTION("""COMPUTED_VALUE"""),2.0)</f>
        <v>2</v>
      </c>
      <c r="N552" s="17">
        <f>IFERROR(__xludf.DUMMYFUNCTION("""COMPUTED_VALUE"""),12.0)</f>
        <v>12</v>
      </c>
      <c r="O552" s="17">
        <f>IFERROR(__xludf.DUMMYFUNCTION("""COMPUTED_VALUE"""),0.321)</f>
        <v>0.321</v>
      </c>
      <c r="P552" s="17">
        <f>IFERROR(__xludf.DUMMYFUNCTION("""COMPUTED_VALUE"""),0.576)</f>
        <v>0.576</v>
      </c>
      <c r="Q552" s="34">
        <f>IFERROR(__xludf.DUMMYFUNCTION("""COMPUTED_VALUE"""),0.0)</f>
        <v>0</v>
      </c>
      <c r="R552" s="34">
        <f>IFERROR(__xludf.DUMMYFUNCTION("""COMPUTED_VALUE"""),0.0)</f>
        <v>0</v>
      </c>
      <c r="S552" s="34">
        <f>IFERROR(__xludf.DUMMYFUNCTION("""COMPUTED_VALUE"""),0.0)</f>
        <v>0</v>
      </c>
      <c r="T552" s="17" t="str">
        <f t="shared" si="1"/>
        <v>Sebastian Rivero</v>
      </c>
    </row>
    <row r="553">
      <c r="A553" s="17">
        <f>IFERROR(__xludf.DUMMYFUNCTION("""COMPUTED_VALUE"""),553.0)</f>
        <v>553</v>
      </c>
      <c r="B553" s="17" t="str">
        <f>IFERROR(__xludf.DUMMYFUNCTION("""COMPUTED_VALUE"""),"Garrett Stubbs (PHI - C,DH)")</f>
        <v>Garrett Stubbs (PHI - C,DH)</v>
      </c>
      <c r="C553" s="17">
        <f>IFERROR(__xludf.DUMMYFUNCTION("""COMPUTED_VALUE"""),38.0)</f>
        <v>38</v>
      </c>
      <c r="D553" s="17">
        <f>IFERROR(__xludf.DUMMYFUNCTION("""COMPUTED_VALUE"""),4.0)</f>
        <v>4</v>
      </c>
      <c r="E553" s="17">
        <f>IFERROR(__xludf.DUMMYFUNCTION("""COMPUTED_VALUE"""),1.0)</f>
        <v>1</v>
      </c>
      <c r="F553" s="17">
        <f>IFERROR(__xludf.DUMMYFUNCTION("""COMPUTED_VALUE"""),4.0)</f>
        <v>4</v>
      </c>
      <c r="G553" s="17">
        <f>IFERROR(__xludf.DUMMYFUNCTION("""COMPUTED_VALUE"""),0.0)</f>
        <v>0</v>
      </c>
      <c r="H553" s="17">
        <f>IFERROR(__xludf.DUMMYFUNCTION("""COMPUTED_VALUE"""),0.217)</f>
        <v>0.217</v>
      </c>
      <c r="I553" s="17">
        <f>IFERROR(__xludf.DUMMYFUNCTION("""COMPUTED_VALUE"""),0.287)</f>
        <v>0.287</v>
      </c>
      <c r="J553" s="17">
        <f>IFERROR(__xludf.DUMMYFUNCTION("""COMPUTED_VALUE"""),8.0)</f>
        <v>8</v>
      </c>
      <c r="K553" s="17">
        <f>IFERROR(__xludf.DUMMYFUNCTION("""COMPUTED_VALUE"""),2.0)</f>
        <v>2</v>
      </c>
      <c r="L553" s="17">
        <f>IFERROR(__xludf.DUMMYFUNCTION("""COMPUTED_VALUE"""),0.0)</f>
        <v>0</v>
      </c>
      <c r="M553" s="17">
        <f>IFERROR(__xludf.DUMMYFUNCTION("""COMPUTED_VALUE"""),3.0)</f>
        <v>3</v>
      </c>
      <c r="N553" s="17">
        <f>IFERROR(__xludf.DUMMYFUNCTION("""COMPUTED_VALUE"""),10.0)</f>
        <v>10</v>
      </c>
      <c r="O553" s="17">
        <f>IFERROR(__xludf.DUMMYFUNCTION("""COMPUTED_VALUE"""),0.304)</f>
        <v>0.304</v>
      </c>
      <c r="P553" s="17">
        <f>IFERROR(__xludf.DUMMYFUNCTION("""COMPUTED_VALUE"""),0.591)</f>
        <v>0.591</v>
      </c>
      <c r="Q553" s="34">
        <f>IFERROR(__xludf.DUMMYFUNCTION("""COMPUTED_VALUE"""),0.0)</f>
        <v>0</v>
      </c>
      <c r="R553" s="34">
        <f>IFERROR(__xludf.DUMMYFUNCTION("""COMPUTED_VALUE"""),0.0)</f>
        <v>0</v>
      </c>
      <c r="S553" s="34">
        <f>IFERROR(__xludf.DUMMYFUNCTION("""COMPUTED_VALUE"""),0.0)</f>
        <v>0</v>
      </c>
      <c r="T553" s="17" t="str">
        <f t="shared" si="1"/>
        <v>Garrett Stubbs</v>
      </c>
    </row>
    <row r="554">
      <c r="A554" s="17">
        <f>IFERROR(__xludf.DUMMYFUNCTION("""COMPUTED_VALUE"""),554.0)</f>
        <v>554</v>
      </c>
      <c r="B554" s="17" t="str">
        <f>IFERROR(__xludf.DUMMYFUNCTION("""COMPUTED_VALUE"""),"Will Wilson (SEA - 2B,3B,SS)")</f>
        <v>Will Wilson (SEA - 2B,3B,SS)</v>
      </c>
      <c r="C554" s="17">
        <f>IFERROR(__xludf.DUMMYFUNCTION("""COMPUTED_VALUE"""),32.0)</f>
        <v>32</v>
      </c>
      <c r="D554" s="17">
        <f>IFERROR(__xludf.DUMMYFUNCTION("""COMPUTED_VALUE"""),4.0)</f>
        <v>4</v>
      </c>
      <c r="E554" s="17">
        <f>IFERROR(__xludf.DUMMYFUNCTION("""COMPUTED_VALUE"""),1.0)</f>
        <v>1</v>
      </c>
      <c r="F554" s="17">
        <f>IFERROR(__xludf.DUMMYFUNCTION("""COMPUTED_VALUE"""),3.0)</f>
        <v>3</v>
      </c>
      <c r="G554" s="17">
        <f>IFERROR(__xludf.DUMMYFUNCTION("""COMPUTED_VALUE"""),0.0)</f>
        <v>0</v>
      </c>
      <c r="H554" s="17">
        <f>IFERROR(__xludf.DUMMYFUNCTION("""COMPUTED_VALUE"""),0.207)</f>
        <v>0.207</v>
      </c>
      <c r="I554" s="17">
        <f>IFERROR(__xludf.DUMMYFUNCTION("""COMPUTED_VALUE"""),0.272)</f>
        <v>0.272</v>
      </c>
      <c r="J554" s="17">
        <f>IFERROR(__xludf.DUMMYFUNCTION("""COMPUTED_VALUE"""),7.0)</f>
        <v>7</v>
      </c>
      <c r="K554" s="17">
        <f>IFERROR(__xludf.DUMMYFUNCTION("""COMPUTED_VALUE"""),1.0)</f>
        <v>1</v>
      </c>
      <c r="L554" s="17">
        <f>IFERROR(__xludf.DUMMYFUNCTION("""COMPUTED_VALUE"""),0.0)</f>
        <v>0</v>
      </c>
      <c r="M554" s="17">
        <f>IFERROR(__xludf.DUMMYFUNCTION("""COMPUTED_VALUE"""),3.0)</f>
        <v>3</v>
      </c>
      <c r="N554" s="17">
        <f>IFERROR(__xludf.DUMMYFUNCTION("""COMPUTED_VALUE"""),10.0)</f>
        <v>10</v>
      </c>
      <c r="O554" s="17">
        <f>IFERROR(__xludf.DUMMYFUNCTION("""COMPUTED_VALUE"""),0.342)</f>
        <v>0.342</v>
      </c>
      <c r="P554" s="17">
        <f>IFERROR(__xludf.DUMMYFUNCTION("""COMPUTED_VALUE"""),0.614)</f>
        <v>0.614</v>
      </c>
      <c r="Q554" s="34">
        <f>IFERROR(__xludf.DUMMYFUNCTION("""COMPUTED_VALUE"""),0.0)</f>
        <v>0</v>
      </c>
      <c r="R554" s="34">
        <f>IFERROR(__xludf.DUMMYFUNCTION("""COMPUTED_VALUE"""),0.0)</f>
        <v>0</v>
      </c>
      <c r="S554" s="34">
        <f>IFERROR(__xludf.DUMMYFUNCTION("""COMPUTED_VALUE"""),0.0)</f>
        <v>0</v>
      </c>
      <c r="T554" s="17" t="str">
        <f t="shared" si="1"/>
        <v>Will Wilson</v>
      </c>
    </row>
    <row r="555">
      <c r="A555" s="17">
        <f>IFERROR(__xludf.DUMMYFUNCTION("""COMPUTED_VALUE"""),555.0)</f>
        <v>555</v>
      </c>
      <c r="B555" s="17" t="str">
        <f>IFERROR(__xludf.DUMMYFUNCTION("""COMPUTED_VALUE"""),"Jared Young (NYM - 1B,LF,DH) IL10")</f>
        <v>Jared Young (NYM - 1B,LF,DH) IL10</v>
      </c>
      <c r="C555" s="17">
        <f>IFERROR(__xludf.DUMMYFUNCTION("""COMPUTED_VALUE"""),28.0)</f>
        <v>28</v>
      </c>
      <c r="D555" s="17">
        <f>IFERROR(__xludf.DUMMYFUNCTION("""COMPUTED_VALUE"""),3.0)</f>
        <v>3</v>
      </c>
      <c r="E555" s="17">
        <f>IFERROR(__xludf.DUMMYFUNCTION("""COMPUTED_VALUE"""),1.0)</f>
        <v>1</v>
      </c>
      <c r="F555" s="17">
        <f>IFERROR(__xludf.DUMMYFUNCTION("""COMPUTED_VALUE"""),4.0)</f>
        <v>4</v>
      </c>
      <c r="G555" s="17">
        <f>IFERROR(__xludf.DUMMYFUNCTION("""COMPUTED_VALUE"""),0.0)</f>
        <v>0</v>
      </c>
      <c r="H555" s="17">
        <f>IFERROR(__xludf.DUMMYFUNCTION("""COMPUTED_VALUE"""),0.219)</f>
        <v>0.219</v>
      </c>
      <c r="I555" s="17">
        <f>IFERROR(__xludf.DUMMYFUNCTION("""COMPUTED_VALUE"""),0.3)</f>
        <v>0.3</v>
      </c>
      <c r="J555" s="17">
        <f>IFERROR(__xludf.DUMMYFUNCTION("""COMPUTED_VALUE"""),6.0)</f>
        <v>6</v>
      </c>
      <c r="K555" s="17">
        <f>IFERROR(__xludf.DUMMYFUNCTION("""COMPUTED_VALUE"""),1.0)</f>
        <v>1</v>
      </c>
      <c r="L555" s="17">
        <f>IFERROR(__xludf.DUMMYFUNCTION("""COMPUTED_VALUE"""),0.0)</f>
        <v>0</v>
      </c>
      <c r="M555" s="17">
        <f>IFERROR(__xludf.DUMMYFUNCTION("""COMPUTED_VALUE"""),3.0)</f>
        <v>3</v>
      </c>
      <c r="N555" s="17">
        <f>IFERROR(__xludf.DUMMYFUNCTION("""COMPUTED_VALUE"""),8.0)</f>
        <v>8</v>
      </c>
      <c r="O555" s="17">
        <f>IFERROR(__xludf.DUMMYFUNCTION("""COMPUTED_VALUE"""),0.351)</f>
        <v>0.351</v>
      </c>
      <c r="P555" s="17">
        <f>IFERROR(__xludf.DUMMYFUNCTION("""COMPUTED_VALUE"""),0.651)</f>
        <v>0.651</v>
      </c>
      <c r="Q555" s="34">
        <f>IFERROR(__xludf.DUMMYFUNCTION("""COMPUTED_VALUE"""),0.0)</f>
        <v>0</v>
      </c>
      <c r="R555" s="34">
        <f>IFERROR(__xludf.DUMMYFUNCTION("""COMPUTED_VALUE"""),0.0)</f>
        <v>0</v>
      </c>
      <c r="S555" s="34">
        <f>IFERROR(__xludf.DUMMYFUNCTION("""COMPUTED_VALUE"""),0.0)</f>
        <v>0</v>
      </c>
      <c r="T555" s="17" t="str">
        <f t="shared" si="1"/>
        <v>Jared Young</v>
      </c>
    </row>
    <row r="556">
      <c r="A556" s="17">
        <f>IFERROR(__xludf.DUMMYFUNCTION("""COMPUTED_VALUE"""),556.0)</f>
        <v>556</v>
      </c>
      <c r="B556" s="17" t="str">
        <f>IFERROR(__xludf.DUMMYFUNCTION("""COMPUTED_VALUE"""),"Jax Biggers (HOU - SS) MiLB")</f>
        <v>Jax Biggers (HOU - SS) MiLB</v>
      </c>
      <c r="C556" s="17">
        <f>IFERROR(__xludf.DUMMYFUNCTION("""COMPUTED_VALUE"""),23.0)</f>
        <v>23</v>
      </c>
      <c r="D556" s="17">
        <f>IFERROR(__xludf.DUMMYFUNCTION("""COMPUTED_VALUE"""),3.0)</f>
        <v>3</v>
      </c>
      <c r="E556" s="17">
        <f>IFERROR(__xludf.DUMMYFUNCTION("""COMPUTED_VALUE"""),1.0)</f>
        <v>1</v>
      </c>
      <c r="F556" s="17">
        <f>IFERROR(__xludf.DUMMYFUNCTION("""COMPUTED_VALUE"""),2.0)</f>
        <v>2</v>
      </c>
      <c r="G556" s="17">
        <f>IFERROR(__xludf.DUMMYFUNCTION("""COMPUTED_VALUE"""),1.0)</f>
        <v>1</v>
      </c>
      <c r="H556" s="17">
        <f>IFERROR(__xludf.DUMMYFUNCTION("""COMPUTED_VALUE"""),0.204)</f>
        <v>0.204</v>
      </c>
      <c r="I556" s="17">
        <f>IFERROR(__xludf.DUMMYFUNCTION("""COMPUTED_VALUE"""),0.3)</f>
        <v>0.3</v>
      </c>
      <c r="J556" s="17">
        <f>IFERROR(__xludf.DUMMYFUNCTION("""COMPUTED_VALUE"""),5.0)</f>
        <v>5</v>
      </c>
      <c r="K556" s="17">
        <f>IFERROR(__xludf.DUMMYFUNCTION("""COMPUTED_VALUE"""),1.0)</f>
        <v>1</v>
      </c>
      <c r="L556" s="17">
        <f>IFERROR(__xludf.DUMMYFUNCTION("""COMPUTED_VALUE"""),0.0)</f>
        <v>0</v>
      </c>
      <c r="M556" s="17">
        <f>IFERROR(__xludf.DUMMYFUNCTION("""COMPUTED_VALUE"""),3.0)</f>
        <v>3</v>
      </c>
      <c r="N556" s="17">
        <f>IFERROR(__xludf.DUMMYFUNCTION("""COMPUTED_VALUE"""),7.0)</f>
        <v>7</v>
      </c>
      <c r="O556" s="17">
        <f>IFERROR(__xludf.DUMMYFUNCTION("""COMPUTED_VALUE"""),0.317)</f>
        <v>0.317</v>
      </c>
      <c r="P556" s="17">
        <f>IFERROR(__xludf.DUMMYFUNCTION("""COMPUTED_VALUE"""),0.616)</f>
        <v>0.616</v>
      </c>
      <c r="Q556" s="34">
        <f>IFERROR(__xludf.DUMMYFUNCTION("""COMPUTED_VALUE"""),0.0)</f>
        <v>0</v>
      </c>
      <c r="R556" s="34">
        <f>IFERROR(__xludf.DUMMYFUNCTION("""COMPUTED_VALUE"""),0.0)</f>
        <v>0</v>
      </c>
      <c r="S556" s="34">
        <f>IFERROR(__xludf.DUMMYFUNCTION("""COMPUTED_VALUE"""),0.0)</f>
        <v>0</v>
      </c>
      <c r="T556" s="17" t="str">
        <f t="shared" si="1"/>
        <v>Jax Biggers</v>
      </c>
    </row>
    <row r="557">
      <c r="A557" s="17">
        <f>IFERROR(__xludf.DUMMYFUNCTION("""COMPUTED_VALUE"""),557.0)</f>
        <v>557</v>
      </c>
      <c r="B557" s="17" t="str">
        <f>IFERROR(__xludf.DUMMYFUNCTION("""COMPUTED_VALUE"""),"Johnathan Rodriguez (BAL - RF) MiLB")</f>
        <v>Johnathan Rodriguez (BAL - RF) MiLB</v>
      </c>
      <c r="C557" s="17">
        <f>IFERROR(__xludf.DUMMYFUNCTION("""COMPUTED_VALUE"""),22.0)</f>
        <v>22</v>
      </c>
      <c r="D557" s="17">
        <f>IFERROR(__xludf.DUMMYFUNCTION("""COMPUTED_VALUE"""),3.0)</f>
        <v>3</v>
      </c>
      <c r="E557" s="17">
        <f>IFERROR(__xludf.DUMMYFUNCTION("""COMPUTED_VALUE"""),1.0)</f>
        <v>1</v>
      </c>
      <c r="F557" s="17">
        <f>IFERROR(__xludf.DUMMYFUNCTION("""COMPUTED_VALUE"""),3.0)</f>
        <v>3</v>
      </c>
      <c r="G557" s="17">
        <f>IFERROR(__xludf.DUMMYFUNCTION("""COMPUTED_VALUE"""),0.0)</f>
        <v>0</v>
      </c>
      <c r="H557" s="17">
        <f>IFERROR(__xludf.DUMMYFUNCTION("""COMPUTED_VALUE"""),0.23)</f>
        <v>0.23</v>
      </c>
      <c r="I557" s="17">
        <f>IFERROR(__xludf.DUMMYFUNCTION("""COMPUTED_VALUE"""),0.306)</f>
        <v>0.306</v>
      </c>
      <c r="J557" s="17">
        <f>IFERROR(__xludf.DUMMYFUNCTION("""COMPUTED_VALUE"""),5.0)</f>
        <v>5</v>
      </c>
      <c r="K557" s="17">
        <f>IFERROR(__xludf.DUMMYFUNCTION("""COMPUTED_VALUE"""),1.0)</f>
        <v>1</v>
      </c>
      <c r="L557" s="17">
        <f>IFERROR(__xludf.DUMMYFUNCTION("""COMPUTED_VALUE"""),0.0)</f>
        <v>0</v>
      </c>
      <c r="M557" s="17">
        <f>IFERROR(__xludf.DUMMYFUNCTION("""COMPUTED_VALUE"""),2.0)</f>
        <v>2</v>
      </c>
      <c r="N557" s="17">
        <f>IFERROR(__xludf.DUMMYFUNCTION("""COMPUTED_VALUE"""),7.0)</f>
        <v>7</v>
      </c>
      <c r="O557" s="17">
        <f>IFERROR(__xludf.DUMMYFUNCTION("""COMPUTED_VALUE"""),0.348)</f>
        <v>0.348</v>
      </c>
      <c r="P557" s="17">
        <f>IFERROR(__xludf.DUMMYFUNCTION("""COMPUTED_VALUE"""),0.654)</f>
        <v>0.654</v>
      </c>
      <c r="Q557" s="34">
        <f>IFERROR(__xludf.DUMMYFUNCTION("""COMPUTED_VALUE"""),0.0)</f>
        <v>0</v>
      </c>
      <c r="R557" s="34">
        <f>IFERROR(__xludf.DUMMYFUNCTION("""COMPUTED_VALUE"""),0.0)</f>
        <v>0</v>
      </c>
      <c r="S557" s="34">
        <f>IFERROR(__xludf.DUMMYFUNCTION("""COMPUTED_VALUE"""),0.0)</f>
        <v>0</v>
      </c>
      <c r="T557" s="17" t="str">
        <f t="shared" si="1"/>
        <v>Johnathan Rodriguez</v>
      </c>
    </row>
    <row r="558">
      <c r="A558" s="17">
        <f>IFERROR(__xludf.DUMMYFUNCTION("""COMPUTED_VALUE"""),558.0)</f>
        <v>558</v>
      </c>
      <c r="B558" s="17" t="str">
        <f>IFERROR(__xludf.DUMMYFUNCTION("""COMPUTED_VALUE"""),"Weston Wilson (BAL - 2B,LF)")</f>
        <v>Weston Wilson (BAL - 2B,LF)</v>
      </c>
      <c r="C558" s="17">
        <f>IFERROR(__xludf.DUMMYFUNCTION("""COMPUTED_VALUE"""),22.0)</f>
        <v>22</v>
      </c>
      <c r="D558" s="17">
        <f>IFERROR(__xludf.DUMMYFUNCTION("""COMPUTED_VALUE"""),3.0)</f>
        <v>3</v>
      </c>
      <c r="E558" s="17">
        <f>IFERROR(__xludf.DUMMYFUNCTION("""COMPUTED_VALUE"""),1.0)</f>
        <v>1</v>
      </c>
      <c r="F558" s="17">
        <f>IFERROR(__xludf.DUMMYFUNCTION("""COMPUTED_VALUE"""),3.0)</f>
        <v>3</v>
      </c>
      <c r="G558" s="17">
        <f>IFERROR(__xludf.DUMMYFUNCTION("""COMPUTED_VALUE"""),0.0)</f>
        <v>0</v>
      </c>
      <c r="H558" s="17">
        <f>IFERROR(__xludf.DUMMYFUNCTION("""COMPUTED_VALUE"""),0.223)</f>
        <v>0.223</v>
      </c>
      <c r="I558" s="17">
        <f>IFERROR(__xludf.DUMMYFUNCTION("""COMPUTED_VALUE"""),0.306)</f>
        <v>0.306</v>
      </c>
      <c r="J558" s="17">
        <f>IFERROR(__xludf.DUMMYFUNCTION("""COMPUTED_VALUE"""),5.0)</f>
        <v>5</v>
      </c>
      <c r="K558" s="17">
        <f>IFERROR(__xludf.DUMMYFUNCTION("""COMPUTED_VALUE"""),1.0)</f>
        <v>1</v>
      </c>
      <c r="L558" s="17">
        <f>IFERROR(__xludf.DUMMYFUNCTION("""COMPUTED_VALUE"""),0.0)</f>
        <v>0</v>
      </c>
      <c r="M558" s="17">
        <f>IFERROR(__xludf.DUMMYFUNCTION("""COMPUTED_VALUE"""),2.0)</f>
        <v>2</v>
      </c>
      <c r="N558" s="17">
        <f>IFERROR(__xludf.DUMMYFUNCTION("""COMPUTED_VALUE"""),7.0)</f>
        <v>7</v>
      </c>
      <c r="O558" s="17">
        <f>IFERROR(__xludf.DUMMYFUNCTION("""COMPUTED_VALUE"""),0.389)</f>
        <v>0.389</v>
      </c>
      <c r="P558" s="17">
        <f>IFERROR(__xludf.DUMMYFUNCTION("""COMPUTED_VALUE"""),0.695)</f>
        <v>0.695</v>
      </c>
      <c r="Q558" s="34">
        <f>IFERROR(__xludf.DUMMYFUNCTION("""COMPUTED_VALUE"""),0.0)</f>
        <v>0</v>
      </c>
      <c r="R558" s="34">
        <f>IFERROR(__xludf.DUMMYFUNCTION("""COMPUTED_VALUE"""),0.0)</f>
        <v>0</v>
      </c>
      <c r="S558" s="34">
        <f>IFERROR(__xludf.DUMMYFUNCTION("""COMPUTED_VALUE"""),0.0)</f>
        <v>0</v>
      </c>
      <c r="T558" s="17" t="str">
        <f t="shared" si="1"/>
        <v>Weston Wilson</v>
      </c>
    </row>
    <row r="559">
      <c r="A559" s="17">
        <f>IFERROR(__xludf.DUMMYFUNCTION("""COMPUTED_VALUE"""),559.0)</f>
        <v>559</v>
      </c>
      <c r="B559" s="17" t="str">
        <f>IFERROR(__xludf.DUMMYFUNCTION("""COMPUTED_VALUE"""),"Luis Lara (MIL - CF) MiLB")</f>
        <v>Luis Lara (MIL - CF) MiLB</v>
      </c>
      <c r="C559" s="17">
        <f>IFERROR(__xludf.DUMMYFUNCTION("""COMPUTED_VALUE"""),19.0)</f>
        <v>19</v>
      </c>
      <c r="D559" s="17">
        <f>IFERROR(__xludf.DUMMYFUNCTION("""COMPUTED_VALUE"""),3.0)</f>
        <v>3</v>
      </c>
      <c r="E559" s="17">
        <f>IFERROR(__xludf.DUMMYFUNCTION("""COMPUTED_VALUE"""),0.0)</f>
        <v>0</v>
      </c>
      <c r="F559" s="17">
        <f>IFERROR(__xludf.DUMMYFUNCTION("""COMPUTED_VALUE"""),2.0)</f>
        <v>2</v>
      </c>
      <c r="G559" s="17">
        <f>IFERROR(__xludf.DUMMYFUNCTION("""COMPUTED_VALUE"""),1.0)</f>
        <v>1</v>
      </c>
      <c r="H559" s="17">
        <f>IFERROR(__xludf.DUMMYFUNCTION("""COMPUTED_VALUE"""),0.232)</f>
        <v>0.232</v>
      </c>
      <c r="I559" s="17">
        <f>IFERROR(__xludf.DUMMYFUNCTION("""COMPUTED_VALUE"""),0.316)</f>
        <v>0.316</v>
      </c>
      <c r="J559" s="17">
        <f>IFERROR(__xludf.DUMMYFUNCTION("""COMPUTED_VALUE"""),5.0)</f>
        <v>5</v>
      </c>
      <c r="K559" s="17">
        <f>IFERROR(__xludf.DUMMYFUNCTION("""COMPUTED_VALUE"""),1.0)</f>
        <v>1</v>
      </c>
      <c r="L559" s="17">
        <f>IFERROR(__xludf.DUMMYFUNCTION("""COMPUTED_VALUE"""),0.0)</f>
        <v>0</v>
      </c>
      <c r="M559" s="17">
        <f>IFERROR(__xludf.DUMMYFUNCTION("""COMPUTED_VALUE"""),2.0)</f>
        <v>2</v>
      </c>
      <c r="N559" s="17">
        <f>IFERROR(__xludf.DUMMYFUNCTION("""COMPUTED_VALUE"""),5.0)</f>
        <v>5</v>
      </c>
      <c r="O559" s="17">
        <f>IFERROR(__xludf.DUMMYFUNCTION("""COMPUTED_VALUE"""),0.322)</f>
        <v>0.322</v>
      </c>
      <c r="P559" s="17">
        <f>IFERROR(__xludf.DUMMYFUNCTION("""COMPUTED_VALUE"""),0.638)</f>
        <v>0.638</v>
      </c>
      <c r="Q559" s="34">
        <f>IFERROR(__xludf.DUMMYFUNCTION("""COMPUTED_VALUE"""),0.0)</f>
        <v>0</v>
      </c>
      <c r="R559" s="34">
        <f>IFERROR(__xludf.DUMMYFUNCTION("""COMPUTED_VALUE"""),0.0)</f>
        <v>0</v>
      </c>
      <c r="S559" s="34">
        <f>IFERROR(__xludf.DUMMYFUNCTION("""COMPUTED_VALUE"""),0.0)</f>
        <v>0</v>
      </c>
      <c r="T559" s="17" t="str">
        <f t="shared" si="1"/>
        <v>Luis Lara</v>
      </c>
    </row>
    <row r="560">
      <c r="A560" s="17">
        <f>IFERROR(__xludf.DUMMYFUNCTION("""COMPUTED_VALUE"""),560.0)</f>
        <v>560</v>
      </c>
      <c r="B560" s="17" t="str">
        <f>IFERROR(__xludf.DUMMYFUNCTION("""COMPUTED_VALUE"""),"Bryan Torres (STL - 2B,LF,CF,RF) MiLB")</f>
        <v>Bryan Torres (STL - 2B,LF,CF,RF) MiLB</v>
      </c>
      <c r="C560" s="17">
        <f>IFERROR(__xludf.DUMMYFUNCTION("""COMPUTED_VALUE"""),19.0)</f>
        <v>19</v>
      </c>
      <c r="D560" s="17">
        <f>IFERROR(__xludf.DUMMYFUNCTION("""COMPUTED_VALUE"""),3.0)</f>
        <v>3</v>
      </c>
      <c r="E560" s="17">
        <f>IFERROR(__xludf.DUMMYFUNCTION("""COMPUTED_VALUE"""),0.0)</f>
        <v>0</v>
      </c>
      <c r="F560" s="17">
        <f>IFERROR(__xludf.DUMMYFUNCTION("""COMPUTED_VALUE"""),2.0)</f>
        <v>2</v>
      </c>
      <c r="G560" s="17">
        <f>IFERROR(__xludf.DUMMYFUNCTION("""COMPUTED_VALUE"""),1.0)</f>
        <v>1</v>
      </c>
      <c r="H560" s="17">
        <f>IFERROR(__xludf.DUMMYFUNCTION("""COMPUTED_VALUE"""),0.259)</f>
        <v>0.259</v>
      </c>
      <c r="I560" s="17">
        <f>IFERROR(__xludf.DUMMYFUNCTION("""COMPUTED_VALUE"""),0.341)</f>
        <v>0.341</v>
      </c>
      <c r="J560" s="17">
        <f>IFERROR(__xludf.DUMMYFUNCTION("""COMPUTED_VALUE"""),5.0)</f>
        <v>5</v>
      </c>
      <c r="K560" s="17">
        <f>IFERROR(__xludf.DUMMYFUNCTION("""COMPUTED_VALUE"""),1.0)</f>
        <v>1</v>
      </c>
      <c r="L560" s="17">
        <f>IFERROR(__xludf.DUMMYFUNCTION("""COMPUTED_VALUE"""),0.0)</f>
        <v>0</v>
      </c>
      <c r="M560" s="17">
        <f>IFERROR(__xludf.DUMMYFUNCTION("""COMPUTED_VALUE"""),2.0)</f>
        <v>2</v>
      </c>
      <c r="N560" s="17">
        <f>IFERROR(__xludf.DUMMYFUNCTION("""COMPUTED_VALUE"""),4.0)</f>
        <v>4</v>
      </c>
      <c r="O560" s="17">
        <f>IFERROR(__xludf.DUMMYFUNCTION("""COMPUTED_VALUE"""),0.323)</f>
        <v>0.323</v>
      </c>
      <c r="P560" s="17">
        <f>IFERROR(__xludf.DUMMYFUNCTION("""COMPUTED_VALUE"""),0.665)</f>
        <v>0.665</v>
      </c>
      <c r="Q560" s="34">
        <f>IFERROR(__xludf.DUMMYFUNCTION("""COMPUTED_VALUE"""),0.0)</f>
        <v>0</v>
      </c>
      <c r="R560" s="34">
        <f>IFERROR(__xludf.DUMMYFUNCTION("""COMPUTED_VALUE"""),0.0)</f>
        <v>0</v>
      </c>
      <c r="S560" s="34">
        <f>IFERROR(__xludf.DUMMYFUNCTION("""COMPUTED_VALUE"""),0.0)</f>
        <v>0</v>
      </c>
      <c r="T560" s="17" t="str">
        <f t="shared" si="1"/>
        <v>Bryan Torres</v>
      </c>
    </row>
    <row r="561">
      <c r="A561" s="17">
        <f>IFERROR(__xludf.DUMMYFUNCTION("""COMPUTED_VALUE"""),561.0)</f>
        <v>561</v>
      </c>
      <c r="B561" s="17" t="str">
        <f>IFERROR(__xludf.DUMMYFUNCTION("""COMPUTED_VALUE"""),"Jace Jung (DET - 3B)")</f>
        <v>Jace Jung (DET - 3B)</v>
      </c>
      <c r="C561" s="17">
        <f>IFERROR(__xludf.DUMMYFUNCTION("""COMPUTED_VALUE"""),26.0)</f>
        <v>26</v>
      </c>
      <c r="D561" s="17">
        <f>IFERROR(__xludf.DUMMYFUNCTION("""COMPUTED_VALUE"""),3.0)</f>
        <v>3</v>
      </c>
      <c r="E561" s="17">
        <f>IFERROR(__xludf.DUMMYFUNCTION("""COMPUTED_VALUE"""),1.0)</f>
        <v>1</v>
      </c>
      <c r="F561" s="17">
        <f>IFERROR(__xludf.DUMMYFUNCTION("""COMPUTED_VALUE"""),3.0)</f>
        <v>3</v>
      </c>
      <c r="G561" s="17">
        <f>IFERROR(__xludf.DUMMYFUNCTION("""COMPUTED_VALUE"""),0.0)</f>
        <v>0</v>
      </c>
      <c r="H561" s="17">
        <f>IFERROR(__xludf.DUMMYFUNCTION("""COMPUTED_VALUE"""),0.226)</f>
        <v>0.226</v>
      </c>
      <c r="I561" s="17">
        <f>IFERROR(__xludf.DUMMYFUNCTION("""COMPUTED_VALUE"""),0.328)</f>
        <v>0.328</v>
      </c>
      <c r="J561" s="17">
        <f>IFERROR(__xludf.DUMMYFUNCTION("""COMPUTED_VALUE"""),6.0)</f>
        <v>6</v>
      </c>
      <c r="K561" s="17">
        <f>IFERROR(__xludf.DUMMYFUNCTION("""COMPUTED_VALUE"""),1.0)</f>
        <v>1</v>
      </c>
      <c r="L561" s="17">
        <f>IFERROR(__xludf.DUMMYFUNCTION("""COMPUTED_VALUE"""),0.0)</f>
        <v>0</v>
      </c>
      <c r="M561" s="17">
        <f>IFERROR(__xludf.DUMMYFUNCTION("""COMPUTED_VALUE"""),4.0)</f>
        <v>4</v>
      </c>
      <c r="N561" s="17">
        <f>IFERROR(__xludf.DUMMYFUNCTION("""COMPUTED_VALUE"""),8.0)</f>
        <v>8</v>
      </c>
      <c r="O561" s="17">
        <f>IFERROR(__xludf.DUMMYFUNCTION("""COMPUTED_VALUE"""),0.385)</f>
        <v>0.385</v>
      </c>
      <c r="P561" s="17">
        <f>IFERROR(__xludf.DUMMYFUNCTION("""COMPUTED_VALUE"""),0.712)</f>
        <v>0.712</v>
      </c>
      <c r="Q561" s="34">
        <f>IFERROR(__xludf.DUMMYFUNCTION("""COMPUTED_VALUE"""),0.0)</f>
        <v>0</v>
      </c>
      <c r="R561" s="34">
        <f>IFERROR(__xludf.DUMMYFUNCTION("""COMPUTED_VALUE"""),0.0)</f>
        <v>0</v>
      </c>
      <c r="S561" s="34">
        <f>IFERROR(__xludf.DUMMYFUNCTION("""COMPUTED_VALUE"""),0.0)</f>
        <v>0</v>
      </c>
      <c r="T561" s="17" t="str">
        <f t="shared" si="1"/>
        <v>Jace Jung</v>
      </c>
    </row>
    <row r="562">
      <c r="A562" s="17">
        <f>IFERROR(__xludf.DUMMYFUNCTION("""COMPUTED_VALUE"""),562.0)</f>
        <v>562</v>
      </c>
      <c r="B562" s="17" t="str">
        <f>IFERROR(__xludf.DUMMYFUNCTION("""COMPUTED_VALUE"""),"Bryan Ramos (BAL - 3B) MiLB")</f>
        <v>Bryan Ramos (BAL - 3B) MiLB</v>
      </c>
      <c r="C562" s="17">
        <f>IFERROR(__xludf.DUMMYFUNCTION("""COMPUTED_VALUE"""),17.0)</f>
        <v>17</v>
      </c>
      <c r="D562" s="17">
        <f>IFERROR(__xludf.DUMMYFUNCTION("""COMPUTED_VALUE"""),2.0)</f>
        <v>2</v>
      </c>
      <c r="E562" s="17">
        <f>IFERROR(__xludf.DUMMYFUNCTION("""COMPUTED_VALUE"""),1.0)</f>
        <v>1</v>
      </c>
      <c r="F562" s="17">
        <f>IFERROR(__xludf.DUMMYFUNCTION("""COMPUTED_VALUE"""),2.0)</f>
        <v>2</v>
      </c>
      <c r="G562" s="17">
        <f>IFERROR(__xludf.DUMMYFUNCTION("""COMPUTED_VALUE"""),1.0)</f>
        <v>1</v>
      </c>
      <c r="H562" s="17">
        <f>IFERROR(__xludf.DUMMYFUNCTION("""COMPUTED_VALUE"""),0.218)</f>
        <v>0.218</v>
      </c>
      <c r="I562" s="17">
        <f>IFERROR(__xludf.DUMMYFUNCTION("""COMPUTED_VALUE"""),0.285)</f>
        <v>0.285</v>
      </c>
      <c r="J562" s="17">
        <f>IFERROR(__xludf.DUMMYFUNCTION("""COMPUTED_VALUE"""),4.0)</f>
        <v>4</v>
      </c>
      <c r="K562" s="17">
        <f>IFERROR(__xludf.DUMMYFUNCTION("""COMPUTED_VALUE"""),1.0)</f>
        <v>1</v>
      </c>
      <c r="L562" s="17">
        <f>IFERROR(__xludf.DUMMYFUNCTION("""COMPUTED_VALUE"""),0.0)</f>
        <v>0</v>
      </c>
      <c r="M562" s="17">
        <f>IFERROR(__xludf.DUMMYFUNCTION("""COMPUTED_VALUE"""),2.0)</f>
        <v>2</v>
      </c>
      <c r="N562" s="17">
        <f>IFERROR(__xludf.DUMMYFUNCTION("""COMPUTED_VALUE"""),5.0)</f>
        <v>5</v>
      </c>
      <c r="O562" s="17">
        <f>IFERROR(__xludf.DUMMYFUNCTION("""COMPUTED_VALUE"""),0.344)</f>
        <v>0.344</v>
      </c>
      <c r="P562" s="17">
        <f>IFERROR(__xludf.DUMMYFUNCTION("""COMPUTED_VALUE"""),0.629)</f>
        <v>0.629</v>
      </c>
      <c r="Q562" s="34">
        <f>IFERROR(__xludf.DUMMYFUNCTION("""COMPUTED_VALUE"""),0.0)</f>
        <v>0</v>
      </c>
      <c r="R562" s="34">
        <f>IFERROR(__xludf.DUMMYFUNCTION("""COMPUTED_VALUE"""),0.0)</f>
        <v>0</v>
      </c>
      <c r="S562" s="34">
        <f>IFERROR(__xludf.DUMMYFUNCTION("""COMPUTED_VALUE"""),0.0)</f>
        <v>0</v>
      </c>
      <c r="T562" s="17" t="str">
        <f t="shared" si="1"/>
        <v>Bryan Ramos</v>
      </c>
    </row>
    <row r="563">
      <c r="A563" s="17">
        <f>IFERROR(__xludf.DUMMYFUNCTION("""COMPUTED_VALUE"""),563.0)</f>
        <v>563</v>
      </c>
      <c r="B563" s="17" t="str">
        <f>IFERROR(__xludf.DUMMYFUNCTION("""COMPUTED_VALUE"""),"Eric Haase (SF - C)")</f>
        <v>Eric Haase (SF - C)</v>
      </c>
      <c r="C563" s="17">
        <f>IFERROR(__xludf.DUMMYFUNCTION("""COMPUTED_VALUE"""),35.0)</f>
        <v>35</v>
      </c>
      <c r="D563" s="17">
        <f>IFERROR(__xludf.DUMMYFUNCTION("""COMPUTED_VALUE"""),4.0)</f>
        <v>4</v>
      </c>
      <c r="E563" s="17">
        <f>IFERROR(__xludf.DUMMYFUNCTION("""COMPUTED_VALUE"""),1.0)</f>
        <v>1</v>
      </c>
      <c r="F563" s="17">
        <f>IFERROR(__xludf.DUMMYFUNCTION("""COMPUTED_VALUE"""),4.0)</f>
        <v>4</v>
      </c>
      <c r="G563" s="17">
        <f>IFERROR(__xludf.DUMMYFUNCTION("""COMPUTED_VALUE"""),0.0)</f>
        <v>0</v>
      </c>
      <c r="H563" s="17">
        <f>IFERROR(__xludf.DUMMYFUNCTION("""COMPUTED_VALUE"""),0.21)</f>
        <v>0.21</v>
      </c>
      <c r="I563" s="17">
        <f>IFERROR(__xludf.DUMMYFUNCTION("""COMPUTED_VALUE"""),0.265)</f>
        <v>0.265</v>
      </c>
      <c r="J563" s="17">
        <f>IFERROR(__xludf.DUMMYFUNCTION("""COMPUTED_VALUE"""),7.0)</f>
        <v>7</v>
      </c>
      <c r="K563" s="17">
        <f>IFERROR(__xludf.DUMMYFUNCTION("""COMPUTED_VALUE"""),1.0)</f>
        <v>1</v>
      </c>
      <c r="L563" s="17">
        <f>IFERROR(__xludf.DUMMYFUNCTION("""COMPUTED_VALUE"""),0.0)</f>
        <v>0</v>
      </c>
      <c r="M563" s="17">
        <f>IFERROR(__xludf.DUMMYFUNCTION("""COMPUTED_VALUE"""),2.0)</f>
        <v>2</v>
      </c>
      <c r="N563" s="17">
        <f>IFERROR(__xludf.DUMMYFUNCTION("""COMPUTED_VALUE"""),12.0)</f>
        <v>12</v>
      </c>
      <c r="O563" s="17">
        <f>IFERROR(__xludf.DUMMYFUNCTION("""COMPUTED_VALUE"""),0.34)</f>
        <v>0.34</v>
      </c>
      <c r="P563" s="17">
        <f>IFERROR(__xludf.DUMMYFUNCTION("""COMPUTED_VALUE"""),0.604)</f>
        <v>0.604</v>
      </c>
      <c r="Q563" s="34">
        <f>IFERROR(__xludf.DUMMYFUNCTION("""COMPUTED_VALUE"""),0.0)</f>
        <v>0</v>
      </c>
      <c r="R563" s="34">
        <f>IFERROR(__xludf.DUMMYFUNCTION("""COMPUTED_VALUE"""),0.0)</f>
        <v>0</v>
      </c>
      <c r="S563" s="34">
        <f>IFERROR(__xludf.DUMMYFUNCTION("""COMPUTED_VALUE"""),0.0)</f>
        <v>0</v>
      </c>
      <c r="T563" s="17" t="str">
        <f t="shared" si="1"/>
        <v>Eric Haase</v>
      </c>
    </row>
    <row r="564">
      <c r="A564" s="17">
        <f>IFERROR(__xludf.DUMMYFUNCTION("""COMPUTED_VALUE"""),564.0)</f>
        <v>564</v>
      </c>
      <c r="B564" s="17" t="str">
        <f>IFERROR(__xludf.DUMMYFUNCTION("""COMPUTED_VALUE"""),"Dylan O'Rae (MIL - 2B,CF) MiLB")</f>
        <v>Dylan O'Rae (MIL - 2B,CF) MiLB</v>
      </c>
      <c r="C564" s="17">
        <f>IFERROR(__xludf.DUMMYFUNCTION("""COMPUTED_VALUE"""),23.0)</f>
        <v>23</v>
      </c>
      <c r="D564" s="17">
        <f>IFERROR(__xludf.DUMMYFUNCTION("""COMPUTED_VALUE"""),3.0)</f>
        <v>3</v>
      </c>
      <c r="E564" s="17">
        <f>IFERROR(__xludf.DUMMYFUNCTION("""COMPUTED_VALUE"""),0.0)</f>
        <v>0</v>
      </c>
      <c r="F564" s="17">
        <f>IFERROR(__xludf.DUMMYFUNCTION("""COMPUTED_VALUE"""),2.0)</f>
        <v>2</v>
      </c>
      <c r="G564" s="17">
        <f>IFERROR(__xludf.DUMMYFUNCTION("""COMPUTED_VALUE"""),2.0)</f>
        <v>2</v>
      </c>
      <c r="H564" s="17">
        <f>IFERROR(__xludf.DUMMYFUNCTION("""COMPUTED_VALUE"""),0.205)</f>
        <v>0.205</v>
      </c>
      <c r="I564" s="17">
        <f>IFERROR(__xludf.DUMMYFUNCTION("""COMPUTED_VALUE"""),0.314)</f>
        <v>0.314</v>
      </c>
      <c r="J564" s="17">
        <f>IFERROR(__xludf.DUMMYFUNCTION("""COMPUTED_VALUE"""),5.0)</f>
        <v>5</v>
      </c>
      <c r="K564" s="17">
        <f>IFERROR(__xludf.DUMMYFUNCTION("""COMPUTED_VALUE"""),1.0)</f>
        <v>1</v>
      </c>
      <c r="L564" s="17">
        <f>IFERROR(__xludf.DUMMYFUNCTION("""COMPUTED_VALUE"""),0.0)</f>
        <v>0</v>
      </c>
      <c r="M564" s="17">
        <f>IFERROR(__xludf.DUMMYFUNCTION("""COMPUTED_VALUE"""),3.0)</f>
        <v>3</v>
      </c>
      <c r="N564" s="17">
        <f>IFERROR(__xludf.DUMMYFUNCTION("""COMPUTED_VALUE"""),6.0)</f>
        <v>6</v>
      </c>
      <c r="O564" s="17">
        <f>IFERROR(__xludf.DUMMYFUNCTION("""COMPUTED_VALUE"""),0.251)</f>
        <v>0.251</v>
      </c>
      <c r="P564" s="17">
        <f>IFERROR(__xludf.DUMMYFUNCTION("""COMPUTED_VALUE"""),0.565)</f>
        <v>0.565</v>
      </c>
      <c r="Q564" s="34">
        <f>IFERROR(__xludf.DUMMYFUNCTION("""COMPUTED_VALUE"""),0.0)</f>
        <v>0</v>
      </c>
      <c r="R564" s="34">
        <f>IFERROR(__xludf.DUMMYFUNCTION("""COMPUTED_VALUE"""),0.0)</f>
        <v>0</v>
      </c>
      <c r="S564" s="34">
        <f>IFERROR(__xludf.DUMMYFUNCTION("""COMPUTED_VALUE"""),0.0)</f>
        <v>0</v>
      </c>
      <c r="T564" s="17" t="str">
        <f t="shared" si="1"/>
        <v>Dylan O'Rae</v>
      </c>
    </row>
    <row r="565">
      <c r="A565" s="17">
        <f>IFERROR(__xludf.DUMMYFUNCTION("""COMPUTED_VALUE"""),565.0)</f>
        <v>565</v>
      </c>
      <c r="B565" s="17" t="str">
        <f>IFERROR(__xludf.DUMMYFUNCTION("""COMPUTED_VALUE"""),"Aidan Miller (PHI - SS) MiLB")</f>
        <v>Aidan Miller (PHI - SS) MiLB</v>
      </c>
      <c r="C565" s="17">
        <f>IFERROR(__xludf.DUMMYFUNCTION("""COMPUTED_VALUE"""),22.0)</f>
        <v>22</v>
      </c>
      <c r="D565" s="17">
        <f>IFERROR(__xludf.DUMMYFUNCTION("""COMPUTED_VALUE"""),3.0)</f>
        <v>3</v>
      </c>
      <c r="E565" s="17">
        <f>IFERROR(__xludf.DUMMYFUNCTION("""COMPUTED_VALUE"""),0.0)</f>
        <v>0</v>
      </c>
      <c r="F565" s="17">
        <f>IFERROR(__xludf.DUMMYFUNCTION("""COMPUTED_VALUE"""),3.0)</f>
        <v>3</v>
      </c>
      <c r="G565" s="17">
        <f>IFERROR(__xludf.DUMMYFUNCTION("""COMPUTED_VALUE"""),1.0)</f>
        <v>1</v>
      </c>
      <c r="H565" s="17">
        <f>IFERROR(__xludf.DUMMYFUNCTION("""COMPUTED_VALUE"""),0.22)</f>
        <v>0.22</v>
      </c>
      <c r="I565" s="17">
        <f>IFERROR(__xludf.DUMMYFUNCTION("""COMPUTED_VALUE"""),0.31)</f>
        <v>0.31</v>
      </c>
      <c r="J565" s="17">
        <f>IFERROR(__xludf.DUMMYFUNCTION("""COMPUTED_VALUE"""),5.0)</f>
        <v>5</v>
      </c>
      <c r="K565" s="17">
        <f>IFERROR(__xludf.DUMMYFUNCTION("""COMPUTED_VALUE"""),1.0)</f>
        <v>1</v>
      </c>
      <c r="L565" s="17">
        <f>IFERROR(__xludf.DUMMYFUNCTION("""COMPUTED_VALUE"""),0.0)</f>
        <v>0</v>
      </c>
      <c r="M565" s="17">
        <f>IFERROR(__xludf.DUMMYFUNCTION("""COMPUTED_VALUE"""),3.0)</f>
        <v>3</v>
      </c>
      <c r="N565" s="17">
        <f>IFERROR(__xludf.DUMMYFUNCTION("""COMPUTED_VALUE"""),7.0)</f>
        <v>7</v>
      </c>
      <c r="O565" s="17">
        <f>IFERROR(__xludf.DUMMYFUNCTION("""COMPUTED_VALUE"""),0.332)</f>
        <v>0.332</v>
      </c>
      <c r="P565" s="17">
        <f>IFERROR(__xludf.DUMMYFUNCTION("""COMPUTED_VALUE"""),0.642)</f>
        <v>0.642</v>
      </c>
      <c r="Q565" s="34">
        <f>IFERROR(__xludf.DUMMYFUNCTION("""COMPUTED_VALUE"""),0.02)</f>
        <v>0.02</v>
      </c>
      <c r="R565" s="34">
        <f>IFERROR(__xludf.DUMMYFUNCTION("""COMPUTED_VALUE"""),0.03)</f>
        <v>0.03</v>
      </c>
      <c r="S565" s="34">
        <f>IFERROR(__xludf.DUMMYFUNCTION("""COMPUTED_VALUE"""),0.01)</f>
        <v>0.01</v>
      </c>
      <c r="T565" s="17" t="str">
        <f t="shared" si="1"/>
        <v>Aidan Miller</v>
      </c>
    </row>
    <row r="566">
      <c r="A566" s="17">
        <f>IFERROR(__xludf.DUMMYFUNCTION("""COMPUTED_VALUE"""),566.0)</f>
        <v>566</v>
      </c>
      <c r="B566" s="17" t="str">
        <f>IFERROR(__xludf.DUMMYFUNCTION("""COMPUTED_VALUE"""),"Blaze Jordan (STL - 1B,3B) MiLB")</f>
        <v>Blaze Jordan (STL - 1B,3B) MiLB</v>
      </c>
      <c r="C566" s="17">
        <f>IFERROR(__xludf.DUMMYFUNCTION("""COMPUTED_VALUE"""),18.0)</f>
        <v>18</v>
      </c>
      <c r="D566" s="17">
        <f>IFERROR(__xludf.DUMMYFUNCTION("""COMPUTED_VALUE"""),2.0)</f>
        <v>2</v>
      </c>
      <c r="E566" s="17">
        <f>IFERROR(__xludf.DUMMYFUNCTION("""COMPUTED_VALUE"""),1.0)</f>
        <v>1</v>
      </c>
      <c r="F566" s="17">
        <f>IFERROR(__xludf.DUMMYFUNCTION("""COMPUTED_VALUE"""),2.0)</f>
        <v>2</v>
      </c>
      <c r="G566" s="17">
        <f>IFERROR(__xludf.DUMMYFUNCTION("""COMPUTED_VALUE"""),0.0)</f>
        <v>0</v>
      </c>
      <c r="H566" s="17">
        <f>IFERROR(__xludf.DUMMYFUNCTION("""COMPUTED_VALUE"""),0.264)</f>
        <v>0.264</v>
      </c>
      <c r="I566" s="17">
        <f>IFERROR(__xludf.DUMMYFUNCTION("""COMPUTED_VALUE"""),0.305)</f>
        <v>0.305</v>
      </c>
      <c r="J566" s="17">
        <f>IFERROR(__xludf.DUMMYFUNCTION("""COMPUTED_VALUE"""),5.0)</f>
        <v>5</v>
      </c>
      <c r="K566" s="17">
        <f>IFERROR(__xludf.DUMMYFUNCTION("""COMPUTED_VALUE"""),1.0)</f>
        <v>1</v>
      </c>
      <c r="L566" s="17">
        <f>IFERROR(__xludf.DUMMYFUNCTION("""COMPUTED_VALUE"""),0.0)</f>
        <v>0</v>
      </c>
      <c r="M566" s="17">
        <f>IFERROR(__xludf.DUMMYFUNCTION("""COMPUTED_VALUE"""),1.0)</f>
        <v>1</v>
      </c>
      <c r="N566" s="17">
        <f>IFERROR(__xludf.DUMMYFUNCTION("""COMPUTED_VALUE"""),3.0)</f>
        <v>3</v>
      </c>
      <c r="O566" s="17">
        <f>IFERROR(__xludf.DUMMYFUNCTION("""COMPUTED_VALUE"""),0.411)</f>
        <v>0.411</v>
      </c>
      <c r="P566" s="17">
        <f>IFERROR(__xludf.DUMMYFUNCTION("""COMPUTED_VALUE"""),0.717)</f>
        <v>0.717</v>
      </c>
      <c r="Q566" s="34">
        <f>IFERROR(__xludf.DUMMYFUNCTION("""COMPUTED_VALUE"""),0.0)</f>
        <v>0</v>
      </c>
      <c r="R566" s="34">
        <f>IFERROR(__xludf.DUMMYFUNCTION("""COMPUTED_VALUE"""),0.0)</f>
        <v>0</v>
      </c>
      <c r="S566" s="34">
        <f>IFERROR(__xludf.DUMMYFUNCTION("""COMPUTED_VALUE"""),0.0)</f>
        <v>0</v>
      </c>
      <c r="T566" s="17" t="str">
        <f t="shared" si="1"/>
        <v>Blaze Jordan</v>
      </c>
    </row>
    <row r="567">
      <c r="A567" s="17">
        <f>IFERROR(__xludf.DUMMYFUNCTION("""COMPUTED_VALUE"""),567.0)</f>
        <v>567</v>
      </c>
      <c r="B567" s="17" t="str">
        <f>IFERROR(__xludf.DUMMYFUNCTION("""COMPUTED_VALUE"""),"Rafael Lantigua (TOR - 2B,3B) MiLB")</f>
        <v>Rafael Lantigua (TOR - 2B,3B) MiLB</v>
      </c>
      <c r="C567" s="17">
        <f>IFERROR(__xludf.DUMMYFUNCTION("""COMPUTED_VALUE"""),24.0)</f>
        <v>24</v>
      </c>
      <c r="D567" s="17">
        <f>IFERROR(__xludf.DUMMYFUNCTION("""COMPUTED_VALUE"""),3.0)</f>
        <v>3</v>
      </c>
      <c r="E567" s="17">
        <f>IFERROR(__xludf.DUMMYFUNCTION("""COMPUTED_VALUE"""),1.0)</f>
        <v>1</v>
      </c>
      <c r="F567" s="17">
        <f>IFERROR(__xludf.DUMMYFUNCTION("""COMPUTED_VALUE"""),2.0)</f>
        <v>2</v>
      </c>
      <c r="G567" s="17">
        <f>IFERROR(__xludf.DUMMYFUNCTION("""COMPUTED_VALUE"""),1.0)</f>
        <v>1</v>
      </c>
      <c r="H567" s="17">
        <f>IFERROR(__xludf.DUMMYFUNCTION("""COMPUTED_VALUE"""),0.217)</f>
        <v>0.217</v>
      </c>
      <c r="I567" s="17">
        <f>IFERROR(__xludf.DUMMYFUNCTION("""COMPUTED_VALUE"""),0.308)</f>
        <v>0.308</v>
      </c>
      <c r="J567" s="17">
        <f>IFERROR(__xludf.DUMMYFUNCTION("""COMPUTED_VALUE"""),5.0)</f>
        <v>5</v>
      </c>
      <c r="K567" s="17">
        <f>IFERROR(__xludf.DUMMYFUNCTION("""COMPUTED_VALUE"""),1.0)</f>
        <v>1</v>
      </c>
      <c r="L567" s="17">
        <f>IFERROR(__xludf.DUMMYFUNCTION("""COMPUTED_VALUE"""),0.0)</f>
        <v>0</v>
      </c>
      <c r="M567" s="17">
        <f>IFERROR(__xludf.DUMMYFUNCTION("""COMPUTED_VALUE"""),3.0)</f>
        <v>3</v>
      </c>
      <c r="N567" s="17">
        <f>IFERROR(__xludf.DUMMYFUNCTION("""COMPUTED_VALUE"""),6.0)</f>
        <v>6</v>
      </c>
      <c r="O567" s="17">
        <f>IFERROR(__xludf.DUMMYFUNCTION("""COMPUTED_VALUE"""),0.326)</f>
        <v>0.326</v>
      </c>
      <c r="P567" s="17">
        <f>IFERROR(__xludf.DUMMYFUNCTION("""COMPUTED_VALUE"""),0.633)</f>
        <v>0.633</v>
      </c>
      <c r="Q567" s="34">
        <f>IFERROR(__xludf.DUMMYFUNCTION("""COMPUTED_VALUE"""),0.0)</f>
        <v>0</v>
      </c>
      <c r="R567" s="34">
        <f>IFERROR(__xludf.DUMMYFUNCTION("""COMPUTED_VALUE"""),0.0)</f>
        <v>0</v>
      </c>
      <c r="S567" s="34">
        <f>IFERROR(__xludf.DUMMYFUNCTION("""COMPUTED_VALUE"""),0.0)</f>
        <v>0</v>
      </c>
      <c r="T567" s="17" t="str">
        <f t="shared" si="1"/>
        <v>Rafael Lantigua</v>
      </c>
    </row>
    <row r="568">
      <c r="A568" s="17">
        <f>IFERROR(__xludf.DUMMYFUNCTION("""COMPUTED_VALUE"""),568.0)</f>
        <v>568</v>
      </c>
      <c r="B568" s="17" t="str">
        <f>IFERROR(__xludf.DUMMYFUNCTION("""COMPUTED_VALUE"""),"Eric Brown Jr. (MIL - 2B,SS) MiLB")</f>
        <v>Eric Brown Jr. (MIL - 2B,SS) MiLB</v>
      </c>
      <c r="C568" s="17">
        <f>IFERROR(__xludf.DUMMYFUNCTION("""COMPUTED_VALUE"""),24.0)</f>
        <v>24</v>
      </c>
      <c r="D568" s="17">
        <f>IFERROR(__xludf.DUMMYFUNCTION("""COMPUTED_VALUE"""),3.0)</f>
        <v>3</v>
      </c>
      <c r="E568" s="17">
        <f>IFERROR(__xludf.DUMMYFUNCTION("""COMPUTED_VALUE"""),1.0)</f>
        <v>1</v>
      </c>
      <c r="F568" s="17">
        <f>IFERROR(__xludf.DUMMYFUNCTION("""COMPUTED_VALUE"""),2.0)</f>
        <v>2</v>
      </c>
      <c r="G568" s="17">
        <f>IFERROR(__xludf.DUMMYFUNCTION("""COMPUTED_VALUE"""),1.0)</f>
        <v>1</v>
      </c>
      <c r="H568" s="17">
        <f>IFERROR(__xludf.DUMMYFUNCTION("""COMPUTED_VALUE"""),0.196)</f>
        <v>0.196</v>
      </c>
      <c r="I568" s="17">
        <f>IFERROR(__xludf.DUMMYFUNCTION("""COMPUTED_VALUE"""),0.274)</f>
        <v>0.274</v>
      </c>
      <c r="J568" s="17">
        <f>IFERROR(__xludf.DUMMYFUNCTION("""COMPUTED_VALUE"""),5.0)</f>
        <v>5</v>
      </c>
      <c r="K568" s="17">
        <f>IFERROR(__xludf.DUMMYFUNCTION("""COMPUTED_VALUE"""),1.0)</f>
        <v>1</v>
      </c>
      <c r="L568" s="17">
        <f>IFERROR(__xludf.DUMMYFUNCTION("""COMPUTED_VALUE"""),0.0)</f>
        <v>0</v>
      </c>
      <c r="M568" s="17">
        <f>IFERROR(__xludf.DUMMYFUNCTION("""COMPUTED_VALUE"""),2.0)</f>
        <v>2</v>
      </c>
      <c r="N568" s="17">
        <f>IFERROR(__xludf.DUMMYFUNCTION("""COMPUTED_VALUE"""),6.0)</f>
        <v>6</v>
      </c>
      <c r="O568" s="17">
        <f>IFERROR(__xludf.DUMMYFUNCTION("""COMPUTED_VALUE"""),0.304)</f>
        <v>0.304</v>
      </c>
      <c r="P568" s="17">
        <f>IFERROR(__xludf.DUMMYFUNCTION("""COMPUTED_VALUE"""),0.578)</f>
        <v>0.578</v>
      </c>
      <c r="Q568" s="34">
        <f>IFERROR(__xludf.DUMMYFUNCTION("""COMPUTED_VALUE"""),0.0)</f>
        <v>0</v>
      </c>
      <c r="R568" s="34">
        <f>IFERROR(__xludf.DUMMYFUNCTION("""COMPUTED_VALUE"""),0.0)</f>
        <v>0</v>
      </c>
      <c r="S568" s="34">
        <f>IFERROR(__xludf.DUMMYFUNCTION("""COMPUTED_VALUE"""),0.0)</f>
        <v>0</v>
      </c>
      <c r="T568" s="17" t="str">
        <f t="shared" si="1"/>
        <v>Eric Brown Jr.</v>
      </c>
    </row>
    <row r="569">
      <c r="A569" s="17">
        <f>IFERROR(__xludf.DUMMYFUNCTION("""COMPUTED_VALUE"""),569.0)</f>
        <v>569</v>
      </c>
      <c r="B569" s="17" t="str">
        <f>IFERROR(__xludf.DUMMYFUNCTION("""COMPUTED_VALUE"""),"Carlos Perez (HOU - C,1B) MiLB")</f>
        <v>Carlos Perez (HOU - C,1B) MiLB</v>
      </c>
      <c r="C569" s="17">
        <f>IFERROR(__xludf.DUMMYFUNCTION("""COMPUTED_VALUE"""),23.0)</f>
        <v>23</v>
      </c>
      <c r="D569" s="17">
        <f>IFERROR(__xludf.DUMMYFUNCTION("""COMPUTED_VALUE"""),3.0)</f>
        <v>3</v>
      </c>
      <c r="E569" s="17">
        <f>IFERROR(__xludf.DUMMYFUNCTION("""COMPUTED_VALUE"""),1.0)</f>
        <v>1</v>
      </c>
      <c r="F569" s="17">
        <f>IFERROR(__xludf.DUMMYFUNCTION("""COMPUTED_VALUE"""),3.0)</f>
        <v>3</v>
      </c>
      <c r="G569" s="17">
        <f>IFERROR(__xludf.DUMMYFUNCTION("""COMPUTED_VALUE"""),0.0)</f>
        <v>0</v>
      </c>
      <c r="H569" s="17">
        <f>IFERROR(__xludf.DUMMYFUNCTION("""COMPUTED_VALUE"""),0.222)</f>
        <v>0.222</v>
      </c>
      <c r="I569" s="17">
        <f>IFERROR(__xludf.DUMMYFUNCTION("""COMPUTED_VALUE"""),0.299)</f>
        <v>0.299</v>
      </c>
      <c r="J569" s="17">
        <f>IFERROR(__xludf.DUMMYFUNCTION("""COMPUTED_VALUE"""),5.0)</f>
        <v>5</v>
      </c>
      <c r="K569" s="17">
        <f>IFERROR(__xludf.DUMMYFUNCTION("""COMPUTED_VALUE"""),1.0)</f>
        <v>1</v>
      </c>
      <c r="L569" s="17">
        <f>IFERROR(__xludf.DUMMYFUNCTION("""COMPUTED_VALUE"""),0.0)</f>
        <v>0</v>
      </c>
      <c r="M569" s="17">
        <f>IFERROR(__xludf.DUMMYFUNCTION("""COMPUTED_VALUE"""),2.0)</f>
        <v>2</v>
      </c>
      <c r="N569" s="17">
        <f>IFERROR(__xludf.DUMMYFUNCTION("""COMPUTED_VALUE"""),6.0)</f>
        <v>6</v>
      </c>
      <c r="O569" s="17">
        <f>IFERROR(__xludf.DUMMYFUNCTION("""COMPUTED_VALUE"""),0.399)</f>
        <v>0.399</v>
      </c>
      <c r="P569" s="17">
        <f>IFERROR(__xludf.DUMMYFUNCTION("""COMPUTED_VALUE"""),0.698)</f>
        <v>0.698</v>
      </c>
      <c r="Q569" s="34">
        <f>IFERROR(__xludf.DUMMYFUNCTION("""COMPUTED_VALUE"""),0.0)</f>
        <v>0</v>
      </c>
      <c r="R569" s="34">
        <f>IFERROR(__xludf.DUMMYFUNCTION("""COMPUTED_VALUE"""),0.0)</f>
        <v>0</v>
      </c>
      <c r="S569" s="34">
        <f>IFERROR(__xludf.DUMMYFUNCTION("""COMPUTED_VALUE"""),0.0)</f>
        <v>0</v>
      </c>
      <c r="T569" s="17" t="str">
        <f t="shared" si="1"/>
        <v>Carlos Perez</v>
      </c>
    </row>
    <row r="570">
      <c r="A570" s="17">
        <f>IFERROR(__xludf.DUMMYFUNCTION("""COMPUTED_VALUE"""),570.0)</f>
        <v>570</v>
      </c>
      <c r="B570" s="17" t="str">
        <f>IFERROR(__xludf.DUMMYFUNCTION("""COMPUTED_VALUE"""),"Brendan Rodgers (BOS - 2B) MiLB")</f>
        <v>Brendan Rodgers (BOS - 2B) MiLB</v>
      </c>
      <c r="C570" s="17">
        <f>IFERROR(__xludf.DUMMYFUNCTION("""COMPUTED_VALUE"""),23.0)</f>
        <v>23</v>
      </c>
      <c r="D570" s="17">
        <f>IFERROR(__xludf.DUMMYFUNCTION("""COMPUTED_VALUE"""),3.0)</f>
        <v>3</v>
      </c>
      <c r="E570" s="17">
        <f>IFERROR(__xludf.DUMMYFUNCTION("""COMPUTED_VALUE"""),1.0)</f>
        <v>1</v>
      </c>
      <c r="F570" s="17">
        <f>IFERROR(__xludf.DUMMYFUNCTION("""COMPUTED_VALUE"""),3.0)</f>
        <v>3</v>
      </c>
      <c r="G570" s="17">
        <f>IFERROR(__xludf.DUMMYFUNCTION("""COMPUTED_VALUE"""),0.0)</f>
        <v>0</v>
      </c>
      <c r="H570" s="17">
        <f>IFERROR(__xludf.DUMMYFUNCTION("""COMPUTED_VALUE"""),0.223)</f>
        <v>0.223</v>
      </c>
      <c r="I570" s="17">
        <f>IFERROR(__xludf.DUMMYFUNCTION("""COMPUTED_VALUE"""),0.3)</f>
        <v>0.3</v>
      </c>
      <c r="J570" s="17">
        <f>IFERROR(__xludf.DUMMYFUNCTION("""COMPUTED_VALUE"""),5.0)</f>
        <v>5</v>
      </c>
      <c r="K570" s="17">
        <f>IFERROR(__xludf.DUMMYFUNCTION("""COMPUTED_VALUE"""),1.0)</f>
        <v>1</v>
      </c>
      <c r="L570" s="17">
        <f>IFERROR(__xludf.DUMMYFUNCTION("""COMPUTED_VALUE"""),0.0)</f>
        <v>0</v>
      </c>
      <c r="M570" s="17">
        <f>IFERROR(__xludf.DUMMYFUNCTION("""COMPUTED_VALUE"""),2.0)</f>
        <v>2</v>
      </c>
      <c r="N570" s="17">
        <f>IFERROR(__xludf.DUMMYFUNCTION("""COMPUTED_VALUE"""),7.0)</f>
        <v>7</v>
      </c>
      <c r="O570" s="17">
        <f>IFERROR(__xludf.DUMMYFUNCTION("""COMPUTED_VALUE"""),0.335)</f>
        <v>0.335</v>
      </c>
      <c r="P570" s="17">
        <f>IFERROR(__xludf.DUMMYFUNCTION("""COMPUTED_VALUE"""),0.635)</f>
        <v>0.635</v>
      </c>
      <c r="Q570" s="34">
        <f>IFERROR(__xludf.DUMMYFUNCTION("""COMPUTED_VALUE"""),0.0)</f>
        <v>0</v>
      </c>
      <c r="R570" s="34">
        <f>IFERROR(__xludf.DUMMYFUNCTION("""COMPUTED_VALUE"""),0.0)</f>
        <v>0</v>
      </c>
      <c r="S570" s="34">
        <f>IFERROR(__xludf.DUMMYFUNCTION("""COMPUTED_VALUE"""),0.0)</f>
        <v>0</v>
      </c>
      <c r="T570" s="17" t="str">
        <f t="shared" si="1"/>
        <v>Brendan Rodgers</v>
      </c>
    </row>
    <row r="571">
      <c r="A571" s="17">
        <f>IFERROR(__xludf.DUMMYFUNCTION("""COMPUTED_VALUE"""),571.0)</f>
        <v>571</v>
      </c>
      <c r="B571" s="17" t="str">
        <f>IFERROR(__xludf.DUMMYFUNCTION("""COMPUTED_VALUE"""),"Henry Bolte (ATH - RF) MiLB")</f>
        <v>Henry Bolte (ATH - RF) MiLB</v>
      </c>
      <c r="C571" s="17">
        <f>IFERROR(__xludf.DUMMYFUNCTION("""COMPUTED_VALUE"""),20.0)</f>
        <v>20</v>
      </c>
      <c r="D571" s="17">
        <f>IFERROR(__xludf.DUMMYFUNCTION("""COMPUTED_VALUE"""),3.0)</f>
        <v>3</v>
      </c>
      <c r="E571" s="17">
        <f>IFERROR(__xludf.DUMMYFUNCTION("""COMPUTED_VALUE"""),0.0)</f>
        <v>0</v>
      </c>
      <c r="F571" s="17">
        <f>IFERROR(__xludf.DUMMYFUNCTION("""COMPUTED_VALUE"""),2.0)</f>
        <v>2</v>
      </c>
      <c r="G571" s="17">
        <f>IFERROR(__xludf.DUMMYFUNCTION("""COMPUTED_VALUE"""),1.0)</f>
        <v>1</v>
      </c>
      <c r="H571" s="17">
        <f>IFERROR(__xludf.DUMMYFUNCTION("""COMPUTED_VALUE"""),0.225)</f>
        <v>0.225</v>
      </c>
      <c r="I571" s="17">
        <f>IFERROR(__xludf.DUMMYFUNCTION("""COMPUTED_VALUE"""),0.296)</f>
        <v>0.296</v>
      </c>
      <c r="J571" s="17">
        <f>IFERROR(__xludf.DUMMYFUNCTION("""COMPUTED_VALUE"""),5.0)</f>
        <v>5</v>
      </c>
      <c r="K571" s="17">
        <f>IFERROR(__xludf.DUMMYFUNCTION("""COMPUTED_VALUE"""),1.0)</f>
        <v>1</v>
      </c>
      <c r="L571" s="17">
        <f>IFERROR(__xludf.DUMMYFUNCTION("""COMPUTED_VALUE"""),0.0)</f>
        <v>0</v>
      </c>
      <c r="M571" s="17">
        <f>IFERROR(__xludf.DUMMYFUNCTION("""COMPUTED_VALUE"""),2.0)</f>
        <v>2</v>
      </c>
      <c r="N571" s="17">
        <f>IFERROR(__xludf.DUMMYFUNCTION("""COMPUTED_VALUE"""),7.0)</f>
        <v>7</v>
      </c>
      <c r="O571" s="17">
        <f>IFERROR(__xludf.DUMMYFUNCTION("""COMPUTED_VALUE"""),0.346)</f>
        <v>0.346</v>
      </c>
      <c r="P571" s="17">
        <f>IFERROR(__xludf.DUMMYFUNCTION("""COMPUTED_VALUE"""),0.643)</f>
        <v>0.643</v>
      </c>
      <c r="Q571" s="34">
        <f>IFERROR(__xludf.DUMMYFUNCTION("""COMPUTED_VALUE"""),0.0)</f>
        <v>0</v>
      </c>
      <c r="R571" s="34">
        <f>IFERROR(__xludf.DUMMYFUNCTION("""COMPUTED_VALUE"""),0.0)</f>
        <v>0</v>
      </c>
      <c r="S571" s="34">
        <f>IFERROR(__xludf.DUMMYFUNCTION("""COMPUTED_VALUE"""),0.0)</f>
        <v>0</v>
      </c>
      <c r="T571" s="17" t="str">
        <f t="shared" si="1"/>
        <v>Henry Bolte</v>
      </c>
    </row>
    <row r="572">
      <c r="A572" s="17">
        <f>IFERROR(__xludf.DUMMYFUNCTION("""COMPUTED_VALUE"""),572.0)</f>
        <v>572</v>
      </c>
      <c r="B572" s="17" t="str">
        <f>IFERROR(__xludf.DUMMYFUNCTION("""COMPUTED_VALUE"""),"Justin Foscue (TEX - 1B) MiLB")</f>
        <v>Justin Foscue (TEX - 1B) MiLB</v>
      </c>
      <c r="C572" s="17">
        <f>IFERROR(__xludf.DUMMYFUNCTION("""COMPUTED_VALUE"""),27.0)</f>
        <v>27</v>
      </c>
      <c r="D572" s="17">
        <f>IFERROR(__xludf.DUMMYFUNCTION("""COMPUTED_VALUE"""),3.0)</f>
        <v>3</v>
      </c>
      <c r="E572" s="17">
        <f>IFERROR(__xludf.DUMMYFUNCTION("""COMPUTED_VALUE"""),1.0)</f>
        <v>1</v>
      </c>
      <c r="F572" s="17">
        <f>IFERROR(__xludf.DUMMYFUNCTION("""COMPUTED_VALUE"""),3.0)</f>
        <v>3</v>
      </c>
      <c r="G572" s="17">
        <f>IFERROR(__xludf.DUMMYFUNCTION("""COMPUTED_VALUE"""),0.0)</f>
        <v>0</v>
      </c>
      <c r="H572" s="17">
        <f>IFERROR(__xludf.DUMMYFUNCTION("""COMPUTED_VALUE"""),0.22)</f>
        <v>0.22</v>
      </c>
      <c r="I572" s="17">
        <f>IFERROR(__xludf.DUMMYFUNCTION("""COMPUTED_VALUE"""),0.286)</f>
        <v>0.286</v>
      </c>
      <c r="J572" s="17">
        <f>IFERROR(__xludf.DUMMYFUNCTION("""COMPUTED_VALUE"""),6.0)</f>
        <v>6</v>
      </c>
      <c r="K572" s="17">
        <f>IFERROR(__xludf.DUMMYFUNCTION("""COMPUTED_VALUE"""),1.0)</f>
        <v>1</v>
      </c>
      <c r="L572" s="17">
        <f>IFERROR(__xludf.DUMMYFUNCTION("""COMPUTED_VALUE"""),0.0)</f>
        <v>0</v>
      </c>
      <c r="M572" s="17">
        <f>IFERROR(__xludf.DUMMYFUNCTION("""COMPUTED_VALUE"""),2.0)</f>
        <v>2</v>
      </c>
      <c r="N572" s="17">
        <f>IFERROR(__xludf.DUMMYFUNCTION("""COMPUTED_VALUE"""),5.0)</f>
        <v>5</v>
      </c>
      <c r="O572" s="17">
        <f>IFERROR(__xludf.DUMMYFUNCTION("""COMPUTED_VALUE"""),0.372)</f>
        <v>0.372</v>
      </c>
      <c r="P572" s="17">
        <f>IFERROR(__xludf.DUMMYFUNCTION("""COMPUTED_VALUE"""),0.658)</f>
        <v>0.658</v>
      </c>
      <c r="Q572" s="34">
        <f>IFERROR(__xludf.DUMMYFUNCTION("""COMPUTED_VALUE"""),0.0)</f>
        <v>0</v>
      </c>
      <c r="R572" s="34">
        <f>IFERROR(__xludf.DUMMYFUNCTION("""COMPUTED_VALUE"""),0.0)</f>
        <v>0</v>
      </c>
      <c r="S572" s="34">
        <f>IFERROR(__xludf.DUMMYFUNCTION("""COMPUTED_VALUE"""),0.0)</f>
        <v>0</v>
      </c>
      <c r="T572" s="17" t="str">
        <f t="shared" si="1"/>
        <v>Justin Foscue</v>
      </c>
    </row>
    <row r="573">
      <c r="A573" s="17">
        <f>IFERROR(__xludf.DUMMYFUNCTION("""COMPUTED_VALUE"""),573.0)</f>
        <v>573</v>
      </c>
      <c r="B573" s="17" t="str">
        <f>IFERROR(__xludf.DUMMYFUNCTION("""COMPUTED_VALUE"""),"Dom Keegan (TB - C) MiLB")</f>
        <v>Dom Keegan (TB - C) MiLB</v>
      </c>
      <c r="C573" s="17">
        <f>IFERROR(__xludf.DUMMYFUNCTION("""COMPUTED_VALUE"""),27.0)</f>
        <v>27</v>
      </c>
      <c r="D573" s="17">
        <f>IFERROR(__xludf.DUMMYFUNCTION("""COMPUTED_VALUE"""),3.0)</f>
        <v>3</v>
      </c>
      <c r="E573" s="17">
        <f>IFERROR(__xludf.DUMMYFUNCTION("""COMPUTED_VALUE"""),1.0)</f>
        <v>1</v>
      </c>
      <c r="F573" s="17">
        <f>IFERROR(__xludf.DUMMYFUNCTION("""COMPUTED_VALUE"""),3.0)</f>
        <v>3</v>
      </c>
      <c r="G573" s="17">
        <f>IFERROR(__xludf.DUMMYFUNCTION("""COMPUTED_VALUE"""),0.0)</f>
        <v>0</v>
      </c>
      <c r="H573" s="17">
        <f>IFERROR(__xludf.DUMMYFUNCTION("""COMPUTED_VALUE"""),0.21)</f>
        <v>0.21</v>
      </c>
      <c r="I573" s="17">
        <f>IFERROR(__xludf.DUMMYFUNCTION("""COMPUTED_VALUE"""),0.282)</f>
        <v>0.282</v>
      </c>
      <c r="J573" s="17">
        <f>IFERROR(__xludf.DUMMYFUNCTION("""COMPUTED_VALUE"""),6.0)</f>
        <v>6</v>
      </c>
      <c r="K573" s="17">
        <f>IFERROR(__xludf.DUMMYFUNCTION("""COMPUTED_VALUE"""),1.0)</f>
        <v>1</v>
      </c>
      <c r="L573" s="17">
        <f>IFERROR(__xludf.DUMMYFUNCTION("""COMPUTED_VALUE"""),0.0)</f>
        <v>0</v>
      </c>
      <c r="M573" s="17">
        <f>IFERROR(__xludf.DUMMYFUNCTION("""COMPUTED_VALUE"""),2.0)</f>
        <v>2</v>
      </c>
      <c r="N573" s="17">
        <f>IFERROR(__xludf.DUMMYFUNCTION("""COMPUTED_VALUE"""),9.0)</f>
        <v>9</v>
      </c>
      <c r="O573" s="17">
        <f>IFERROR(__xludf.DUMMYFUNCTION("""COMPUTED_VALUE"""),0.354)</f>
        <v>0.354</v>
      </c>
      <c r="P573" s="17">
        <f>IFERROR(__xludf.DUMMYFUNCTION("""COMPUTED_VALUE"""),0.636)</f>
        <v>0.636</v>
      </c>
      <c r="Q573" s="34">
        <f>IFERROR(__xludf.DUMMYFUNCTION("""COMPUTED_VALUE"""),0.0)</f>
        <v>0</v>
      </c>
      <c r="R573" s="34">
        <f>IFERROR(__xludf.DUMMYFUNCTION("""COMPUTED_VALUE"""),0.0)</f>
        <v>0</v>
      </c>
      <c r="S573" s="34">
        <f>IFERROR(__xludf.DUMMYFUNCTION("""COMPUTED_VALUE"""),0.0)</f>
        <v>0</v>
      </c>
      <c r="T573" s="17" t="str">
        <f t="shared" si="1"/>
        <v>Dom Keegan</v>
      </c>
    </row>
    <row r="574">
      <c r="A574" s="17">
        <f>IFERROR(__xludf.DUMMYFUNCTION("""COMPUTED_VALUE"""),574.0)</f>
        <v>574</v>
      </c>
      <c r="B574" s="17" t="str">
        <f>IFERROR(__xludf.DUMMYFUNCTION("""COMPUTED_VALUE"""),"Matthew Lugo (LAA - LF,CF) MiLB")</f>
        <v>Matthew Lugo (LAA - LF,CF) MiLB</v>
      </c>
      <c r="C574" s="17">
        <f>IFERROR(__xludf.DUMMYFUNCTION("""COMPUTED_VALUE"""),31.0)</f>
        <v>31</v>
      </c>
      <c r="D574" s="17">
        <f>IFERROR(__xludf.DUMMYFUNCTION("""COMPUTED_VALUE"""),3.0)</f>
        <v>3</v>
      </c>
      <c r="E574" s="17">
        <f>IFERROR(__xludf.DUMMYFUNCTION("""COMPUTED_VALUE"""),1.0)</f>
        <v>1</v>
      </c>
      <c r="F574" s="17">
        <f>IFERROR(__xludf.DUMMYFUNCTION("""COMPUTED_VALUE"""),3.0)</f>
        <v>3</v>
      </c>
      <c r="G574" s="17">
        <f>IFERROR(__xludf.DUMMYFUNCTION("""COMPUTED_VALUE"""),0.0)</f>
        <v>0</v>
      </c>
      <c r="H574" s="17">
        <f>IFERROR(__xludf.DUMMYFUNCTION("""COMPUTED_VALUE"""),0.221)</f>
        <v>0.221</v>
      </c>
      <c r="I574" s="17">
        <f>IFERROR(__xludf.DUMMYFUNCTION("""COMPUTED_VALUE"""),0.268)</f>
        <v>0.268</v>
      </c>
      <c r="J574" s="17">
        <f>IFERROR(__xludf.DUMMYFUNCTION("""COMPUTED_VALUE"""),7.0)</f>
        <v>7</v>
      </c>
      <c r="K574" s="17">
        <f>IFERROR(__xludf.DUMMYFUNCTION("""COMPUTED_VALUE"""),1.0)</f>
        <v>1</v>
      </c>
      <c r="L574" s="17">
        <f>IFERROR(__xludf.DUMMYFUNCTION("""COMPUTED_VALUE"""),0.0)</f>
        <v>0</v>
      </c>
      <c r="M574" s="17">
        <f>IFERROR(__xludf.DUMMYFUNCTION("""COMPUTED_VALUE"""),2.0)</f>
        <v>2</v>
      </c>
      <c r="N574" s="17">
        <f>IFERROR(__xludf.DUMMYFUNCTION("""COMPUTED_VALUE"""),10.0)</f>
        <v>10</v>
      </c>
      <c r="O574" s="17">
        <f>IFERROR(__xludf.DUMMYFUNCTION("""COMPUTED_VALUE"""),0.366)</f>
        <v>0.366</v>
      </c>
      <c r="P574" s="17">
        <f>IFERROR(__xludf.DUMMYFUNCTION("""COMPUTED_VALUE"""),0.635)</f>
        <v>0.635</v>
      </c>
      <c r="Q574" s="34">
        <f>IFERROR(__xludf.DUMMYFUNCTION("""COMPUTED_VALUE"""),0.0)</f>
        <v>0</v>
      </c>
      <c r="R574" s="34">
        <f>IFERROR(__xludf.DUMMYFUNCTION("""COMPUTED_VALUE"""),0.0)</f>
        <v>0</v>
      </c>
      <c r="S574" s="34">
        <f>IFERROR(__xludf.DUMMYFUNCTION("""COMPUTED_VALUE"""),0.0)</f>
        <v>0</v>
      </c>
      <c r="T574" s="17" t="str">
        <f t="shared" si="1"/>
        <v>Matthew Lugo</v>
      </c>
    </row>
    <row r="575">
      <c r="A575" s="17">
        <f>IFERROR(__xludf.DUMMYFUNCTION("""COMPUTED_VALUE"""),575.0)</f>
        <v>575</v>
      </c>
      <c r="B575" s="17" t="str">
        <f>IFERROR(__xludf.DUMMYFUNCTION("""COMPUTED_VALUE"""),"Ben Cowles (CHC - 2B,3B,SS) DFA")</f>
        <v>Ben Cowles (CHC - 2B,3B,SS) DFA</v>
      </c>
      <c r="C575" s="17">
        <f>IFERROR(__xludf.DUMMYFUNCTION("""COMPUTED_VALUE"""),18.0)</f>
        <v>18</v>
      </c>
      <c r="D575" s="17">
        <f>IFERROR(__xludf.DUMMYFUNCTION("""COMPUTED_VALUE"""),2.0)</f>
        <v>2</v>
      </c>
      <c r="E575" s="17">
        <f>IFERROR(__xludf.DUMMYFUNCTION("""COMPUTED_VALUE"""),1.0)</f>
        <v>1</v>
      </c>
      <c r="F575" s="17">
        <f>IFERROR(__xludf.DUMMYFUNCTION("""COMPUTED_VALUE"""),2.0)</f>
        <v>2</v>
      </c>
      <c r="G575" s="17">
        <f>IFERROR(__xludf.DUMMYFUNCTION("""COMPUTED_VALUE"""),1.0)</f>
        <v>1</v>
      </c>
      <c r="H575" s="17">
        <f>IFERROR(__xludf.DUMMYFUNCTION("""COMPUTED_VALUE"""),0.235)</f>
        <v>0.235</v>
      </c>
      <c r="I575" s="17">
        <f>IFERROR(__xludf.DUMMYFUNCTION("""COMPUTED_VALUE"""),0.314)</f>
        <v>0.314</v>
      </c>
      <c r="J575" s="17">
        <f>IFERROR(__xludf.DUMMYFUNCTION("""COMPUTED_VALUE"""),4.0)</f>
        <v>4</v>
      </c>
      <c r="K575" s="17">
        <f>IFERROR(__xludf.DUMMYFUNCTION("""COMPUTED_VALUE"""),1.0)</f>
        <v>1</v>
      </c>
      <c r="L575" s="17">
        <f>IFERROR(__xludf.DUMMYFUNCTION("""COMPUTED_VALUE"""),0.0)</f>
        <v>0</v>
      </c>
      <c r="M575" s="17">
        <f>IFERROR(__xludf.DUMMYFUNCTION("""COMPUTED_VALUE"""),2.0)</f>
        <v>2</v>
      </c>
      <c r="N575" s="17">
        <f>IFERROR(__xludf.DUMMYFUNCTION("""COMPUTED_VALUE"""),6.0)</f>
        <v>6</v>
      </c>
      <c r="O575" s="17">
        <f>IFERROR(__xludf.DUMMYFUNCTION("""COMPUTED_VALUE"""),0.38)</f>
        <v>0.38</v>
      </c>
      <c r="P575" s="17">
        <f>IFERROR(__xludf.DUMMYFUNCTION("""COMPUTED_VALUE"""),0.694)</f>
        <v>0.694</v>
      </c>
      <c r="Q575" s="34">
        <f>IFERROR(__xludf.DUMMYFUNCTION("""COMPUTED_VALUE"""),0.0)</f>
        <v>0</v>
      </c>
      <c r="R575" s="34">
        <f>IFERROR(__xludf.DUMMYFUNCTION("""COMPUTED_VALUE"""),0.0)</f>
        <v>0</v>
      </c>
      <c r="S575" s="34">
        <f>IFERROR(__xludf.DUMMYFUNCTION("""COMPUTED_VALUE"""),0.0)</f>
        <v>0</v>
      </c>
      <c r="T575" s="17" t="str">
        <f t="shared" si="1"/>
        <v>Ben Cowles</v>
      </c>
    </row>
    <row r="576">
      <c r="A576" s="17">
        <f>IFERROR(__xludf.DUMMYFUNCTION("""COMPUTED_VALUE"""),576.0)</f>
        <v>576</v>
      </c>
      <c r="B576" s="17" t="str">
        <f>IFERROR(__xludf.DUMMYFUNCTION("""COMPUTED_VALUE"""),"Jhonkensy Noel (BAL - 1B,RF) MiLB")</f>
        <v>Jhonkensy Noel (BAL - 1B,RF) MiLB</v>
      </c>
      <c r="C576" s="17">
        <f>IFERROR(__xludf.DUMMYFUNCTION("""COMPUTED_VALUE"""),17.0)</f>
        <v>17</v>
      </c>
      <c r="D576" s="17">
        <f>IFERROR(__xludf.DUMMYFUNCTION("""COMPUTED_VALUE"""),2.0)</f>
        <v>2</v>
      </c>
      <c r="E576" s="17">
        <f>IFERROR(__xludf.DUMMYFUNCTION("""COMPUTED_VALUE"""),1.0)</f>
        <v>1</v>
      </c>
      <c r="F576" s="17">
        <f>IFERROR(__xludf.DUMMYFUNCTION("""COMPUTED_VALUE"""),3.0)</f>
        <v>3</v>
      </c>
      <c r="G576" s="17">
        <f>IFERROR(__xludf.DUMMYFUNCTION("""COMPUTED_VALUE"""),0.0)</f>
        <v>0</v>
      </c>
      <c r="H576" s="17">
        <f>IFERROR(__xludf.DUMMYFUNCTION("""COMPUTED_VALUE"""),0.213)</f>
        <v>0.213</v>
      </c>
      <c r="I576" s="17">
        <f>IFERROR(__xludf.DUMMYFUNCTION("""COMPUTED_VALUE"""),0.258)</f>
        <v>0.258</v>
      </c>
      <c r="J576" s="17">
        <f>IFERROR(__xludf.DUMMYFUNCTION("""COMPUTED_VALUE"""),4.0)</f>
        <v>4</v>
      </c>
      <c r="K576" s="17">
        <f>IFERROR(__xludf.DUMMYFUNCTION("""COMPUTED_VALUE"""),1.0)</f>
        <v>1</v>
      </c>
      <c r="L576" s="17">
        <f>IFERROR(__xludf.DUMMYFUNCTION("""COMPUTED_VALUE"""),0.0)</f>
        <v>0</v>
      </c>
      <c r="M576" s="17">
        <f>IFERROR(__xludf.DUMMYFUNCTION("""COMPUTED_VALUE"""),1.0)</f>
        <v>1</v>
      </c>
      <c r="N576" s="17">
        <f>IFERROR(__xludf.DUMMYFUNCTION("""COMPUTED_VALUE"""),5.0)</f>
        <v>5</v>
      </c>
      <c r="O576" s="17">
        <f>IFERROR(__xludf.DUMMYFUNCTION("""COMPUTED_VALUE"""),0.423)</f>
        <v>0.423</v>
      </c>
      <c r="P576" s="17">
        <f>IFERROR(__xludf.DUMMYFUNCTION("""COMPUTED_VALUE"""),0.681)</f>
        <v>0.681</v>
      </c>
      <c r="Q576" s="34">
        <f>IFERROR(__xludf.DUMMYFUNCTION("""COMPUTED_VALUE"""),0.0)</f>
        <v>0</v>
      </c>
      <c r="R576" s="34">
        <f>IFERROR(__xludf.DUMMYFUNCTION("""COMPUTED_VALUE"""),0.0)</f>
        <v>0</v>
      </c>
      <c r="S576" s="34">
        <f>IFERROR(__xludf.DUMMYFUNCTION("""COMPUTED_VALUE"""),0.0)</f>
        <v>0</v>
      </c>
      <c r="T576" s="17" t="str">
        <f t="shared" si="1"/>
        <v>Jhonkensy Noel</v>
      </c>
    </row>
    <row r="577">
      <c r="A577" s="17">
        <f>IFERROR(__xludf.DUMMYFUNCTION("""COMPUTED_VALUE"""),577.0)</f>
        <v>577</v>
      </c>
      <c r="B577" s="17" t="str">
        <f>IFERROR(__xludf.DUMMYFUNCTION("""COMPUTED_VALUE"""),"Gio Urshela (3B) FA")</f>
        <v>Gio Urshela (3B) FA</v>
      </c>
      <c r="C577" s="17">
        <f>IFERROR(__xludf.DUMMYFUNCTION("""COMPUTED_VALUE"""),27.0)</f>
        <v>27</v>
      </c>
      <c r="D577" s="17">
        <f>IFERROR(__xludf.DUMMYFUNCTION("""COMPUTED_VALUE"""),3.0)</f>
        <v>3</v>
      </c>
      <c r="E577" s="17">
        <f>IFERROR(__xludf.DUMMYFUNCTION("""COMPUTED_VALUE"""),0.0)</f>
        <v>0</v>
      </c>
      <c r="F577" s="17">
        <f>IFERROR(__xludf.DUMMYFUNCTION("""COMPUTED_VALUE"""),3.0)</f>
        <v>3</v>
      </c>
      <c r="G577" s="17">
        <f>IFERROR(__xludf.DUMMYFUNCTION("""COMPUTED_VALUE"""),0.0)</f>
        <v>0</v>
      </c>
      <c r="H577" s="17">
        <f>IFERROR(__xludf.DUMMYFUNCTION("""COMPUTED_VALUE"""),0.241)</f>
        <v>0.241</v>
      </c>
      <c r="I577" s="17">
        <f>IFERROR(__xludf.DUMMYFUNCTION("""COMPUTED_VALUE"""),0.293)</f>
        <v>0.293</v>
      </c>
      <c r="J577" s="17">
        <f>IFERROR(__xludf.DUMMYFUNCTION("""COMPUTED_VALUE"""),7.0)</f>
        <v>7</v>
      </c>
      <c r="K577" s="17">
        <f>IFERROR(__xludf.DUMMYFUNCTION("""COMPUTED_VALUE"""),1.0)</f>
        <v>1</v>
      </c>
      <c r="L577" s="17">
        <f>IFERROR(__xludf.DUMMYFUNCTION("""COMPUTED_VALUE"""),0.0)</f>
        <v>0</v>
      </c>
      <c r="M577" s="17">
        <f>IFERROR(__xludf.DUMMYFUNCTION("""COMPUTED_VALUE"""),2.0)</f>
        <v>2</v>
      </c>
      <c r="N577" s="17">
        <f>IFERROR(__xludf.DUMMYFUNCTION("""COMPUTED_VALUE"""),5.0)</f>
        <v>5</v>
      </c>
      <c r="O577" s="17">
        <f>IFERROR(__xludf.DUMMYFUNCTION("""COMPUTED_VALUE"""),0.329)</f>
        <v>0.329</v>
      </c>
      <c r="P577" s="17">
        <f>IFERROR(__xludf.DUMMYFUNCTION("""COMPUTED_VALUE"""),0.622)</f>
        <v>0.622</v>
      </c>
      <c r="Q577" s="34">
        <f>IFERROR(__xludf.DUMMYFUNCTION("""COMPUTED_VALUE"""),0.0)</f>
        <v>0</v>
      </c>
      <c r="R577" s="34">
        <f>IFERROR(__xludf.DUMMYFUNCTION("""COMPUTED_VALUE"""),0.0)</f>
        <v>0</v>
      </c>
      <c r="S577" s="34">
        <f>IFERROR(__xludf.DUMMYFUNCTION("""COMPUTED_VALUE"""),0.0)</f>
        <v>0</v>
      </c>
      <c r="T577" s="17" t="str">
        <f t="shared" si="1"/>
        <v>Gio Urshela</v>
      </c>
    </row>
    <row r="578">
      <c r="A578" s="17">
        <f>IFERROR(__xludf.DUMMYFUNCTION("""COMPUTED_VALUE"""),578.0)</f>
        <v>578</v>
      </c>
      <c r="B578" s="17" t="str">
        <f>IFERROR(__xludf.DUMMYFUNCTION("""COMPUTED_VALUE"""),"Scott Kingery (CHC - 2B) MiLB")</f>
        <v>Scott Kingery (CHC - 2B) MiLB</v>
      </c>
      <c r="C578" s="17">
        <f>IFERROR(__xludf.DUMMYFUNCTION("""COMPUTED_VALUE"""),27.0)</f>
        <v>27</v>
      </c>
      <c r="D578" s="17">
        <f>IFERROR(__xludf.DUMMYFUNCTION("""COMPUTED_VALUE"""),3.0)</f>
        <v>3</v>
      </c>
      <c r="E578" s="17">
        <f>IFERROR(__xludf.DUMMYFUNCTION("""COMPUTED_VALUE"""),1.0)</f>
        <v>1</v>
      </c>
      <c r="F578" s="17">
        <f>IFERROR(__xludf.DUMMYFUNCTION("""COMPUTED_VALUE"""),3.0)</f>
        <v>3</v>
      </c>
      <c r="G578" s="17">
        <f>IFERROR(__xludf.DUMMYFUNCTION("""COMPUTED_VALUE"""),1.0)</f>
        <v>1</v>
      </c>
      <c r="H578" s="17">
        <f>IFERROR(__xludf.DUMMYFUNCTION("""COMPUTED_VALUE"""),0.189)</f>
        <v>0.189</v>
      </c>
      <c r="I578" s="17">
        <f>IFERROR(__xludf.DUMMYFUNCTION("""COMPUTED_VALUE"""),0.246)</f>
        <v>0.246</v>
      </c>
      <c r="J578" s="17">
        <f>IFERROR(__xludf.DUMMYFUNCTION("""COMPUTED_VALUE"""),5.0)</f>
        <v>5</v>
      </c>
      <c r="K578" s="17">
        <f>IFERROR(__xludf.DUMMYFUNCTION("""COMPUTED_VALUE"""),1.0)</f>
        <v>1</v>
      </c>
      <c r="L578" s="17">
        <f>IFERROR(__xludf.DUMMYFUNCTION("""COMPUTED_VALUE"""),0.0)</f>
        <v>0</v>
      </c>
      <c r="M578" s="17">
        <f>IFERROR(__xludf.DUMMYFUNCTION("""COMPUTED_VALUE"""),2.0)</f>
        <v>2</v>
      </c>
      <c r="N578" s="17">
        <f>IFERROR(__xludf.DUMMYFUNCTION("""COMPUTED_VALUE"""),9.0)</f>
        <v>9</v>
      </c>
      <c r="O578" s="17">
        <f>IFERROR(__xludf.DUMMYFUNCTION("""COMPUTED_VALUE"""),0.284)</f>
        <v>0.284</v>
      </c>
      <c r="P578" s="17">
        <f>IFERROR(__xludf.DUMMYFUNCTION("""COMPUTED_VALUE"""),0.53)</f>
        <v>0.53</v>
      </c>
      <c r="Q578" s="34">
        <f>IFERROR(__xludf.DUMMYFUNCTION("""COMPUTED_VALUE"""),0.0)</f>
        <v>0</v>
      </c>
      <c r="R578" s="34">
        <f>IFERROR(__xludf.DUMMYFUNCTION("""COMPUTED_VALUE"""),0.0)</f>
        <v>0</v>
      </c>
      <c r="S578" s="34">
        <f>IFERROR(__xludf.DUMMYFUNCTION("""COMPUTED_VALUE"""),0.0)</f>
        <v>0</v>
      </c>
      <c r="T578" s="17" t="str">
        <f t="shared" si="1"/>
        <v>Scott Kingery</v>
      </c>
    </row>
    <row r="579">
      <c r="A579" s="17">
        <f>IFERROR(__xludf.DUMMYFUNCTION("""COMPUTED_VALUE"""),579.0)</f>
        <v>579</v>
      </c>
      <c r="B579" s="17" t="str">
        <f>IFERROR(__xludf.DUMMYFUNCTION("""COMPUTED_VALUE"""),"Donovan Walton (LAA - 2B) MiLB")</f>
        <v>Donovan Walton (LAA - 2B) MiLB</v>
      </c>
      <c r="C579" s="17">
        <f>IFERROR(__xludf.DUMMYFUNCTION("""COMPUTED_VALUE"""),24.0)</f>
        <v>24</v>
      </c>
      <c r="D579" s="17">
        <f>IFERROR(__xludf.DUMMYFUNCTION("""COMPUTED_VALUE"""),3.0)</f>
        <v>3</v>
      </c>
      <c r="E579" s="17">
        <f>IFERROR(__xludf.DUMMYFUNCTION("""COMPUTED_VALUE"""),1.0)</f>
        <v>1</v>
      </c>
      <c r="F579" s="17">
        <f>IFERROR(__xludf.DUMMYFUNCTION("""COMPUTED_VALUE"""),3.0)</f>
        <v>3</v>
      </c>
      <c r="G579" s="17">
        <f>IFERROR(__xludf.DUMMYFUNCTION("""COMPUTED_VALUE"""),0.0)</f>
        <v>0</v>
      </c>
      <c r="H579" s="17">
        <f>IFERROR(__xludf.DUMMYFUNCTION("""COMPUTED_VALUE"""),0.218)</f>
        <v>0.218</v>
      </c>
      <c r="I579" s="17">
        <f>IFERROR(__xludf.DUMMYFUNCTION("""COMPUTED_VALUE"""),0.294)</f>
        <v>0.294</v>
      </c>
      <c r="J579" s="17">
        <f>IFERROR(__xludf.DUMMYFUNCTION("""COMPUTED_VALUE"""),5.0)</f>
        <v>5</v>
      </c>
      <c r="K579" s="17">
        <f>IFERROR(__xludf.DUMMYFUNCTION("""COMPUTED_VALUE"""),1.0)</f>
        <v>1</v>
      </c>
      <c r="L579" s="17">
        <f>IFERROR(__xludf.DUMMYFUNCTION("""COMPUTED_VALUE"""),0.0)</f>
        <v>0</v>
      </c>
      <c r="M579" s="17">
        <f>IFERROR(__xludf.DUMMYFUNCTION("""COMPUTED_VALUE"""),2.0)</f>
        <v>2</v>
      </c>
      <c r="N579" s="17">
        <f>IFERROR(__xludf.DUMMYFUNCTION("""COMPUTED_VALUE"""),5.0)</f>
        <v>5</v>
      </c>
      <c r="O579" s="17">
        <f>IFERROR(__xludf.DUMMYFUNCTION("""COMPUTED_VALUE"""),0.326)</f>
        <v>0.326</v>
      </c>
      <c r="P579" s="17">
        <f>IFERROR(__xludf.DUMMYFUNCTION("""COMPUTED_VALUE"""),0.621)</f>
        <v>0.621</v>
      </c>
      <c r="Q579" s="34">
        <f>IFERROR(__xludf.DUMMYFUNCTION("""COMPUTED_VALUE"""),0.0)</f>
        <v>0</v>
      </c>
      <c r="R579" s="34">
        <f>IFERROR(__xludf.DUMMYFUNCTION("""COMPUTED_VALUE"""),0.0)</f>
        <v>0</v>
      </c>
      <c r="S579" s="34">
        <f>IFERROR(__xludf.DUMMYFUNCTION("""COMPUTED_VALUE"""),0.0)</f>
        <v>0</v>
      </c>
      <c r="T579" s="17" t="str">
        <f t="shared" si="1"/>
        <v>Donovan Walton</v>
      </c>
    </row>
    <row r="580">
      <c r="A580" s="17">
        <f>IFERROR(__xludf.DUMMYFUNCTION("""COMPUTED_VALUE"""),580.0)</f>
        <v>580</v>
      </c>
      <c r="B580" s="17" t="str">
        <f>IFERROR(__xludf.DUMMYFUNCTION("""COMPUTED_VALUE"""),"Jair Camargo (ATL - C) MiLB")</f>
        <v>Jair Camargo (ATL - C) MiLB</v>
      </c>
      <c r="C580" s="17">
        <f>IFERROR(__xludf.DUMMYFUNCTION("""COMPUTED_VALUE"""),24.0)</f>
        <v>24</v>
      </c>
      <c r="D580" s="17">
        <f>IFERROR(__xludf.DUMMYFUNCTION("""COMPUTED_VALUE"""),3.0)</f>
        <v>3</v>
      </c>
      <c r="E580" s="17">
        <f>IFERROR(__xludf.DUMMYFUNCTION("""COMPUTED_VALUE"""),1.0)</f>
        <v>1</v>
      </c>
      <c r="F580" s="17">
        <f>IFERROR(__xludf.DUMMYFUNCTION("""COMPUTED_VALUE"""),3.0)</f>
        <v>3</v>
      </c>
      <c r="G580" s="17">
        <f>IFERROR(__xludf.DUMMYFUNCTION("""COMPUTED_VALUE"""),0.0)</f>
        <v>0</v>
      </c>
      <c r="H580" s="17">
        <f>IFERROR(__xludf.DUMMYFUNCTION("""COMPUTED_VALUE"""),0.192)</f>
        <v>0.192</v>
      </c>
      <c r="I580" s="17">
        <f>IFERROR(__xludf.DUMMYFUNCTION("""COMPUTED_VALUE"""),0.254)</f>
        <v>0.254</v>
      </c>
      <c r="J580" s="17">
        <f>IFERROR(__xludf.DUMMYFUNCTION("""COMPUTED_VALUE"""),5.0)</f>
        <v>5</v>
      </c>
      <c r="K580" s="17">
        <f>IFERROR(__xludf.DUMMYFUNCTION("""COMPUTED_VALUE"""),1.0)</f>
        <v>1</v>
      </c>
      <c r="L580" s="17">
        <f>IFERROR(__xludf.DUMMYFUNCTION("""COMPUTED_VALUE"""),0.0)</f>
        <v>0</v>
      </c>
      <c r="M580" s="17">
        <f>IFERROR(__xludf.DUMMYFUNCTION("""COMPUTED_VALUE"""),2.0)</f>
        <v>2</v>
      </c>
      <c r="N580" s="17">
        <f>IFERROR(__xludf.DUMMYFUNCTION("""COMPUTED_VALUE"""),9.0)</f>
        <v>9</v>
      </c>
      <c r="O580" s="17">
        <f>IFERROR(__xludf.DUMMYFUNCTION("""COMPUTED_VALUE"""),0.298)</f>
        <v>0.298</v>
      </c>
      <c r="P580" s="17">
        <f>IFERROR(__xludf.DUMMYFUNCTION("""COMPUTED_VALUE"""),0.553)</f>
        <v>0.553</v>
      </c>
      <c r="Q580" s="34">
        <f>IFERROR(__xludf.DUMMYFUNCTION("""COMPUTED_VALUE"""),0.0)</f>
        <v>0</v>
      </c>
      <c r="R580" s="34">
        <f>IFERROR(__xludf.DUMMYFUNCTION("""COMPUTED_VALUE"""),0.0)</f>
        <v>0</v>
      </c>
      <c r="S580" s="34">
        <f>IFERROR(__xludf.DUMMYFUNCTION("""COMPUTED_VALUE"""),0.0)</f>
        <v>0</v>
      </c>
      <c r="T580" s="17" t="str">
        <f t="shared" si="1"/>
        <v>Jair Camargo</v>
      </c>
    </row>
    <row r="581">
      <c r="A581" s="17">
        <f>IFERROR(__xludf.DUMMYFUNCTION("""COMPUTED_VALUE"""),581.0)</f>
        <v>581</v>
      </c>
      <c r="B581" s="17" t="str">
        <f>IFERROR(__xludf.DUMMYFUNCTION("""COMPUTED_VALUE"""),"Nathan Hickey (BOS - C,1B) MiLB")</f>
        <v>Nathan Hickey (BOS - C,1B) MiLB</v>
      </c>
      <c r="C581" s="17">
        <f>IFERROR(__xludf.DUMMYFUNCTION("""COMPUTED_VALUE"""),24.0)</f>
        <v>24</v>
      </c>
      <c r="D581" s="17">
        <f>IFERROR(__xludf.DUMMYFUNCTION("""COMPUTED_VALUE"""),3.0)</f>
        <v>3</v>
      </c>
      <c r="E581" s="17">
        <f>IFERROR(__xludf.DUMMYFUNCTION("""COMPUTED_VALUE"""),1.0)</f>
        <v>1</v>
      </c>
      <c r="F581" s="17">
        <f>IFERROR(__xludf.DUMMYFUNCTION("""COMPUTED_VALUE"""),3.0)</f>
        <v>3</v>
      </c>
      <c r="G581" s="17">
        <f>IFERROR(__xludf.DUMMYFUNCTION("""COMPUTED_VALUE"""),0.0)</f>
        <v>0</v>
      </c>
      <c r="H581" s="17">
        <f>IFERROR(__xludf.DUMMYFUNCTION("""COMPUTED_VALUE"""),0.196)</f>
        <v>0.196</v>
      </c>
      <c r="I581" s="17">
        <f>IFERROR(__xludf.DUMMYFUNCTION("""COMPUTED_VALUE"""),0.275)</f>
        <v>0.275</v>
      </c>
      <c r="J581" s="17">
        <f>IFERROR(__xludf.DUMMYFUNCTION("""COMPUTED_VALUE"""),5.0)</f>
        <v>5</v>
      </c>
      <c r="K581" s="17">
        <f>IFERROR(__xludf.DUMMYFUNCTION("""COMPUTED_VALUE"""),1.0)</f>
        <v>1</v>
      </c>
      <c r="L581" s="17">
        <f>IFERROR(__xludf.DUMMYFUNCTION("""COMPUTED_VALUE"""),0.0)</f>
        <v>0</v>
      </c>
      <c r="M581" s="17">
        <f>IFERROR(__xludf.DUMMYFUNCTION("""COMPUTED_VALUE"""),3.0)</f>
        <v>3</v>
      </c>
      <c r="N581" s="17">
        <f>IFERROR(__xludf.DUMMYFUNCTION("""COMPUTED_VALUE"""),8.0)</f>
        <v>8</v>
      </c>
      <c r="O581" s="17">
        <f>IFERROR(__xludf.DUMMYFUNCTION("""COMPUTED_VALUE"""),0.305)</f>
        <v>0.305</v>
      </c>
      <c r="P581" s="17">
        <f>IFERROR(__xludf.DUMMYFUNCTION("""COMPUTED_VALUE"""),0.579)</f>
        <v>0.579</v>
      </c>
      <c r="Q581" s="34">
        <f>IFERROR(__xludf.DUMMYFUNCTION("""COMPUTED_VALUE"""),0.0)</f>
        <v>0</v>
      </c>
      <c r="R581" s="34">
        <f>IFERROR(__xludf.DUMMYFUNCTION("""COMPUTED_VALUE"""),0.0)</f>
        <v>0</v>
      </c>
      <c r="S581" s="34">
        <f>IFERROR(__xludf.DUMMYFUNCTION("""COMPUTED_VALUE"""),0.0)</f>
        <v>0</v>
      </c>
      <c r="T581" s="17" t="str">
        <f t="shared" si="1"/>
        <v>Nathan Hickey</v>
      </c>
    </row>
    <row r="582">
      <c r="A582" s="17">
        <f>IFERROR(__xludf.DUMMYFUNCTION("""COMPUTED_VALUE"""),582.0)</f>
        <v>582</v>
      </c>
      <c r="B582" s="17" t="str">
        <f>IFERROR(__xludf.DUMMYFUNCTION("""COMPUTED_VALUE"""),"Carson Taylor (SEA - C,1B) MiLB")</f>
        <v>Carson Taylor (SEA - C,1B) MiLB</v>
      </c>
      <c r="C582" s="17">
        <f>IFERROR(__xludf.DUMMYFUNCTION("""COMPUTED_VALUE"""),24.0)</f>
        <v>24</v>
      </c>
      <c r="D582" s="17">
        <f>IFERROR(__xludf.DUMMYFUNCTION("""COMPUTED_VALUE"""),3.0)</f>
        <v>3</v>
      </c>
      <c r="E582" s="17">
        <f>IFERROR(__xludf.DUMMYFUNCTION("""COMPUTED_VALUE"""),1.0)</f>
        <v>1</v>
      </c>
      <c r="F582" s="17">
        <f>IFERROR(__xludf.DUMMYFUNCTION("""COMPUTED_VALUE"""),3.0)</f>
        <v>3</v>
      </c>
      <c r="G582" s="17">
        <f>IFERROR(__xludf.DUMMYFUNCTION("""COMPUTED_VALUE"""),0.0)</f>
        <v>0</v>
      </c>
      <c r="H582" s="17">
        <f>IFERROR(__xludf.DUMMYFUNCTION("""COMPUTED_VALUE"""),0.217)</f>
        <v>0.217</v>
      </c>
      <c r="I582" s="17">
        <f>IFERROR(__xludf.DUMMYFUNCTION("""COMPUTED_VALUE"""),0.308)</f>
        <v>0.308</v>
      </c>
      <c r="J582" s="17">
        <f>IFERROR(__xludf.DUMMYFUNCTION("""COMPUTED_VALUE"""),5.0)</f>
        <v>5</v>
      </c>
      <c r="K582" s="17">
        <f>IFERROR(__xludf.DUMMYFUNCTION("""COMPUTED_VALUE"""),1.0)</f>
        <v>1</v>
      </c>
      <c r="L582" s="17">
        <f>IFERROR(__xludf.DUMMYFUNCTION("""COMPUTED_VALUE"""),0.0)</f>
        <v>0</v>
      </c>
      <c r="M582" s="17">
        <f>IFERROR(__xludf.DUMMYFUNCTION("""COMPUTED_VALUE"""),3.0)</f>
        <v>3</v>
      </c>
      <c r="N582" s="17">
        <f>IFERROR(__xludf.DUMMYFUNCTION("""COMPUTED_VALUE"""),7.0)</f>
        <v>7</v>
      </c>
      <c r="O582" s="17">
        <f>IFERROR(__xludf.DUMMYFUNCTION("""COMPUTED_VALUE"""),0.326)</f>
        <v>0.326</v>
      </c>
      <c r="P582" s="17">
        <f>IFERROR(__xludf.DUMMYFUNCTION("""COMPUTED_VALUE"""),0.634)</f>
        <v>0.634</v>
      </c>
      <c r="Q582" s="34">
        <f>IFERROR(__xludf.DUMMYFUNCTION("""COMPUTED_VALUE"""),0.0)</f>
        <v>0</v>
      </c>
      <c r="R582" s="34">
        <f>IFERROR(__xludf.DUMMYFUNCTION("""COMPUTED_VALUE"""),0.0)</f>
        <v>0</v>
      </c>
      <c r="S582" s="34">
        <f>IFERROR(__xludf.DUMMYFUNCTION("""COMPUTED_VALUE"""),0.0)</f>
        <v>0</v>
      </c>
      <c r="T582" s="17" t="str">
        <f t="shared" si="1"/>
        <v>Carson Taylor</v>
      </c>
    </row>
    <row r="583">
      <c r="A583" s="17">
        <f>IFERROR(__xludf.DUMMYFUNCTION("""COMPUTED_VALUE"""),583.0)</f>
        <v>583</v>
      </c>
      <c r="B583" s="17" t="str">
        <f>IFERROR(__xludf.DUMMYFUNCTION("""COMPUTED_VALUE"""),"Jake Holton (SF - 1B) MiLB")</f>
        <v>Jake Holton (SF - 1B) MiLB</v>
      </c>
      <c r="C583" s="17">
        <f>IFERROR(__xludf.DUMMYFUNCTION("""COMPUTED_VALUE"""),24.0)</f>
        <v>24</v>
      </c>
      <c r="D583" s="17">
        <f>IFERROR(__xludf.DUMMYFUNCTION("""COMPUTED_VALUE"""),3.0)</f>
        <v>3</v>
      </c>
      <c r="E583" s="17">
        <f>IFERROR(__xludf.DUMMYFUNCTION("""COMPUTED_VALUE"""),1.0)</f>
        <v>1</v>
      </c>
      <c r="F583" s="17">
        <f>IFERROR(__xludf.DUMMYFUNCTION("""COMPUTED_VALUE"""),3.0)</f>
        <v>3</v>
      </c>
      <c r="G583" s="17">
        <f>IFERROR(__xludf.DUMMYFUNCTION("""COMPUTED_VALUE"""),0.0)</f>
        <v>0</v>
      </c>
      <c r="H583" s="17">
        <f>IFERROR(__xludf.DUMMYFUNCTION("""COMPUTED_VALUE"""),0.217)</f>
        <v>0.217</v>
      </c>
      <c r="I583" s="17">
        <f>IFERROR(__xludf.DUMMYFUNCTION("""COMPUTED_VALUE"""),0.307)</f>
        <v>0.307</v>
      </c>
      <c r="J583" s="17">
        <f>IFERROR(__xludf.DUMMYFUNCTION("""COMPUTED_VALUE"""),5.0)</f>
        <v>5</v>
      </c>
      <c r="K583" s="17">
        <f>IFERROR(__xludf.DUMMYFUNCTION("""COMPUTED_VALUE"""),1.0)</f>
        <v>1</v>
      </c>
      <c r="L583" s="17">
        <f>IFERROR(__xludf.DUMMYFUNCTION("""COMPUTED_VALUE"""),0.0)</f>
        <v>0</v>
      </c>
      <c r="M583" s="17">
        <f>IFERROR(__xludf.DUMMYFUNCTION("""COMPUTED_VALUE"""),3.0)</f>
        <v>3</v>
      </c>
      <c r="N583" s="17">
        <f>IFERROR(__xludf.DUMMYFUNCTION("""COMPUTED_VALUE"""),7.0)</f>
        <v>7</v>
      </c>
      <c r="O583" s="17">
        <f>IFERROR(__xludf.DUMMYFUNCTION("""COMPUTED_VALUE"""),0.327)</f>
        <v>0.327</v>
      </c>
      <c r="P583" s="17">
        <f>IFERROR(__xludf.DUMMYFUNCTION("""COMPUTED_VALUE"""),0.634)</f>
        <v>0.634</v>
      </c>
      <c r="Q583" s="34">
        <f>IFERROR(__xludf.DUMMYFUNCTION("""COMPUTED_VALUE"""),0.0)</f>
        <v>0</v>
      </c>
      <c r="R583" s="34">
        <f>IFERROR(__xludf.DUMMYFUNCTION("""COMPUTED_VALUE"""),0.0)</f>
        <v>0</v>
      </c>
      <c r="S583" s="34">
        <f>IFERROR(__xludf.DUMMYFUNCTION("""COMPUTED_VALUE"""),0.0)</f>
        <v>0</v>
      </c>
      <c r="T583" s="17" t="str">
        <f t="shared" si="1"/>
        <v>Jake Holton</v>
      </c>
    </row>
    <row r="584">
      <c r="A584" s="17">
        <f>IFERROR(__xludf.DUMMYFUNCTION("""COMPUTED_VALUE"""),584.0)</f>
        <v>584</v>
      </c>
      <c r="B584" s="17" t="str">
        <f>IFERROR(__xludf.DUMMYFUNCTION("""COMPUTED_VALUE"""),"Kevin Kiermaier (CF) RET")</f>
        <v>Kevin Kiermaier (CF) RET</v>
      </c>
      <c r="C584" s="17">
        <f>IFERROR(__xludf.DUMMYFUNCTION("""COMPUTED_VALUE"""),15.0)</f>
        <v>15</v>
      </c>
      <c r="D584" s="17">
        <f>IFERROR(__xludf.DUMMYFUNCTION("""COMPUTED_VALUE"""),2.0)</f>
        <v>2</v>
      </c>
      <c r="E584" s="17">
        <f>IFERROR(__xludf.DUMMYFUNCTION("""COMPUTED_VALUE"""),1.0)</f>
        <v>1</v>
      </c>
      <c r="F584" s="17">
        <f>IFERROR(__xludf.DUMMYFUNCTION("""COMPUTED_VALUE"""),2.0)</f>
        <v>2</v>
      </c>
      <c r="G584" s="17">
        <f>IFERROR(__xludf.DUMMYFUNCTION("""COMPUTED_VALUE"""),1.0)</f>
        <v>1</v>
      </c>
      <c r="H584" s="17">
        <f>IFERROR(__xludf.DUMMYFUNCTION("""COMPUTED_VALUE"""),0.215)</f>
        <v>0.215</v>
      </c>
      <c r="I584" s="17">
        <f>IFERROR(__xludf.DUMMYFUNCTION("""COMPUTED_VALUE"""),0.268)</f>
        <v>0.268</v>
      </c>
      <c r="J584" s="17">
        <f>IFERROR(__xludf.DUMMYFUNCTION("""COMPUTED_VALUE"""),3.0)</f>
        <v>3</v>
      </c>
      <c r="K584" s="17">
        <f>IFERROR(__xludf.DUMMYFUNCTION("""COMPUTED_VALUE"""),1.0)</f>
        <v>1</v>
      </c>
      <c r="L584" s="17">
        <f>IFERROR(__xludf.DUMMYFUNCTION("""COMPUTED_VALUE"""),0.0)</f>
        <v>0</v>
      </c>
      <c r="M584" s="17">
        <f>IFERROR(__xludf.DUMMYFUNCTION("""COMPUTED_VALUE"""),1.0)</f>
        <v>1</v>
      </c>
      <c r="N584" s="17">
        <f>IFERROR(__xludf.DUMMYFUNCTION("""COMPUTED_VALUE"""),4.0)</f>
        <v>4</v>
      </c>
      <c r="O584" s="17">
        <f>IFERROR(__xludf.DUMMYFUNCTION("""COMPUTED_VALUE"""),0.357)</f>
        <v>0.357</v>
      </c>
      <c r="P584" s="17">
        <f>IFERROR(__xludf.DUMMYFUNCTION("""COMPUTED_VALUE"""),0.624)</f>
        <v>0.624</v>
      </c>
      <c r="Q584" s="34">
        <f>IFERROR(__xludf.DUMMYFUNCTION("""COMPUTED_VALUE"""),0.01)</f>
        <v>0.01</v>
      </c>
      <c r="R584" s="34">
        <f>IFERROR(__xludf.DUMMYFUNCTION("""COMPUTED_VALUE"""),0.01)</f>
        <v>0.01</v>
      </c>
      <c r="S584" s="34">
        <f>IFERROR(__xludf.DUMMYFUNCTION("""COMPUTED_VALUE"""),0.0)</f>
        <v>0</v>
      </c>
      <c r="T584" s="17" t="str">
        <f t="shared" si="1"/>
        <v>Kevin Kiermaier</v>
      </c>
    </row>
    <row r="585">
      <c r="A585" s="17">
        <f>IFERROR(__xludf.DUMMYFUNCTION("""COMPUTED_VALUE"""),585.0)</f>
        <v>585</v>
      </c>
      <c r="B585" s="17" t="str">
        <f>IFERROR(__xludf.DUMMYFUNCTION("""COMPUTED_VALUE"""),"Trey Cabbage (1B,LF,RF) FA")</f>
        <v>Trey Cabbage (1B,LF,RF) FA</v>
      </c>
      <c r="C585" s="17">
        <f>IFERROR(__xludf.DUMMYFUNCTION("""COMPUTED_VALUE"""),15.0)</f>
        <v>15</v>
      </c>
      <c r="D585" s="17">
        <f>IFERROR(__xludf.DUMMYFUNCTION("""COMPUTED_VALUE"""),2.0)</f>
        <v>2</v>
      </c>
      <c r="E585" s="17">
        <f>IFERROR(__xludf.DUMMYFUNCTION("""COMPUTED_VALUE"""),1.0)</f>
        <v>1</v>
      </c>
      <c r="F585" s="17">
        <f>IFERROR(__xludf.DUMMYFUNCTION("""COMPUTED_VALUE"""),2.0)</f>
        <v>2</v>
      </c>
      <c r="G585" s="17">
        <f>IFERROR(__xludf.DUMMYFUNCTION("""COMPUTED_VALUE"""),1.0)</f>
        <v>1</v>
      </c>
      <c r="H585" s="17">
        <f>IFERROR(__xludf.DUMMYFUNCTION("""COMPUTED_VALUE"""),0.215)</f>
        <v>0.215</v>
      </c>
      <c r="I585" s="17">
        <f>IFERROR(__xludf.DUMMYFUNCTION("""COMPUTED_VALUE"""),0.267)</f>
        <v>0.267</v>
      </c>
      <c r="J585" s="17">
        <f>IFERROR(__xludf.DUMMYFUNCTION("""COMPUTED_VALUE"""),3.0)</f>
        <v>3</v>
      </c>
      <c r="K585" s="17">
        <f>IFERROR(__xludf.DUMMYFUNCTION("""COMPUTED_VALUE"""),1.0)</f>
        <v>1</v>
      </c>
      <c r="L585" s="17">
        <f>IFERROR(__xludf.DUMMYFUNCTION("""COMPUTED_VALUE"""),0.0)</f>
        <v>0</v>
      </c>
      <c r="M585" s="17">
        <f>IFERROR(__xludf.DUMMYFUNCTION("""COMPUTED_VALUE"""),1.0)</f>
        <v>1</v>
      </c>
      <c r="N585" s="17">
        <f>IFERROR(__xludf.DUMMYFUNCTION("""COMPUTED_VALUE"""),5.0)</f>
        <v>5</v>
      </c>
      <c r="O585" s="17">
        <f>IFERROR(__xludf.DUMMYFUNCTION("""COMPUTED_VALUE"""),0.358)</f>
        <v>0.358</v>
      </c>
      <c r="P585" s="17">
        <f>IFERROR(__xludf.DUMMYFUNCTION("""COMPUTED_VALUE"""),0.625)</f>
        <v>0.625</v>
      </c>
      <c r="Q585" s="34">
        <f>IFERROR(__xludf.DUMMYFUNCTION("""COMPUTED_VALUE"""),0.0)</f>
        <v>0</v>
      </c>
      <c r="R585" s="34">
        <f>IFERROR(__xludf.DUMMYFUNCTION("""COMPUTED_VALUE"""),0.0)</f>
        <v>0</v>
      </c>
      <c r="S585" s="34">
        <f>IFERROR(__xludf.DUMMYFUNCTION("""COMPUTED_VALUE"""),0.0)</f>
        <v>0</v>
      </c>
      <c r="T585" s="17" t="str">
        <f t="shared" si="1"/>
        <v>Trey Cabbage</v>
      </c>
    </row>
    <row r="586">
      <c r="A586" s="17">
        <f>IFERROR(__xludf.DUMMYFUNCTION("""COMPUTED_VALUE"""),586.0)</f>
        <v>586</v>
      </c>
      <c r="B586" s="17" t="str">
        <f>IFERROR(__xludf.DUMMYFUNCTION("""COMPUTED_VALUE"""),"Tommy Troy (ARI - 2B) MiLB")</f>
        <v>Tommy Troy (ARI - 2B) MiLB</v>
      </c>
      <c r="C586" s="17">
        <f>IFERROR(__xludf.DUMMYFUNCTION("""COMPUTED_VALUE"""),24.0)</f>
        <v>24</v>
      </c>
      <c r="D586" s="17">
        <f>IFERROR(__xludf.DUMMYFUNCTION("""COMPUTED_VALUE"""),3.0)</f>
        <v>3</v>
      </c>
      <c r="E586" s="17">
        <f>IFERROR(__xludf.DUMMYFUNCTION("""COMPUTED_VALUE"""),0.0)</f>
        <v>0</v>
      </c>
      <c r="F586" s="17">
        <f>IFERROR(__xludf.DUMMYFUNCTION("""COMPUTED_VALUE"""),3.0)</f>
        <v>3</v>
      </c>
      <c r="G586" s="17">
        <f>IFERROR(__xludf.DUMMYFUNCTION("""COMPUTED_VALUE"""),0.0)</f>
        <v>0</v>
      </c>
      <c r="H586" s="17">
        <f>IFERROR(__xludf.DUMMYFUNCTION("""COMPUTED_VALUE"""),0.242)</f>
        <v>0.242</v>
      </c>
      <c r="I586" s="17">
        <f>IFERROR(__xludf.DUMMYFUNCTION("""COMPUTED_VALUE"""),0.302)</f>
        <v>0.302</v>
      </c>
      <c r="J586" s="17">
        <f>IFERROR(__xludf.DUMMYFUNCTION("""COMPUTED_VALUE"""),6.0)</f>
        <v>6</v>
      </c>
      <c r="K586" s="17">
        <f>IFERROR(__xludf.DUMMYFUNCTION("""COMPUTED_VALUE"""),1.0)</f>
        <v>1</v>
      </c>
      <c r="L586" s="17">
        <f>IFERROR(__xludf.DUMMYFUNCTION("""COMPUTED_VALUE"""),0.0)</f>
        <v>0</v>
      </c>
      <c r="M586" s="17">
        <f>IFERROR(__xludf.DUMMYFUNCTION("""COMPUTED_VALUE"""),2.0)</f>
        <v>2</v>
      </c>
      <c r="N586" s="17">
        <f>IFERROR(__xludf.DUMMYFUNCTION("""COMPUTED_VALUE"""),6.0)</f>
        <v>6</v>
      </c>
      <c r="O586" s="17">
        <f>IFERROR(__xludf.DUMMYFUNCTION("""COMPUTED_VALUE"""),0.337)</f>
        <v>0.337</v>
      </c>
      <c r="P586" s="17">
        <f>IFERROR(__xludf.DUMMYFUNCTION("""COMPUTED_VALUE"""),0.639)</f>
        <v>0.639</v>
      </c>
      <c r="Q586" s="34">
        <f>IFERROR(__xludf.DUMMYFUNCTION("""COMPUTED_VALUE"""),0.0)</f>
        <v>0</v>
      </c>
      <c r="R586" s="34">
        <f>IFERROR(__xludf.DUMMYFUNCTION("""COMPUTED_VALUE"""),0.0)</f>
        <v>0</v>
      </c>
      <c r="S586" s="34">
        <f>IFERROR(__xludf.DUMMYFUNCTION("""COMPUTED_VALUE"""),0.0)</f>
        <v>0</v>
      </c>
      <c r="T586" s="17" t="str">
        <f t="shared" si="1"/>
        <v>Tommy Troy</v>
      </c>
    </row>
    <row r="587">
      <c r="A587" s="17">
        <f>IFERROR(__xludf.DUMMYFUNCTION("""COMPUTED_VALUE"""),587.0)</f>
        <v>587</v>
      </c>
      <c r="B587" s="17" t="str">
        <f>IFERROR(__xludf.DUMMYFUNCTION("""COMPUTED_VALUE"""),"CJ Alexander (HOU - 3B) MiLB")</f>
        <v>CJ Alexander (HOU - 3B) MiLB</v>
      </c>
      <c r="C587" s="17">
        <f>IFERROR(__xludf.DUMMYFUNCTION("""COMPUTED_VALUE"""),25.0)</f>
        <v>25</v>
      </c>
      <c r="D587" s="17">
        <f>IFERROR(__xludf.DUMMYFUNCTION("""COMPUTED_VALUE"""),3.0)</f>
        <v>3</v>
      </c>
      <c r="E587" s="17">
        <f>IFERROR(__xludf.DUMMYFUNCTION("""COMPUTED_VALUE"""),1.0)</f>
        <v>1</v>
      </c>
      <c r="F587" s="17">
        <f>IFERROR(__xludf.DUMMYFUNCTION("""COMPUTED_VALUE"""),3.0)</f>
        <v>3</v>
      </c>
      <c r="G587" s="17">
        <f>IFERROR(__xludf.DUMMYFUNCTION("""COMPUTED_VALUE"""),0.0)</f>
        <v>0</v>
      </c>
      <c r="H587" s="17">
        <f>IFERROR(__xludf.DUMMYFUNCTION("""COMPUTED_VALUE"""),0.208)</f>
        <v>0.208</v>
      </c>
      <c r="I587" s="17">
        <f>IFERROR(__xludf.DUMMYFUNCTION("""COMPUTED_VALUE"""),0.255)</f>
        <v>0.255</v>
      </c>
      <c r="J587" s="17">
        <f>IFERROR(__xludf.DUMMYFUNCTION("""COMPUTED_VALUE"""),5.0)</f>
        <v>5</v>
      </c>
      <c r="K587" s="17">
        <f>IFERROR(__xludf.DUMMYFUNCTION("""COMPUTED_VALUE"""),1.0)</f>
        <v>1</v>
      </c>
      <c r="L587" s="17">
        <f>IFERROR(__xludf.DUMMYFUNCTION("""COMPUTED_VALUE"""),0.0)</f>
        <v>0</v>
      </c>
      <c r="M587" s="17">
        <f>IFERROR(__xludf.DUMMYFUNCTION("""COMPUTED_VALUE"""),2.0)</f>
        <v>2</v>
      </c>
      <c r="N587" s="17">
        <f>IFERROR(__xludf.DUMMYFUNCTION("""COMPUTED_VALUE"""),8.0)</f>
        <v>8</v>
      </c>
      <c r="O587" s="17">
        <f>IFERROR(__xludf.DUMMYFUNCTION("""COMPUTED_VALUE"""),0.374)</f>
        <v>0.374</v>
      </c>
      <c r="P587" s="17">
        <f>IFERROR(__xludf.DUMMYFUNCTION("""COMPUTED_VALUE"""),0.63)</f>
        <v>0.63</v>
      </c>
      <c r="Q587" s="34">
        <f>IFERROR(__xludf.DUMMYFUNCTION("""COMPUTED_VALUE"""),0.0)</f>
        <v>0</v>
      </c>
      <c r="R587" s="34">
        <f>IFERROR(__xludf.DUMMYFUNCTION("""COMPUTED_VALUE"""),0.0)</f>
        <v>0</v>
      </c>
      <c r="S587" s="34">
        <f>IFERROR(__xludf.DUMMYFUNCTION("""COMPUTED_VALUE"""),0.0)</f>
        <v>0</v>
      </c>
      <c r="T587" s="17" t="str">
        <f t="shared" si="1"/>
        <v>CJ Alexander</v>
      </c>
    </row>
    <row r="588">
      <c r="A588" s="17">
        <f>IFERROR(__xludf.DUMMYFUNCTION("""COMPUTED_VALUE"""),588.0)</f>
        <v>588</v>
      </c>
      <c r="B588" s="17" t="str">
        <f>IFERROR(__xludf.DUMMYFUNCTION("""COMPUTED_VALUE"""),"Pedro Leon (PHI - RF) MiLB")</f>
        <v>Pedro Leon (PHI - RF) MiLB</v>
      </c>
      <c r="C588" s="17">
        <f>IFERROR(__xludf.DUMMYFUNCTION("""COMPUTED_VALUE"""),16.0)</f>
        <v>16</v>
      </c>
      <c r="D588" s="17">
        <f>IFERROR(__xludf.DUMMYFUNCTION("""COMPUTED_VALUE"""),2.0)</f>
        <v>2</v>
      </c>
      <c r="E588" s="17">
        <f>IFERROR(__xludf.DUMMYFUNCTION("""COMPUTED_VALUE"""),1.0)</f>
        <v>1</v>
      </c>
      <c r="F588" s="17">
        <f>IFERROR(__xludf.DUMMYFUNCTION("""COMPUTED_VALUE"""),2.0)</f>
        <v>2</v>
      </c>
      <c r="G588" s="17">
        <f>IFERROR(__xludf.DUMMYFUNCTION("""COMPUTED_VALUE"""),1.0)</f>
        <v>1</v>
      </c>
      <c r="H588" s="17">
        <f>IFERROR(__xludf.DUMMYFUNCTION("""COMPUTED_VALUE"""),0.195)</f>
        <v>0.195</v>
      </c>
      <c r="I588" s="17">
        <f>IFERROR(__xludf.DUMMYFUNCTION("""COMPUTED_VALUE"""),0.286)</f>
        <v>0.286</v>
      </c>
      <c r="J588" s="17">
        <f>IFERROR(__xludf.DUMMYFUNCTION("""COMPUTED_VALUE"""),3.0)</f>
        <v>3</v>
      </c>
      <c r="K588" s="17">
        <f>IFERROR(__xludf.DUMMYFUNCTION("""COMPUTED_VALUE"""),1.0)</f>
        <v>1</v>
      </c>
      <c r="L588" s="17">
        <f>IFERROR(__xludf.DUMMYFUNCTION("""COMPUTED_VALUE"""),0.0)</f>
        <v>0</v>
      </c>
      <c r="M588" s="17">
        <f>IFERROR(__xludf.DUMMYFUNCTION("""COMPUTED_VALUE"""),2.0)</f>
        <v>2</v>
      </c>
      <c r="N588" s="17">
        <f>IFERROR(__xludf.DUMMYFUNCTION("""COMPUTED_VALUE"""),6.0)</f>
        <v>6</v>
      </c>
      <c r="O588" s="17">
        <f>IFERROR(__xludf.DUMMYFUNCTION("""COMPUTED_VALUE"""),0.324)</f>
        <v>0.324</v>
      </c>
      <c r="P588" s="17">
        <f>IFERROR(__xludf.DUMMYFUNCTION("""COMPUTED_VALUE"""),0.61)</f>
        <v>0.61</v>
      </c>
      <c r="Q588" s="34">
        <f>IFERROR(__xludf.DUMMYFUNCTION("""COMPUTED_VALUE"""),0.0)</f>
        <v>0</v>
      </c>
      <c r="R588" s="34">
        <f>IFERROR(__xludf.DUMMYFUNCTION("""COMPUTED_VALUE"""),0.0)</f>
        <v>0</v>
      </c>
      <c r="S588" s="34">
        <f>IFERROR(__xludf.DUMMYFUNCTION("""COMPUTED_VALUE"""),0.0)</f>
        <v>0</v>
      </c>
      <c r="T588" s="17" t="str">
        <f t="shared" si="1"/>
        <v>Pedro Leon</v>
      </c>
    </row>
    <row r="589">
      <c r="A589" s="17">
        <f>IFERROR(__xludf.DUMMYFUNCTION("""COMPUTED_VALUE"""),589.0)</f>
        <v>589</v>
      </c>
      <c r="B589" s="17" t="str">
        <f>IFERROR(__xludf.DUMMYFUNCTION("""COMPUTED_VALUE"""),"Tim Anderson (2B,SS) FA")</f>
        <v>Tim Anderson (2B,SS) FA</v>
      </c>
      <c r="C589" s="17">
        <f>IFERROR(__xludf.DUMMYFUNCTION("""COMPUTED_VALUE"""),16.0)</f>
        <v>16</v>
      </c>
      <c r="D589" s="17">
        <f>IFERROR(__xludf.DUMMYFUNCTION("""COMPUTED_VALUE"""),2.0)</f>
        <v>2</v>
      </c>
      <c r="E589" s="17">
        <f>IFERROR(__xludf.DUMMYFUNCTION("""COMPUTED_VALUE"""),0.0)</f>
        <v>0</v>
      </c>
      <c r="F589" s="17">
        <f>IFERROR(__xludf.DUMMYFUNCTION("""COMPUTED_VALUE"""),2.0)</f>
        <v>2</v>
      </c>
      <c r="G589" s="17">
        <f>IFERROR(__xludf.DUMMYFUNCTION("""COMPUTED_VALUE"""),1.0)</f>
        <v>1</v>
      </c>
      <c r="H589" s="17">
        <f>IFERROR(__xludf.DUMMYFUNCTION("""COMPUTED_VALUE"""),0.234)</f>
        <v>0.234</v>
      </c>
      <c r="I589" s="17">
        <f>IFERROR(__xludf.DUMMYFUNCTION("""COMPUTED_VALUE"""),0.259)</f>
        <v>0.259</v>
      </c>
      <c r="J589" s="17">
        <f>IFERROR(__xludf.DUMMYFUNCTION("""COMPUTED_VALUE"""),4.0)</f>
        <v>4</v>
      </c>
      <c r="K589" s="17">
        <f>IFERROR(__xludf.DUMMYFUNCTION("""COMPUTED_VALUE"""),1.0)</f>
        <v>1</v>
      </c>
      <c r="L589" s="17">
        <f>IFERROR(__xludf.DUMMYFUNCTION("""COMPUTED_VALUE"""),0.0)</f>
        <v>0</v>
      </c>
      <c r="M589" s="17">
        <f>IFERROR(__xludf.DUMMYFUNCTION("""COMPUTED_VALUE"""),1.0)</f>
        <v>1</v>
      </c>
      <c r="N589" s="17">
        <f>IFERROR(__xludf.DUMMYFUNCTION("""COMPUTED_VALUE"""),4.0)</f>
        <v>4</v>
      </c>
      <c r="O589" s="17">
        <f>IFERROR(__xludf.DUMMYFUNCTION("""COMPUTED_VALUE"""),0.269)</f>
        <v>0.269</v>
      </c>
      <c r="P589" s="17">
        <f>IFERROR(__xludf.DUMMYFUNCTION("""COMPUTED_VALUE"""),0.528)</f>
        <v>0.528</v>
      </c>
      <c r="Q589" s="34">
        <f>IFERROR(__xludf.DUMMYFUNCTION("""COMPUTED_VALUE"""),0.0)</f>
        <v>0</v>
      </c>
      <c r="R589" s="34">
        <f>IFERROR(__xludf.DUMMYFUNCTION("""COMPUTED_VALUE"""),0.0)</f>
        <v>0</v>
      </c>
      <c r="S589" s="34">
        <f>IFERROR(__xludf.DUMMYFUNCTION("""COMPUTED_VALUE"""),0.0)</f>
        <v>0</v>
      </c>
      <c r="T589" s="17" t="str">
        <f t="shared" si="1"/>
        <v>Tim Anderson</v>
      </c>
    </row>
    <row r="590">
      <c r="A590" s="17">
        <f>IFERROR(__xludf.DUMMYFUNCTION("""COMPUTED_VALUE"""),590.0)</f>
        <v>590</v>
      </c>
      <c r="B590" s="17" t="str">
        <f>IFERROR(__xludf.DUMMYFUNCTION("""COMPUTED_VALUE"""),"Will Wagner (SD - 1B,3B) IL10")</f>
        <v>Will Wagner (SD - 1B,3B) IL10</v>
      </c>
      <c r="C590" s="17">
        <f>IFERROR(__xludf.DUMMYFUNCTION("""COMPUTED_VALUE"""),19.0)</f>
        <v>19</v>
      </c>
      <c r="D590" s="17">
        <f>IFERROR(__xludf.DUMMYFUNCTION("""COMPUTED_VALUE"""),3.0)</f>
        <v>3</v>
      </c>
      <c r="E590" s="17">
        <f>IFERROR(__xludf.DUMMYFUNCTION("""COMPUTED_VALUE"""),0.0)</f>
        <v>0</v>
      </c>
      <c r="F590" s="17">
        <f>IFERROR(__xludf.DUMMYFUNCTION("""COMPUTED_VALUE"""),2.0)</f>
        <v>2</v>
      </c>
      <c r="G590" s="17">
        <f>IFERROR(__xludf.DUMMYFUNCTION("""COMPUTED_VALUE"""),0.0)</f>
        <v>0</v>
      </c>
      <c r="H590" s="17">
        <f>IFERROR(__xludf.DUMMYFUNCTION("""COMPUTED_VALUE"""),0.243)</f>
        <v>0.243</v>
      </c>
      <c r="I590" s="17">
        <f>IFERROR(__xludf.DUMMYFUNCTION("""COMPUTED_VALUE"""),0.328)</f>
        <v>0.328</v>
      </c>
      <c r="J590" s="17">
        <f>IFERROR(__xludf.DUMMYFUNCTION("""COMPUTED_VALUE"""),5.0)</f>
        <v>5</v>
      </c>
      <c r="K590" s="17">
        <f>IFERROR(__xludf.DUMMYFUNCTION("""COMPUTED_VALUE"""),1.0)</f>
        <v>1</v>
      </c>
      <c r="L590" s="17">
        <f>IFERROR(__xludf.DUMMYFUNCTION("""COMPUTED_VALUE"""),0.0)</f>
        <v>0</v>
      </c>
      <c r="M590" s="17">
        <f>IFERROR(__xludf.DUMMYFUNCTION("""COMPUTED_VALUE"""),2.0)</f>
        <v>2</v>
      </c>
      <c r="N590" s="17">
        <f>IFERROR(__xludf.DUMMYFUNCTION("""COMPUTED_VALUE"""),4.0)</f>
        <v>4</v>
      </c>
      <c r="O590" s="17">
        <f>IFERROR(__xludf.DUMMYFUNCTION("""COMPUTED_VALUE"""),0.335)</f>
        <v>0.335</v>
      </c>
      <c r="P590" s="17">
        <f>IFERROR(__xludf.DUMMYFUNCTION("""COMPUTED_VALUE"""),0.664)</f>
        <v>0.664</v>
      </c>
      <c r="Q590" s="34">
        <f>IFERROR(__xludf.DUMMYFUNCTION("""COMPUTED_VALUE"""),0.0)</f>
        <v>0</v>
      </c>
      <c r="R590" s="34">
        <f>IFERROR(__xludf.DUMMYFUNCTION("""COMPUTED_VALUE"""),0.0)</f>
        <v>0</v>
      </c>
      <c r="S590" s="34">
        <f>IFERROR(__xludf.DUMMYFUNCTION("""COMPUTED_VALUE"""),0.0)</f>
        <v>0</v>
      </c>
      <c r="T590" s="17" t="str">
        <f t="shared" si="1"/>
        <v>Will Wagner</v>
      </c>
    </row>
    <row r="591">
      <c r="A591" s="17">
        <f>IFERROR(__xludf.DUMMYFUNCTION("""COMPUTED_VALUE"""),591.0)</f>
        <v>591</v>
      </c>
      <c r="B591" s="17" t="str">
        <f>IFERROR(__xludf.DUMMYFUNCTION("""COMPUTED_VALUE"""),"Logan Driscoll (TB - C) MiLB")</f>
        <v>Logan Driscoll (TB - C) MiLB</v>
      </c>
      <c r="C591" s="17">
        <f>IFERROR(__xludf.DUMMYFUNCTION("""COMPUTED_VALUE"""),17.0)</f>
        <v>17</v>
      </c>
      <c r="D591" s="17">
        <f>IFERROR(__xludf.DUMMYFUNCTION("""COMPUTED_VALUE"""),2.0)</f>
        <v>2</v>
      </c>
      <c r="E591" s="17">
        <f>IFERROR(__xludf.DUMMYFUNCTION("""COMPUTED_VALUE"""),1.0)</f>
        <v>1</v>
      </c>
      <c r="F591" s="17">
        <f>IFERROR(__xludf.DUMMYFUNCTION("""COMPUTED_VALUE"""),2.0)</f>
        <v>2</v>
      </c>
      <c r="G591" s="17">
        <f>IFERROR(__xludf.DUMMYFUNCTION("""COMPUTED_VALUE"""),0.0)</f>
        <v>0</v>
      </c>
      <c r="H591" s="17">
        <f>IFERROR(__xludf.DUMMYFUNCTION("""COMPUTED_VALUE"""),0.249)</f>
        <v>0.249</v>
      </c>
      <c r="I591" s="17">
        <f>IFERROR(__xludf.DUMMYFUNCTION("""COMPUTED_VALUE"""),0.293)</f>
        <v>0.293</v>
      </c>
      <c r="J591" s="17">
        <f>IFERROR(__xludf.DUMMYFUNCTION("""COMPUTED_VALUE"""),4.0)</f>
        <v>4</v>
      </c>
      <c r="K591" s="17">
        <f>IFERROR(__xludf.DUMMYFUNCTION("""COMPUTED_VALUE"""),1.0)</f>
        <v>1</v>
      </c>
      <c r="L591" s="17">
        <f>IFERROR(__xludf.DUMMYFUNCTION("""COMPUTED_VALUE"""),0.0)</f>
        <v>0</v>
      </c>
      <c r="M591" s="17">
        <f>IFERROR(__xludf.DUMMYFUNCTION("""COMPUTED_VALUE"""),1.0)</f>
        <v>1</v>
      </c>
      <c r="N591" s="17">
        <f>IFERROR(__xludf.DUMMYFUNCTION("""COMPUTED_VALUE"""),5.0)</f>
        <v>5</v>
      </c>
      <c r="O591" s="17">
        <f>IFERROR(__xludf.DUMMYFUNCTION("""COMPUTED_VALUE"""),0.403)</f>
        <v>0.403</v>
      </c>
      <c r="P591" s="17">
        <f>IFERROR(__xludf.DUMMYFUNCTION("""COMPUTED_VALUE"""),0.696)</f>
        <v>0.696</v>
      </c>
      <c r="Q591" s="34">
        <f>IFERROR(__xludf.DUMMYFUNCTION("""COMPUTED_VALUE"""),0.0)</f>
        <v>0</v>
      </c>
      <c r="R591" s="34">
        <f>IFERROR(__xludf.DUMMYFUNCTION("""COMPUTED_VALUE"""),0.0)</f>
        <v>0</v>
      </c>
      <c r="S591" s="34">
        <f>IFERROR(__xludf.DUMMYFUNCTION("""COMPUTED_VALUE"""),0.0)</f>
        <v>0</v>
      </c>
      <c r="T591" s="17" t="str">
        <f t="shared" si="1"/>
        <v>Logan Driscoll</v>
      </c>
    </row>
    <row r="592">
      <c r="A592" s="17">
        <f>IFERROR(__xludf.DUMMYFUNCTION("""COMPUTED_VALUE"""),592.0)</f>
        <v>592</v>
      </c>
      <c r="B592" s="17" t="str">
        <f>IFERROR(__xludf.DUMMYFUNCTION("""COMPUTED_VALUE"""),"Jose Herrera (TEX - C) MiLB")</f>
        <v>Jose Herrera (TEX - C) MiLB</v>
      </c>
      <c r="C592" s="17">
        <f>IFERROR(__xludf.DUMMYFUNCTION("""COMPUTED_VALUE"""),17.0)</f>
        <v>17</v>
      </c>
      <c r="D592" s="17">
        <f>IFERROR(__xludf.DUMMYFUNCTION("""COMPUTED_VALUE"""),2.0)</f>
        <v>2</v>
      </c>
      <c r="E592" s="17">
        <f>IFERROR(__xludf.DUMMYFUNCTION("""COMPUTED_VALUE"""),1.0)</f>
        <v>1</v>
      </c>
      <c r="F592" s="17">
        <f>IFERROR(__xludf.DUMMYFUNCTION("""COMPUTED_VALUE"""),2.0)</f>
        <v>2</v>
      </c>
      <c r="G592" s="17">
        <f>IFERROR(__xludf.DUMMYFUNCTION("""COMPUTED_VALUE"""),0.0)</f>
        <v>0</v>
      </c>
      <c r="H592" s="17">
        <f>IFERROR(__xludf.DUMMYFUNCTION("""COMPUTED_VALUE"""),0.218)</f>
        <v>0.218</v>
      </c>
      <c r="I592" s="17">
        <f>IFERROR(__xludf.DUMMYFUNCTION("""COMPUTED_VALUE"""),0.305)</f>
        <v>0.305</v>
      </c>
      <c r="J592" s="17">
        <f>IFERROR(__xludf.DUMMYFUNCTION("""COMPUTED_VALUE"""),4.0)</f>
        <v>4</v>
      </c>
      <c r="K592" s="17">
        <f>IFERROR(__xludf.DUMMYFUNCTION("""COMPUTED_VALUE"""),1.0)</f>
        <v>1</v>
      </c>
      <c r="L592" s="17">
        <f>IFERROR(__xludf.DUMMYFUNCTION("""COMPUTED_VALUE"""),0.0)</f>
        <v>0</v>
      </c>
      <c r="M592" s="17">
        <f>IFERROR(__xludf.DUMMYFUNCTION("""COMPUTED_VALUE"""),2.0)</f>
        <v>2</v>
      </c>
      <c r="N592" s="17">
        <f>IFERROR(__xludf.DUMMYFUNCTION("""COMPUTED_VALUE"""),5.0)</f>
        <v>5</v>
      </c>
      <c r="O592" s="17">
        <f>IFERROR(__xludf.DUMMYFUNCTION("""COMPUTED_VALUE"""),0.342)</f>
        <v>0.342</v>
      </c>
      <c r="P592" s="17">
        <f>IFERROR(__xludf.DUMMYFUNCTION("""COMPUTED_VALUE"""),0.647)</f>
        <v>0.647</v>
      </c>
      <c r="Q592" s="34">
        <f>IFERROR(__xludf.DUMMYFUNCTION("""COMPUTED_VALUE"""),0.0)</f>
        <v>0</v>
      </c>
      <c r="R592" s="34">
        <f>IFERROR(__xludf.DUMMYFUNCTION("""COMPUTED_VALUE"""),0.0)</f>
        <v>0</v>
      </c>
      <c r="S592" s="34">
        <f>IFERROR(__xludf.DUMMYFUNCTION("""COMPUTED_VALUE"""),0.0)</f>
        <v>0</v>
      </c>
      <c r="T592" s="17" t="str">
        <f t="shared" si="1"/>
        <v>Jose Herrera</v>
      </c>
    </row>
    <row r="593">
      <c r="A593" s="17">
        <f>IFERROR(__xludf.DUMMYFUNCTION("""COMPUTED_VALUE"""),593.0)</f>
        <v>593</v>
      </c>
      <c r="B593" s="17" t="str">
        <f>IFERROR(__xludf.DUMMYFUNCTION("""COMPUTED_VALUE"""),"George Lombard (NYY - 2B,3B,SS) MiLB")</f>
        <v>George Lombard (NYY - 2B,3B,SS) MiLB</v>
      </c>
      <c r="C593" s="17">
        <f>IFERROR(__xludf.DUMMYFUNCTION("""COMPUTED_VALUE"""),25.0)</f>
        <v>25</v>
      </c>
      <c r="D593" s="17">
        <f>IFERROR(__xludf.DUMMYFUNCTION("""COMPUTED_VALUE"""),3.0)</f>
        <v>3</v>
      </c>
      <c r="E593" s="17">
        <f>IFERROR(__xludf.DUMMYFUNCTION("""COMPUTED_VALUE"""),0.0)</f>
        <v>0</v>
      </c>
      <c r="F593" s="17">
        <f>IFERROR(__xludf.DUMMYFUNCTION("""COMPUTED_VALUE"""),3.0)</f>
        <v>3</v>
      </c>
      <c r="G593" s="17">
        <f>IFERROR(__xludf.DUMMYFUNCTION("""COMPUTED_VALUE"""),1.0)</f>
        <v>1</v>
      </c>
      <c r="H593" s="17">
        <f>IFERROR(__xludf.DUMMYFUNCTION("""COMPUTED_VALUE"""),0.215)</f>
        <v>0.215</v>
      </c>
      <c r="I593" s="17">
        <f>IFERROR(__xludf.DUMMYFUNCTION("""COMPUTED_VALUE"""),0.288)</f>
        <v>0.288</v>
      </c>
      <c r="J593" s="17">
        <f>IFERROR(__xludf.DUMMYFUNCTION("""COMPUTED_VALUE"""),5.0)</f>
        <v>5</v>
      </c>
      <c r="K593" s="17">
        <f>IFERROR(__xludf.DUMMYFUNCTION("""COMPUTED_VALUE"""),1.0)</f>
        <v>1</v>
      </c>
      <c r="L593" s="17">
        <f>IFERROR(__xludf.DUMMYFUNCTION("""COMPUTED_VALUE"""),0.0)</f>
        <v>0</v>
      </c>
      <c r="M593" s="17">
        <f>IFERROR(__xludf.DUMMYFUNCTION("""COMPUTED_VALUE"""),3.0)</f>
        <v>3</v>
      </c>
      <c r="N593" s="17">
        <f>IFERROR(__xludf.DUMMYFUNCTION("""COMPUTED_VALUE"""),8.0)</f>
        <v>8</v>
      </c>
      <c r="O593" s="17">
        <f>IFERROR(__xludf.DUMMYFUNCTION("""COMPUTED_VALUE"""),0.319)</f>
        <v>0.319</v>
      </c>
      <c r="P593" s="17">
        <f>IFERROR(__xludf.DUMMYFUNCTION("""COMPUTED_VALUE"""),0.608)</f>
        <v>0.608</v>
      </c>
      <c r="Q593" s="34">
        <f>IFERROR(__xludf.DUMMYFUNCTION("""COMPUTED_VALUE"""),0.02)</f>
        <v>0.02</v>
      </c>
      <c r="R593" s="34">
        <f>IFERROR(__xludf.DUMMYFUNCTION("""COMPUTED_VALUE"""),0.04)</f>
        <v>0.04</v>
      </c>
      <c r="S593" s="34">
        <f>IFERROR(__xludf.DUMMYFUNCTION("""COMPUTED_VALUE"""),0.01)</f>
        <v>0.01</v>
      </c>
      <c r="T593" s="17" t="str">
        <f t="shared" si="1"/>
        <v>George Lombard</v>
      </c>
    </row>
    <row r="594">
      <c r="A594" s="17">
        <f>IFERROR(__xludf.DUMMYFUNCTION("""COMPUTED_VALUE"""),594.0)</f>
        <v>594</v>
      </c>
      <c r="B594" s="17" t="str">
        <f>IFERROR(__xludf.DUMMYFUNCTION("""COMPUTED_VALUE"""),"Estevan Florial (LF,CF,RF) FA")</f>
        <v>Estevan Florial (LF,CF,RF) FA</v>
      </c>
      <c r="C594" s="17">
        <f>IFERROR(__xludf.DUMMYFUNCTION("""COMPUTED_VALUE"""),8.0)</f>
        <v>8</v>
      </c>
      <c r="D594" s="17">
        <f>IFERROR(__xludf.DUMMYFUNCTION("""COMPUTED_VALUE"""),1.0)</f>
        <v>1</v>
      </c>
      <c r="E594" s="17">
        <f>IFERROR(__xludf.DUMMYFUNCTION("""COMPUTED_VALUE"""),1.0)</f>
        <v>1</v>
      </c>
      <c r="F594" s="17">
        <f>IFERROR(__xludf.DUMMYFUNCTION("""COMPUTED_VALUE"""),1.0)</f>
        <v>1</v>
      </c>
      <c r="G594" s="17">
        <f>IFERROR(__xludf.DUMMYFUNCTION("""COMPUTED_VALUE"""),1.0)</f>
        <v>1</v>
      </c>
      <c r="H594" s="17">
        <f>IFERROR(__xludf.DUMMYFUNCTION("""COMPUTED_VALUE"""),0.279)</f>
        <v>0.279</v>
      </c>
      <c r="I594" s="17">
        <f>IFERROR(__xludf.DUMMYFUNCTION("""COMPUTED_VALUE"""),0.368)</f>
        <v>0.368</v>
      </c>
      <c r="J594" s="17">
        <f>IFERROR(__xludf.DUMMYFUNCTION("""COMPUTED_VALUE"""),2.0)</f>
        <v>2</v>
      </c>
      <c r="K594" s="17">
        <f>IFERROR(__xludf.DUMMYFUNCTION("""COMPUTED_VALUE"""),1.0)</f>
        <v>1</v>
      </c>
      <c r="L594" s="17">
        <f>IFERROR(__xludf.DUMMYFUNCTION("""COMPUTED_VALUE"""),0.0)</f>
        <v>0</v>
      </c>
      <c r="M594" s="17">
        <f>IFERROR(__xludf.DUMMYFUNCTION("""COMPUTED_VALUE"""),1.0)</f>
        <v>1</v>
      </c>
      <c r="N594" s="17">
        <f>IFERROR(__xludf.DUMMYFUNCTION("""COMPUTED_VALUE"""),3.0)</f>
        <v>3</v>
      </c>
      <c r="O594" s="17">
        <f>IFERROR(__xludf.DUMMYFUNCTION("""COMPUTED_VALUE"""),0.552)</f>
        <v>0.552</v>
      </c>
      <c r="P594" s="17">
        <f>IFERROR(__xludf.DUMMYFUNCTION("""COMPUTED_VALUE"""),0.92)</f>
        <v>0.92</v>
      </c>
      <c r="Q594" s="34">
        <f>IFERROR(__xludf.DUMMYFUNCTION("""COMPUTED_VALUE"""),0.0)</f>
        <v>0</v>
      </c>
      <c r="R594" s="34">
        <f>IFERROR(__xludf.DUMMYFUNCTION("""COMPUTED_VALUE"""),0.0)</f>
        <v>0</v>
      </c>
      <c r="S594" s="34">
        <f>IFERROR(__xludf.DUMMYFUNCTION("""COMPUTED_VALUE"""),0.0)</f>
        <v>0</v>
      </c>
      <c r="T594" s="17" t="str">
        <f t="shared" si="1"/>
        <v>Estevan Florial</v>
      </c>
    </row>
    <row r="595">
      <c r="A595" s="17">
        <f>IFERROR(__xludf.DUMMYFUNCTION("""COMPUTED_VALUE"""),595.0)</f>
        <v>595</v>
      </c>
      <c r="B595" s="17" t="str">
        <f>IFERROR(__xludf.DUMMYFUNCTION("""COMPUTED_VALUE"""),"Elijah Dunham (LAA - LF) MiLB")</f>
        <v>Elijah Dunham (LAA - LF) MiLB</v>
      </c>
      <c r="C595" s="17">
        <f>IFERROR(__xludf.DUMMYFUNCTION("""COMPUTED_VALUE"""),17.0)</f>
        <v>17</v>
      </c>
      <c r="D595" s="17">
        <f>IFERROR(__xludf.DUMMYFUNCTION("""COMPUTED_VALUE"""),2.0)</f>
        <v>2</v>
      </c>
      <c r="E595" s="17">
        <f>IFERROR(__xludf.DUMMYFUNCTION("""COMPUTED_VALUE"""),1.0)</f>
        <v>1</v>
      </c>
      <c r="F595" s="17">
        <f>IFERROR(__xludf.DUMMYFUNCTION("""COMPUTED_VALUE"""),2.0)</f>
        <v>2</v>
      </c>
      <c r="G595" s="17">
        <f>IFERROR(__xludf.DUMMYFUNCTION("""COMPUTED_VALUE"""),1.0)</f>
        <v>1</v>
      </c>
      <c r="H595" s="17">
        <f>IFERROR(__xludf.DUMMYFUNCTION("""COMPUTED_VALUE"""),0.188)</f>
        <v>0.188</v>
      </c>
      <c r="I595" s="17">
        <f>IFERROR(__xludf.DUMMYFUNCTION("""COMPUTED_VALUE"""),0.258)</f>
        <v>0.258</v>
      </c>
      <c r="J595" s="17">
        <f>IFERROR(__xludf.DUMMYFUNCTION("""COMPUTED_VALUE"""),3.0)</f>
        <v>3</v>
      </c>
      <c r="K595" s="17">
        <f>IFERROR(__xludf.DUMMYFUNCTION("""COMPUTED_VALUE"""),1.0)</f>
        <v>1</v>
      </c>
      <c r="L595" s="17">
        <f>IFERROR(__xludf.DUMMYFUNCTION("""COMPUTED_VALUE"""),0.0)</f>
        <v>0</v>
      </c>
      <c r="M595" s="17">
        <f>IFERROR(__xludf.DUMMYFUNCTION("""COMPUTED_VALUE"""),2.0)</f>
        <v>2</v>
      </c>
      <c r="N595" s="17">
        <f>IFERROR(__xludf.DUMMYFUNCTION("""COMPUTED_VALUE"""),6.0)</f>
        <v>6</v>
      </c>
      <c r="O595" s="17">
        <f>IFERROR(__xludf.DUMMYFUNCTION("""COMPUTED_VALUE"""),0.314)</f>
        <v>0.314</v>
      </c>
      <c r="P595" s="17">
        <f>IFERROR(__xludf.DUMMYFUNCTION("""COMPUTED_VALUE"""),0.572)</f>
        <v>0.572</v>
      </c>
      <c r="Q595" s="34">
        <f>IFERROR(__xludf.DUMMYFUNCTION("""COMPUTED_VALUE"""),0.0)</f>
        <v>0</v>
      </c>
      <c r="R595" s="34">
        <f>IFERROR(__xludf.DUMMYFUNCTION("""COMPUTED_VALUE"""),0.0)</f>
        <v>0</v>
      </c>
      <c r="S595" s="34">
        <f>IFERROR(__xludf.DUMMYFUNCTION("""COMPUTED_VALUE"""),0.0)</f>
        <v>0</v>
      </c>
      <c r="T595" s="17" t="str">
        <f t="shared" si="1"/>
        <v>Elijah Dunham</v>
      </c>
    </row>
    <row r="596">
      <c r="A596" s="17">
        <f>IFERROR(__xludf.DUMMYFUNCTION("""COMPUTED_VALUE"""),596.0)</f>
        <v>596</v>
      </c>
      <c r="B596" s="17" t="str">
        <f>IFERROR(__xludf.DUMMYFUNCTION("""COMPUTED_VALUE"""),"Tre' Morgan (TB - 1B,OF) MiLB")</f>
        <v>Tre' Morgan (TB - 1B,OF) MiLB</v>
      </c>
      <c r="C596" s="17">
        <f>IFERROR(__xludf.DUMMYFUNCTION("""COMPUTED_VALUE"""),22.0)</f>
        <v>22</v>
      </c>
      <c r="D596" s="17">
        <f>IFERROR(__xludf.DUMMYFUNCTION("""COMPUTED_VALUE"""),3.0)</f>
        <v>3</v>
      </c>
      <c r="E596" s="17">
        <f>IFERROR(__xludf.DUMMYFUNCTION("""COMPUTED_VALUE"""),0.0)</f>
        <v>0</v>
      </c>
      <c r="F596" s="17">
        <f>IFERROR(__xludf.DUMMYFUNCTION("""COMPUTED_VALUE"""),3.0)</f>
        <v>3</v>
      </c>
      <c r="G596" s="17">
        <f>IFERROR(__xludf.DUMMYFUNCTION("""COMPUTED_VALUE"""),0.0)</f>
        <v>0</v>
      </c>
      <c r="H596" s="17">
        <f>IFERROR(__xludf.DUMMYFUNCTION("""COMPUTED_VALUE"""),0.244)</f>
        <v>0.244</v>
      </c>
      <c r="I596" s="17">
        <f>IFERROR(__xludf.DUMMYFUNCTION("""COMPUTED_VALUE"""),0.331)</f>
        <v>0.331</v>
      </c>
      <c r="J596" s="17">
        <f>IFERROR(__xludf.DUMMYFUNCTION("""COMPUTED_VALUE"""),5.0)</f>
        <v>5</v>
      </c>
      <c r="K596" s="17">
        <f>IFERROR(__xludf.DUMMYFUNCTION("""COMPUTED_VALUE"""),1.0)</f>
        <v>1</v>
      </c>
      <c r="L596" s="17">
        <f>IFERROR(__xludf.DUMMYFUNCTION("""COMPUTED_VALUE"""),0.0)</f>
        <v>0</v>
      </c>
      <c r="M596" s="17">
        <f>IFERROR(__xludf.DUMMYFUNCTION("""COMPUTED_VALUE"""),3.0)</f>
        <v>3</v>
      </c>
      <c r="N596" s="17">
        <f>IFERROR(__xludf.DUMMYFUNCTION("""COMPUTED_VALUE"""),5.0)</f>
        <v>5</v>
      </c>
      <c r="O596" s="17">
        <f>IFERROR(__xludf.DUMMYFUNCTION("""COMPUTED_VALUE"""),0.352)</f>
        <v>0.352</v>
      </c>
      <c r="P596" s="17">
        <f>IFERROR(__xludf.DUMMYFUNCTION("""COMPUTED_VALUE"""),0.683)</f>
        <v>0.683</v>
      </c>
      <c r="Q596" s="34">
        <f>IFERROR(__xludf.DUMMYFUNCTION("""COMPUTED_VALUE"""),0.0)</f>
        <v>0</v>
      </c>
      <c r="R596" s="34">
        <f>IFERROR(__xludf.DUMMYFUNCTION("""COMPUTED_VALUE"""),0.0)</f>
        <v>0</v>
      </c>
      <c r="S596" s="34">
        <f>IFERROR(__xludf.DUMMYFUNCTION("""COMPUTED_VALUE"""),0.0)</f>
        <v>0</v>
      </c>
      <c r="T596" s="17" t="str">
        <f t="shared" si="1"/>
        <v>Tre' Morgan</v>
      </c>
    </row>
    <row r="597">
      <c r="A597" s="17">
        <f>IFERROR(__xludf.DUMMYFUNCTION("""COMPUTED_VALUE"""),597.0)</f>
        <v>597</v>
      </c>
      <c r="B597" s="17" t="str">
        <f>IFERROR(__xludf.DUMMYFUNCTION("""COMPUTED_VALUE"""),"Edward Olivares (LF,RF) FA")</f>
        <v>Edward Olivares (LF,RF) FA</v>
      </c>
      <c r="C597" s="17">
        <f>IFERROR(__xludf.DUMMYFUNCTION("""COMPUTED_VALUE"""),9.0)</f>
        <v>9</v>
      </c>
      <c r="D597" s="17">
        <f>IFERROR(__xludf.DUMMYFUNCTION("""COMPUTED_VALUE"""),1.0)</f>
        <v>1</v>
      </c>
      <c r="E597" s="17">
        <f>IFERROR(__xludf.DUMMYFUNCTION("""COMPUTED_VALUE"""),1.0)</f>
        <v>1</v>
      </c>
      <c r="F597" s="17">
        <f>IFERROR(__xludf.DUMMYFUNCTION("""COMPUTED_VALUE"""),1.0)</f>
        <v>1</v>
      </c>
      <c r="G597" s="17">
        <f>IFERROR(__xludf.DUMMYFUNCTION("""COMPUTED_VALUE"""),0.0)</f>
        <v>0</v>
      </c>
      <c r="H597" s="17">
        <f>IFERROR(__xludf.DUMMYFUNCTION("""COMPUTED_VALUE"""),0.289)</f>
        <v>0.289</v>
      </c>
      <c r="I597" s="17">
        <f>IFERROR(__xludf.DUMMYFUNCTION("""COMPUTED_VALUE"""),0.33)</f>
        <v>0.33</v>
      </c>
      <c r="J597" s="17">
        <f>IFERROR(__xludf.DUMMYFUNCTION("""COMPUTED_VALUE"""),3.0)</f>
        <v>3</v>
      </c>
      <c r="K597" s="17">
        <f>IFERROR(__xludf.DUMMYFUNCTION("""COMPUTED_VALUE"""),1.0)</f>
        <v>1</v>
      </c>
      <c r="L597" s="17">
        <f>IFERROR(__xludf.DUMMYFUNCTION("""COMPUTED_VALUE"""),0.0)</f>
        <v>0</v>
      </c>
      <c r="M597" s="17">
        <f>IFERROR(__xludf.DUMMYFUNCTION("""COMPUTED_VALUE"""),1.0)</f>
        <v>1</v>
      </c>
      <c r="N597" s="17">
        <f>IFERROR(__xludf.DUMMYFUNCTION("""COMPUTED_VALUE"""),2.0)</f>
        <v>2</v>
      </c>
      <c r="O597" s="17">
        <f>IFERROR(__xludf.DUMMYFUNCTION("""COMPUTED_VALUE"""),0.516)</f>
        <v>0.516</v>
      </c>
      <c r="P597" s="17">
        <f>IFERROR(__xludf.DUMMYFUNCTION("""COMPUTED_VALUE"""),0.847)</f>
        <v>0.847</v>
      </c>
      <c r="Q597" s="34">
        <f>IFERROR(__xludf.DUMMYFUNCTION("""COMPUTED_VALUE"""),0.0)</f>
        <v>0</v>
      </c>
      <c r="R597" s="34">
        <f>IFERROR(__xludf.DUMMYFUNCTION("""COMPUTED_VALUE"""),0.0)</f>
        <v>0</v>
      </c>
      <c r="S597" s="34">
        <f>IFERROR(__xludf.DUMMYFUNCTION("""COMPUTED_VALUE"""),0.0)</f>
        <v>0</v>
      </c>
      <c r="T597" s="17" t="str">
        <f t="shared" si="1"/>
        <v>Edward Olivares</v>
      </c>
    </row>
    <row r="598">
      <c r="A598" s="17">
        <f>IFERROR(__xludf.DUMMYFUNCTION("""COMPUTED_VALUE"""),598.0)</f>
        <v>598</v>
      </c>
      <c r="B598" s="17" t="str">
        <f>IFERROR(__xludf.DUMMYFUNCTION("""COMPUTED_VALUE"""),"Joey Gallo (1B,LF,CF,RF) FA")</f>
        <v>Joey Gallo (1B,LF,CF,RF) FA</v>
      </c>
      <c r="C598" s="17">
        <f>IFERROR(__xludf.DUMMYFUNCTION("""COMPUTED_VALUE"""),14.0)</f>
        <v>14</v>
      </c>
      <c r="D598" s="17">
        <f>IFERROR(__xludf.DUMMYFUNCTION("""COMPUTED_VALUE"""),2.0)</f>
        <v>2</v>
      </c>
      <c r="E598" s="17">
        <f>IFERROR(__xludf.DUMMYFUNCTION("""COMPUTED_VALUE"""),1.0)</f>
        <v>1</v>
      </c>
      <c r="F598" s="17">
        <f>IFERROR(__xludf.DUMMYFUNCTION("""COMPUTED_VALUE"""),2.0)</f>
        <v>2</v>
      </c>
      <c r="G598" s="17">
        <f>IFERROR(__xludf.DUMMYFUNCTION("""COMPUTED_VALUE"""),0.0)</f>
        <v>0</v>
      </c>
      <c r="H598" s="17">
        <f>IFERROR(__xludf.DUMMYFUNCTION("""COMPUTED_VALUE"""),0.192)</f>
        <v>0.192</v>
      </c>
      <c r="I598" s="17">
        <f>IFERROR(__xludf.DUMMYFUNCTION("""COMPUTED_VALUE"""),0.3)</f>
        <v>0.3</v>
      </c>
      <c r="J598" s="17">
        <f>IFERROR(__xludf.DUMMYFUNCTION("""COMPUTED_VALUE"""),3.0)</f>
        <v>3</v>
      </c>
      <c r="K598" s="17">
        <f>IFERROR(__xludf.DUMMYFUNCTION("""COMPUTED_VALUE"""),1.0)</f>
        <v>1</v>
      </c>
      <c r="L598" s="17">
        <f>IFERROR(__xludf.DUMMYFUNCTION("""COMPUTED_VALUE"""),0.0)</f>
        <v>0</v>
      </c>
      <c r="M598" s="17">
        <f>IFERROR(__xludf.DUMMYFUNCTION("""COMPUTED_VALUE"""),2.0)</f>
        <v>2</v>
      </c>
      <c r="N598" s="17">
        <f>IFERROR(__xludf.DUMMYFUNCTION("""COMPUTED_VALUE"""),6.0)</f>
        <v>6</v>
      </c>
      <c r="O598" s="17">
        <f>IFERROR(__xludf.DUMMYFUNCTION("""COMPUTED_VALUE"""),0.347)</f>
        <v>0.347</v>
      </c>
      <c r="P598" s="17">
        <f>IFERROR(__xludf.DUMMYFUNCTION("""COMPUTED_VALUE"""),0.647)</f>
        <v>0.647</v>
      </c>
      <c r="Q598" s="34">
        <f>IFERROR(__xludf.DUMMYFUNCTION("""COMPUTED_VALUE"""),0.01)</f>
        <v>0.01</v>
      </c>
      <c r="R598" s="34">
        <f>IFERROR(__xludf.DUMMYFUNCTION("""COMPUTED_VALUE"""),0.01)</f>
        <v>0.01</v>
      </c>
      <c r="S598" s="34">
        <f>IFERROR(__xludf.DUMMYFUNCTION("""COMPUTED_VALUE"""),0.0)</f>
        <v>0</v>
      </c>
      <c r="T598" s="17" t="str">
        <f t="shared" si="1"/>
        <v>Joey Gallo</v>
      </c>
    </row>
    <row r="599">
      <c r="A599" s="17">
        <f>IFERROR(__xludf.DUMMYFUNCTION("""COMPUTED_VALUE"""),599.0)</f>
        <v>599</v>
      </c>
      <c r="B599" s="17" t="str">
        <f>IFERROR(__xludf.DUMMYFUNCTION("""COMPUTED_VALUE"""),"Davis Wendzel (PIT - 3B) MiLB")</f>
        <v>Davis Wendzel (PIT - 3B) MiLB</v>
      </c>
      <c r="C599" s="17">
        <f>IFERROR(__xludf.DUMMYFUNCTION("""COMPUTED_VALUE"""),18.0)</f>
        <v>18</v>
      </c>
      <c r="D599" s="17">
        <f>IFERROR(__xludf.DUMMYFUNCTION("""COMPUTED_VALUE"""),2.0)</f>
        <v>2</v>
      </c>
      <c r="E599" s="17">
        <f>IFERROR(__xludf.DUMMYFUNCTION("""COMPUTED_VALUE"""),1.0)</f>
        <v>1</v>
      </c>
      <c r="F599" s="17">
        <f>IFERROR(__xludf.DUMMYFUNCTION("""COMPUTED_VALUE"""),2.0)</f>
        <v>2</v>
      </c>
      <c r="G599" s="17">
        <f>IFERROR(__xludf.DUMMYFUNCTION("""COMPUTED_VALUE"""),0.0)</f>
        <v>0</v>
      </c>
      <c r="H599" s="17">
        <f>IFERROR(__xludf.DUMMYFUNCTION("""COMPUTED_VALUE"""),0.206)</f>
        <v>0.206</v>
      </c>
      <c r="I599" s="17">
        <f>IFERROR(__xludf.DUMMYFUNCTION("""COMPUTED_VALUE"""),0.289)</f>
        <v>0.289</v>
      </c>
      <c r="J599" s="17">
        <f>IFERROR(__xludf.DUMMYFUNCTION("""COMPUTED_VALUE"""),4.0)</f>
        <v>4</v>
      </c>
      <c r="K599" s="17">
        <f>IFERROR(__xludf.DUMMYFUNCTION("""COMPUTED_VALUE"""),1.0)</f>
        <v>1</v>
      </c>
      <c r="L599" s="17">
        <f>IFERROR(__xludf.DUMMYFUNCTION("""COMPUTED_VALUE"""),0.0)</f>
        <v>0</v>
      </c>
      <c r="M599" s="17">
        <f>IFERROR(__xludf.DUMMYFUNCTION("""COMPUTED_VALUE"""),2.0)</f>
        <v>2</v>
      </c>
      <c r="N599" s="17">
        <f>IFERROR(__xludf.DUMMYFUNCTION("""COMPUTED_VALUE"""),5.0)</f>
        <v>5</v>
      </c>
      <c r="O599" s="17">
        <f>IFERROR(__xludf.DUMMYFUNCTION("""COMPUTED_VALUE"""),0.324)</f>
        <v>0.324</v>
      </c>
      <c r="P599" s="17">
        <f>IFERROR(__xludf.DUMMYFUNCTION("""COMPUTED_VALUE"""),0.614)</f>
        <v>0.614</v>
      </c>
      <c r="Q599" s="34">
        <f>IFERROR(__xludf.DUMMYFUNCTION("""COMPUTED_VALUE"""),0.0)</f>
        <v>0</v>
      </c>
      <c r="R599" s="34">
        <f>IFERROR(__xludf.DUMMYFUNCTION("""COMPUTED_VALUE"""),0.0)</f>
        <v>0</v>
      </c>
      <c r="S599" s="34">
        <f>IFERROR(__xludf.DUMMYFUNCTION("""COMPUTED_VALUE"""),0.0)</f>
        <v>0</v>
      </c>
      <c r="T599" s="17" t="str">
        <f t="shared" si="1"/>
        <v>Davis Wendzel</v>
      </c>
    </row>
    <row r="600">
      <c r="A600" s="17">
        <f>IFERROR(__xludf.DUMMYFUNCTION("""COMPUTED_VALUE"""),600.0)</f>
        <v>600</v>
      </c>
      <c r="B600" s="17" t="str">
        <f>IFERROR(__xludf.DUMMYFUNCTION("""COMPUTED_VALUE"""),"Brewer Hicklen (ATL - CF,RF) MiLB")</f>
        <v>Brewer Hicklen (ATL - CF,RF) MiLB</v>
      </c>
      <c r="C600" s="17">
        <f>IFERROR(__xludf.DUMMYFUNCTION("""COMPUTED_VALUE"""),9.0)</f>
        <v>9</v>
      </c>
      <c r="D600" s="17">
        <f>IFERROR(__xludf.DUMMYFUNCTION("""COMPUTED_VALUE"""),1.0)</f>
        <v>1</v>
      </c>
      <c r="E600" s="17">
        <f>IFERROR(__xludf.DUMMYFUNCTION("""COMPUTED_VALUE"""),1.0)</f>
        <v>1</v>
      </c>
      <c r="F600" s="17">
        <f>IFERROR(__xludf.DUMMYFUNCTION("""COMPUTED_VALUE"""),1.0)</f>
        <v>1</v>
      </c>
      <c r="G600" s="17">
        <f>IFERROR(__xludf.DUMMYFUNCTION("""COMPUTED_VALUE"""),1.0)</f>
        <v>1</v>
      </c>
      <c r="H600" s="17">
        <f>IFERROR(__xludf.DUMMYFUNCTION("""COMPUTED_VALUE"""),0.247)</f>
        <v>0.247</v>
      </c>
      <c r="I600" s="17">
        <f>IFERROR(__xludf.DUMMYFUNCTION("""COMPUTED_VALUE"""),0.33)</f>
        <v>0.33</v>
      </c>
      <c r="J600" s="17">
        <f>IFERROR(__xludf.DUMMYFUNCTION("""COMPUTED_VALUE"""),2.0)</f>
        <v>2</v>
      </c>
      <c r="K600" s="17">
        <f>IFERROR(__xludf.DUMMYFUNCTION("""COMPUTED_VALUE"""),1.0)</f>
        <v>1</v>
      </c>
      <c r="L600" s="17">
        <f>IFERROR(__xludf.DUMMYFUNCTION("""COMPUTED_VALUE"""),0.0)</f>
        <v>0</v>
      </c>
      <c r="M600" s="17">
        <f>IFERROR(__xludf.DUMMYFUNCTION("""COMPUTED_VALUE"""),1.0)</f>
        <v>1</v>
      </c>
      <c r="N600" s="17">
        <f>IFERROR(__xludf.DUMMYFUNCTION("""COMPUTED_VALUE"""),3.0)</f>
        <v>3</v>
      </c>
      <c r="O600" s="17">
        <f>IFERROR(__xludf.DUMMYFUNCTION("""COMPUTED_VALUE"""),0.489)</f>
        <v>0.489</v>
      </c>
      <c r="P600" s="17">
        <f>IFERROR(__xludf.DUMMYFUNCTION("""COMPUTED_VALUE"""),0.819)</f>
        <v>0.819</v>
      </c>
      <c r="Q600" s="34">
        <f>IFERROR(__xludf.DUMMYFUNCTION("""COMPUTED_VALUE"""),0.0)</f>
        <v>0</v>
      </c>
      <c r="R600" s="34">
        <f>IFERROR(__xludf.DUMMYFUNCTION("""COMPUTED_VALUE"""),0.0)</f>
        <v>0</v>
      </c>
      <c r="S600" s="34">
        <f>IFERROR(__xludf.DUMMYFUNCTION("""COMPUTED_VALUE"""),0.0)</f>
        <v>0</v>
      </c>
      <c r="T600" s="17" t="str">
        <f t="shared" si="1"/>
        <v>Brewer Hicklen</v>
      </c>
    </row>
    <row r="601">
      <c r="A601" s="17">
        <f>IFERROR(__xludf.DUMMYFUNCTION("""COMPUTED_VALUE"""),601.0)</f>
        <v>601</v>
      </c>
      <c r="B601" s="17" t="str">
        <f>IFERROR(__xludf.DUMMYFUNCTION("""COMPUTED_VALUE"""),"Jacob Stallings (C) RET")</f>
        <v>Jacob Stallings (C) RET</v>
      </c>
      <c r="C601" s="17">
        <f>IFERROR(__xludf.DUMMYFUNCTION("""COMPUTED_VALUE"""),27.0)</f>
        <v>27</v>
      </c>
      <c r="D601" s="17">
        <f>IFERROR(__xludf.DUMMYFUNCTION("""COMPUTED_VALUE"""),3.0)</f>
        <v>3</v>
      </c>
      <c r="E601" s="17">
        <f>IFERROR(__xludf.DUMMYFUNCTION("""COMPUTED_VALUE"""),1.0)</f>
        <v>1</v>
      </c>
      <c r="F601" s="17">
        <f>IFERROR(__xludf.DUMMYFUNCTION("""COMPUTED_VALUE"""),3.0)</f>
        <v>3</v>
      </c>
      <c r="G601" s="17">
        <f>IFERROR(__xludf.DUMMYFUNCTION("""COMPUTED_VALUE"""),0.0)</f>
        <v>0</v>
      </c>
      <c r="H601" s="17">
        <f>IFERROR(__xludf.DUMMYFUNCTION("""COMPUTED_VALUE"""),0.193)</f>
        <v>0.193</v>
      </c>
      <c r="I601" s="17">
        <f>IFERROR(__xludf.DUMMYFUNCTION("""COMPUTED_VALUE"""),0.276)</f>
        <v>0.276</v>
      </c>
      <c r="J601" s="17">
        <f>IFERROR(__xludf.DUMMYFUNCTION("""COMPUTED_VALUE"""),5.0)</f>
        <v>5</v>
      </c>
      <c r="K601" s="17">
        <f>IFERROR(__xludf.DUMMYFUNCTION("""COMPUTED_VALUE"""),1.0)</f>
        <v>1</v>
      </c>
      <c r="L601" s="17">
        <f>IFERROR(__xludf.DUMMYFUNCTION("""COMPUTED_VALUE"""),0.0)</f>
        <v>0</v>
      </c>
      <c r="M601" s="17">
        <f>IFERROR(__xludf.DUMMYFUNCTION("""COMPUTED_VALUE"""),3.0)</f>
        <v>3</v>
      </c>
      <c r="N601" s="17">
        <f>IFERROR(__xludf.DUMMYFUNCTION("""COMPUTED_VALUE"""),8.0)</f>
        <v>8</v>
      </c>
      <c r="O601" s="17">
        <f>IFERROR(__xludf.DUMMYFUNCTION("""COMPUTED_VALUE"""),0.289)</f>
        <v>0.289</v>
      </c>
      <c r="P601" s="17">
        <f>IFERROR(__xludf.DUMMYFUNCTION("""COMPUTED_VALUE"""),0.565)</f>
        <v>0.565</v>
      </c>
      <c r="Q601" s="34">
        <f>IFERROR(__xludf.DUMMYFUNCTION("""COMPUTED_VALUE"""),0.0)</f>
        <v>0</v>
      </c>
      <c r="R601" s="34">
        <f>IFERROR(__xludf.DUMMYFUNCTION("""COMPUTED_VALUE"""),0.0)</f>
        <v>0</v>
      </c>
      <c r="S601" s="34">
        <f>IFERROR(__xludf.DUMMYFUNCTION("""COMPUTED_VALUE"""),0.0)</f>
        <v>0</v>
      </c>
    </row>
    <row r="602">
      <c r="A602" s="17">
        <f>IFERROR(__xludf.DUMMYFUNCTION("""COMPUTED_VALUE"""),602.0)</f>
        <v>602</v>
      </c>
      <c r="B602" s="17" t="str">
        <f>IFERROR(__xludf.DUMMYFUNCTION("""COMPUTED_VALUE"""),"Max Schuemann (NYY - 2B,3B,SS,OF)")</f>
        <v>Max Schuemann (NYY - 2B,3B,SS,OF)</v>
      </c>
      <c r="C602" s="17">
        <f>IFERROR(__xludf.DUMMYFUNCTION("""COMPUTED_VALUE"""),24.0)</f>
        <v>24</v>
      </c>
      <c r="D602" s="17">
        <f>IFERROR(__xludf.DUMMYFUNCTION("""COMPUTED_VALUE"""),3.0)</f>
        <v>3</v>
      </c>
      <c r="E602" s="17">
        <f>IFERROR(__xludf.DUMMYFUNCTION("""COMPUTED_VALUE"""),0.0)</f>
        <v>0</v>
      </c>
      <c r="F602" s="17">
        <f>IFERROR(__xludf.DUMMYFUNCTION("""COMPUTED_VALUE"""),2.0)</f>
        <v>2</v>
      </c>
      <c r="G602" s="17">
        <f>IFERROR(__xludf.DUMMYFUNCTION("""COMPUTED_VALUE"""),1.0)</f>
        <v>1</v>
      </c>
      <c r="H602" s="17">
        <f>IFERROR(__xludf.DUMMYFUNCTION("""COMPUTED_VALUE"""),0.211)</f>
        <v>0.211</v>
      </c>
      <c r="I602" s="17">
        <f>IFERROR(__xludf.DUMMYFUNCTION("""COMPUTED_VALUE"""),0.31)</f>
        <v>0.31</v>
      </c>
      <c r="J602" s="17">
        <f>IFERROR(__xludf.DUMMYFUNCTION("""COMPUTED_VALUE"""),5.0)</f>
        <v>5</v>
      </c>
      <c r="K602" s="17">
        <f>IFERROR(__xludf.DUMMYFUNCTION("""COMPUTED_VALUE"""),1.0)</f>
        <v>1</v>
      </c>
      <c r="L602" s="17">
        <f>IFERROR(__xludf.DUMMYFUNCTION("""COMPUTED_VALUE"""),0.0)</f>
        <v>0</v>
      </c>
      <c r="M602" s="17">
        <f>IFERROR(__xludf.DUMMYFUNCTION("""COMPUTED_VALUE"""),3.0)</f>
        <v>3</v>
      </c>
      <c r="N602" s="17">
        <f>IFERROR(__xludf.DUMMYFUNCTION("""COMPUTED_VALUE"""),6.0)</f>
        <v>6</v>
      </c>
      <c r="O602" s="17">
        <f>IFERROR(__xludf.DUMMYFUNCTION("""COMPUTED_VALUE"""),0.286)</f>
        <v>0.286</v>
      </c>
      <c r="P602" s="17">
        <f>IFERROR(__xludf.DUMMYFUNCTION("""COMPUTED_VALUE"""),0.596)</f>
        <v>0.596</v>
      </c>
      <c r="Q602" s="34">
        <f>IFERROR(__xludf.DUMMYFUNCTION("""COMPUTED_VALUE"""),0.0)</f>
        <v>0</v>
      </c>
      <c r="R602" s="34">
        <f>IFERROR(__xludf.DUMMYFUNCTION("""COMPUTED_VALUE"""),0.0)</f>
        <v>0</v>
      </c>
      <c r="S602" s="34">
        <f>IFERROR(__xludf.DUMMYFUNCTION("""COMPUTED_VALUE"""),0.0)</f>
        <v>0</v>
      </c>
    </row>
    <row r="603">
      <c r="A603" s="17">
        <f>IFERROR(__xludf.DUMMYFUNCTION("""COMPUTED_VALUE"""),603.0)</f>
        <v>603</v>
      </c>
      <c r="B603" s="17" t="str">
        <f>IFERROR(__xludf.DUMMYFUNCTION("""COMPUTED_VALUE"""),"Bryan De La Cruz (PHI - LF) MiLB")</f>
        <v>Bryan De La Cruz (PHI - LF) MiLB</v>
      </c>
      <c r="C603" s="17">
        <f>IFERROR(__xludf.DUMMYFUNCTION("""COMPUTED_VALUE"""),10.0)</f>
        <v>10</v>
      </c>
      <c r="D603" s="17">
        <f>IFERROR(__xludf.DUMMYFUNCTION("""COMPUTED_VALUE"""),1.0)</f>
        <v>1</v>
      </c>
      <c r="E603" s="17">
        <f>IFERROR(__xludf.DUMMYFUNCTION("""COMPUTED_VALUE"""),1.0)</f>
        <v>1</v>
      </c>
      <c r="F603" s="17">
        <f>IFERROR(__xludf.DUMMYFUNCTION("""COMPUTED_VALUE"""),1.0)</f>
        <v>1</v>
      </c>
      <c r="G603" s="17">
        <f>IFERROR(__xludf.DUMMYFUNCTION("""COMPUTED_VALUE"""),0.0)</f>
        <v>0</v>
      </c>
      <c r="H603" s="17">
        <f>IFERROR(__xludf.DUMMYFUNCTION("""COMPUTED_VALUE"""),0.287)</f>
        <v>0.287</v>
      </c>
      <c r="I603" s="17">
        <f>IFERROR(__xludf.DUMMYFUNCTION("""COMPUTED_VALUE"""),0.327)</f>
        <v>0.327</v>
      </c>
      <c r="J603" s="17">
        <f>IFERROR(__xludf.DUMMYFUNCTION("""COMPUTED_VALUE"""),3.0)</f>
        <v>3</v>
      </c>
      <c r="K603" s="17">
        <f>IFERROR(__xludf.DUMMYFUNCTION("""COMPUTED_VALUE"""),1.0)</f>
        <v>1</v>
      </c>
      <c r="L603" s="17">
        <f>IFERROR(__xludf.DUMMYFUNCTION("""COMPUTED_VALUE"""),0.0)</f>
        <v>0</v>
      </c>
      <c r="M603" s="17">
        <f>IFERROR(__xludf.DUMMYFUNCTION("""COMPUTED_VALUE"""),1.0)</f>
        <v>1</v>
      </c>
      <c r="N603" s="17">
        <f>IFERROR(__xludf.DUMMYFUNCTION("""COMPUTED_VALUE"""),3.0)</f>
        <v>3</v>
      </c>
      <c r="O603" s="17">
        <f>IFERROR(__xludf.DUMMYFUNCTION("""COMPUTED_VALUE"""),0.512)</f>
        <v>0.512</v>
      </c>
      <c r="P603" s="17">
        <f>IFERROR(__xludf.DUMMYFUNCTION("""COMPUTED_VALUE"""),0.839)</f>
        <v>0.839</v>
      </c>
      <c r="Q603" s="34">
        <f>IFERROR(__xludf.DUMMYFUNCTION("""COMPUTED_VALUE"""),0.0)</f>
        <v>0</v>
      </c>
      <c r="R603" s="34">
        <f>IFERROR(__xludf.DUMMYFUNCTION("""COMPUTED_VALUE"""),0.0)</f>
        <v>0</v>
      </c>
      <c r="S603" s="34">
        <f>IFERROR(__xludf.DUMMYFUNCTION("""COMPUTED_VALUE"""),0.0)</f>
        <v>0</v>
      </c>
    </row>
    <row r="604">
      <c r="A604" s="17">
        <f>IFERROR(__xludf.DUMMYFUNCTION("""COMPUTED_VALUE"""),604.0)</f>
        <v>604</v>
      </c>
      <c r="B604" s="17" t="str">
        <f>IFERROR(__xludf.DUMMYFUNCTION("""COMPUTED_VALUE"""),"Denzer Guzman (LAA - 3B,SS) MiLB")</f>
        <v>Denzer Guzman (LAA - 3B,SS) MiLB</v>
      </c>
      <c r="C604" s="17">
        <f>IFERROR(__xludf.DUMMYFUNCTION("""COMPUTED_VALUE"""),21.0)</f>
        <v>21</v>
      </c>
      <c r="D604" s="17">
        <f>IFERROR(__xludf.DUMMYFUNCTION("""COMPUTED_VALUE"""),3.0)</f>
        <v>3</v>
      </c>
      <c r="E604" s="17">
        <f>IFERROR(__xludf.DUMMYFUNCTION("""COMPUTED_VALUE"""),0.0)</f>
        <v>0</v>
      </c>
      <c r="F604" s="17">
        <f>IFERROR(__xludf.DUMMYFUNCTION("""COMPUTED_VALUE"""),2.0)</f>
        <v>2</v>
      </c>
      <c r="G604" s="17">
        <f>IFERROR(__xludf.DUMMYFUNCTION("""COMPUTED_VALUE"""),0.0)</f>
        <v>0</v>
      </c>
      <c r="H604" s="17">
        <f>IFERROR(__xludf.DUMMYFUNCTION("""COMPUTED_VALUE"""),0.212)</f>
        <v>0.212</v>
      </c>
      <c r="I604" s="17">
        <f>IFERROR(__xludf.DUMMYFUNCTION("""COMPUTED_VALUE"""),0.271)</f>
        <v>0.271</v>
      </c>
      <c r="J604" s="17">
        <f>IFERROR(__xludf.DUMMYFUNCTION("""COMPUTED_VALUE"""),5.0)</f>
        <v>5</v>
      </c>
      <c r="K604" s="17">
        <f>IFERROR(__xludf.DUMMYFUNCTION("""COMPUTED_VALUE"""),1.0)</f>
        <v>1</v>
      </c>
      <c r="L604" s="17">
        <f>IFERROR(__xludf.DUMMYFUNCTION("""COMPUTED_VALUE"""),0.0)</f>
        <v>0</v>
      </c>
      <c r="M604" s="17">
        <f>IFERROR(__xludf.DUMMYFUNCTION("""COMPUTED_VALUE"""),2.0)</f>
        <v>2</v>
      </c>
      <c r="N604" s="17">
        <f>IFERROR(__xludf.DUMMYFUNCTION("""COMPUTED_VALUE"""),7.0)</f>
        <v>7</v>
      </c>
      <c r="O604" s="17">
        <f>IFERROR(__xludf.DUMMYFUNCTION("""COMPUTED_VALUE"""),0.324)</f>
        <v>0.324</v>
      </c>
      <c r="P604" s="17">
        <f>IFERROR(__xludf.DUMMYFUNCTION("""COMPUTED_VALUE"""),0.595)</f>
        <v>0.595</v>
      </c>
      <c r="Q604" s="34">
        <f>IFERROR(__xludf.DUMMYFUNCTION("""COMPUTED_VALUE"""),0.0)</f>
        <v>0</v>
      </c>
      <c r="R604" s="34">
        <f>IFERROR(__xludf.DUMMYFUNCTION("""COMPUTED_VALUE"""),0.0)</f>
        <v>0</v>
      </c>
      <c r="S604" s="34">
        <f>IFERROR(__xludf.DUMMYFUNCTION("""COMPUTED_VALUE"""),0.0)</f>
        <v>0</v>
      </c>
    </row>
    <row r="605">
      <c r="A605" s="17">
        <f>IFERROR(__xludf.DUMMYFUNCTION("""COMPUTED_VALUE"""),605.0)</f>
        <v>605</v>
      </c>
      <c r="B605" s="17" t="str">
        <f>IFERROR(__xludf.DUMMYFUNCTION("""COMPUTED_VALUE"""),"David Dahl (LF,RF) RET")</f>
        <v>David Dahl (LF,RF) RET</v>
      </c>
      <c r="C605" s="17">
        <f>IFERROR(__xludf.DUMMYFUNCTION("""COMPUTED_VALUE"""),15.0)</f>
        <v>15</v>
      </c>
      <c r="D605" s="17">
        <f>IFERROR(__xludf.DUMMYFUNCTION("""COMPUTED_VALUE"""),2.0)</f>
        <v>2</v>
      </c>
      <c r="E605" s="17">
        <f>IFERROR(__xludf.DUMMYFUNCTION("""COMPUTED_VALUE"""),1.0)</f>
        <v>1</v>
      </c>
      <c r="F605" s="17">
        <f>IFERROR(__xludf.DUMMYFUNCTION("""COMPUTED_VALUE"""),2.0)</f>
        <v>2</v>
      </c>
      <c r="G605" s="17">
        <f>IFERROR(__xludf.DUMMYFUNCTION("""COMPUTED_VALUE"""),0.0)</f>
        <v>0</v>
      </c>
      <c r="H605" s="17">
        <f>IFERROR(__xludf.DUMMYFUNCTION("""COMPUTED_VALUE"""),0.215)</f>
        <v>0.215</v>
      </c>
      <c r="I605" s="17">
        <f>IFERROR(__xludf.DUMMYFUNCTION("""COMPUTED_VALUE"""),0.268)</f>
        <v>0.268</v>
      </c>
      <c r="J605" s="17">
        <f>IFERROR(__xludf.DUMMYFUNCTION("""COMPUTED_VALUE"""),3.0)</f>
        <v>3</v>
      </c>
      <c r="K605" s="17">
        <f>IFERROR(__xludf.DUMMYFUNCTION("""COMPUTED_VALUE"""),1.0)</f>
        <v>1</v>
      </c>
      <c r="L605" s="17">
        <f>IFERROR(__xludf.DUMMYFUNCTION("""COMPUTED_VALUE"""),0.0)</f>
        <v>0</v>
      </c>
      <c r="M605" s="17">
        <f>IFERROR(__xludf.DUMMYFUNCTION("""COMPUTED_VALUE"""),1.0)</f>
        <v>1</v>
      </c>
      <c r="N605" s="17">
        <f>IFERROR(__xludf.DUMMYFUNCTION("""COMPUTED_VALUE"""),4.0)</f>
        <v>4</v>
      </c>
      <c r="O605" s="17">
        <f>IFERROR(__xludf.DUMMYFUNCTION("""COMPUTED_VALUE"""),0.358)</f>
        <v>0.358</v>
      </c>
      <c r="P605" s="17">
        <f>IFERROR(__xludf.DUMMYFUNCTION("""COMPUTED_VALUE"""),0.626)</f>
        <v>0.626</v>
      </c>
      <c r="Q605" s="34">
        <f>IFERROR(__xludf.DUMMYFUNCTION("""COMPUTED_VALUE"""),0.0)</f>
        <v>0</v>
      </c>
      <c r="R605" s="34">
        <f>IFERROR(__xludf.DUMMYFUNCTION("""COMPUTED_VALUE"""),0.0)</f>
        <v>0</v>
      </c>
      <c r="S605" s="34">
        <f>IFERROR(__xludf.DUMMYFUNCTION("""COMPUTED_VALUE"""),0.0)</f>
        <v>0</v>
      </c>
    </row>
    <row r="606">
      <c r="A606" s="17">
        <f>IFERROR(__xludf.DUMMYFUNCTION("""COMPUTED_VALUE"""),606.0)</f>
        <v>606</v>
      </c>
      <c r="B606" s="17" t="str">
        <f>IFERROR(__xludf.DUMMYFUNCTION("""COMPUTED_VALUE"""),"Adam Duvall (LF,CF,RF) FA")</f>
        <v>Adam Duvall (LF,CF,RF) FA</v>
      </c>
      <c r="C606" s="17">
        <f>IFERROR(__xludf.DUMMYFUNCTION("""COMPUTED_VALUE"""),15.0)</f>
        <v>15</v>
      </c>
      <c r="D606" s="17">
        <f>IFERROR(__xludf.DUMMYFUNCTION("""COMPUTED_VALUE"""),2.0)</f>
        <v>2</v>
      </c>
      <c r="E606" s="17">
        <f>IFERROR(__xludf.DUMMYFUNCTION("""COMPUTED_VALUE"""),1.0)</f>
        <v>1</v>
      </c>
      <c r="F606" s="17">
        <f>IFERROR(__xludf.DUMMYFUNCTION("""COMPUTED_VALUE"""),2.0)</f>
        <v>2</v>
      </c>
      <c r="G606" s="17">
        <f>IFERROR(__xludf.DUMMYFUNCTION("""COMPUTED_VALUE"""),0.0)</f>
        <v>0</v>
      </c>
      <c r="H606" s="17">
        <f>IFERROR(__xludf.DUMMYFUNCTION("""COMPUTED_VALUE"""),0.207)</f>
        <v>0.207</v>
      </c>
      <c r="I606" s="17">
        <f>IFERROR(__xludf.DUMMYFUNCTION("""COMPUTED_VALUE"""),0.258)</f>
        <v>0.258</v>
      </c>
      <c r="J606" s="17">
        <f>IFERROR(__xludf.DUMMYFUNCTION("""COMPUTED_VALUE"""),3.0)</f>
        <v>3</v>
      </c>
      <c r="K606" s="17">
        <f>IFERROR(__xludf.DUMMYFUNCTION("""COMPUTED_VALUE"""),1.0)</f>
        <v>1</v>
      </c>
      <c r="L606" s="17">
        <f>IFERROR(__xludf.DUMMYFUNCTION("""COMPUTED_VALUE"""),0.0)</f>
        <v>0</v>
      </c>
      <c r="M606" s="17">
        <f>IFERROR(__xludf.DUMMYFUNCTION("""COMPUTED_VALUE"""),1.0)</f>
        <v>1</v>
      </c>
      <c r="N606" s="17">
        <f>IFERROR(__xludf.DUMMYFUNCTION("""COMPUTED_VALUE"""),5.0)</f>
        <v>5</v>
      </c>
      <c r="O606" s="17">
        <f>IFERROR(__xludf.DUMMYFUNCTION("""COMPUTED_VALUE"""),0.346)</f>
        <v>0.346</v>
      </c>
      <c r="P606" s="17">
        <f>IFERROR(__xludf.DUMMYFUNCTION("""COMPUTED_VALUE"""),0.604)</f>
        <v>0.604</v>
      </c>
      <c r="Q606" s="34">
        <f>IFERROR(__xludf.DUMMYFUNCTION("""COMPUTED_VALUE"""),0.02)</f>
        <v>0.02</v>
      </c>
      <c r="R606" s="34">
        <f>IFERROR(__xludf.DUMMYFUNCTION("""COMPUTED_VALUE"""),0.03)</f>
        <v>0.03</v>
      </c>
      <c r="S606" s="34">
        <f>IFERROR(__xludf.DUMMYFUNCTION("""COMPUTED_VALUE"""),0.0)</f>
        <v>0</v>
      </c>
    </row>
    <row r="607">
      <c r="A607" s="17">
        <f>IFERROR(__xludf.DUMMYFUNCTION("""COMPUTED_VALUE"""),607.0)</f>
        <v>607</v>
      </c>
      <c r="B607" s="17" t="str">
        <f>IFERROR(__xludf.DUMMYFUNCTION("""COMPUTED_VALUE"""),"Sandro Fabian (LF,RF) FA")</f>
        <v>Sandro Fabian (LF,RF) FA</v>
      </c>
      <c r="C607" s="17">
        <f>IFERROR(__xludf.DUMMYFUNCTION("""COMPUTED_VALUE"""),15.0)</f>
        <v>15</v>
      </c>
      <c r="D607" s="17">
        <f>IFERROR(__xludf.DUMMYFUNCTION("""COMPUTED_VALUE"""),2.0)</f>
        <v>2</v>
      </c>
      <c r="E607" s="17">
        <f>IFERROR(__xludf.DUMMYFUNCTION("""COMPUTED_VALUE"""),1.0)</f>
        <v>1</v>
      </c>
      <c r="F607" s="17">
        <f>IFERROR(__xludf.DUMMYFUNCTION("""COMPUTED_VALUE"""),2.0)</f>
        <v>2</v>
      </c>
      <c r="G607" s="17">
        <f>IFERROR(__xludf.DUMMYFUNCTION("""COMPUTED_VALUE"""),0.0)</f>
        <v>0</v>
      </c>
      <c r="H607" s="17">
        <f>IFERROR(__xludf.DUMMYFUNCTION("""COMPUTED_VALUE"""),0.208)</f>
        <v>0.208</v>
      </c>
      <c r="I607" s="17">
        <f>IFERROR(__xludf.DUMMYFUNCTION("""COMPUTED_VALUE"""),0.259)</f>
        <v>0.259</v>
      </c>
      <c r="J607" s="17">
        <f>IFERROR(__xludf.DUMMYFUNCTION("""COMPUTED_VALUE"""),3.0)</f>
        <v>3</v>
      </c>
      <c r="K607" s="17">
        <f>IFERROR(__xludf.DUMMYFUNCTION("""COMPUTED_VALUE"""),1.0)</f>
        <v>1</v>
      </c>
      <c r="L607" s="17">
        <f>IFERROR(__xludf.DUMMYFUNCTION("""COMPUTED_VALUE"""),0.0)</f>
        <v>0</v>
      </c>
      <c r="M607" s="17">
        <f>IFERROR(__xludf.DUMMYFUNCTION("""COMPUTED_VALUE"""),1.0)</f>
        <v>1</v>
      </c>
      <c r="N607" s="17">
        <f>IFERROR(__xludf.DUMMYFUNCTION("""COMPUTED_VALUE"""),3.0)</f>
        <v>3</v>
      </c>
      <c r="O607" s="17">
        <f>IFERROR(__xludf.DUMMYFUNCTION("""COMPUTED_VALUE"""),0.347)</f>
        <v>0.347</v>
      </c>
      <c r="P607" s="17">
        <f>IFERROR(__xludf.DUMMYFUNCTION("""COMPUTED_VALUE"""),0.606)</f>
        <v>0.606</v>
      </c>
      <c r="Q607" s="34">
        <f>IFERROR(__xludf.DUMMYFUNCTION("""COMPUTED_VALUE"""),0.0)</f>
        <v>0</v>
      </c>
      <c r="R607" s="34">
        <f>IFERROR(__xludf.DUMMYFUNCTION("""COMPUTED_VALUE"""),0.0)</f>
        <v>0</v>
      </c>
      <c r="S607" s="34">
        <f>IFERROR(__xludf.DUMMYFUNCTION("""COMPUTED_VALUE"""),0.0)</f>
        <v>0</v>
      </c>
    </row>
    <row r="608">
      <c r="A608" s="17">
        <f>IFERROR(__xludf.DUMMYFUNCTION("""COMPUTED_VALUE"""),608.0)</f>
        <v>608</v>
      </c>
      <c r="B608" s="17" t="str">
        <f>IFERROR(__xludf.DUMMYFUNCTION("""COMPUTED_VALUE"""),"Jason Vosler (1B) FA")</f>
        <v>Jason Vosler (1B) FA</v>
      </c>
      <c r="C608" s="17">
        <f>IFERROR(__xludf.DUMMYFUNCTION("""COMPUTED_VALUE"""),15.0)</f>
        <v>15</v>
      </c>
      <c r="D608" s="17">
        <f>IFERROR(__xludf.DUMMYFUNCTION("""COMPUTED_VALUE"""),2.0)</f>
        <v>2</v>
      </c>
      <c r="E608" s="17">
        <f>IFERROR(__xludf.DUMMYFUNCTION("""COMPUTED_VALUE"""),1.0)</f>
        <v>1</v>
      </c>
      <c r="F608" s="17">
        <f>IFERROR(__xludf.DUMMYFUNCTION("""COMPUTED_VALUE"""),2.0)</f>
        <v>2</v>
      </c>
      <c r="G608" s="17">
        <f>IFERROR(__xludf.DUMMYFUNCTION("""COMPUTED_VALUE"""),0.0)</f>
        <v>0</v>
      </c>
      <c r="H608" s="17">
        <f>IFERROR(__xludf.DUMMYFUNCTION("""COMPUTED_VALUE"""),0.208)</f>
        <v>0.208</v>
      </c>
      <c r="I608" s="17">
        <f>IFERROR(__xludf.DUMMYFUNCTION("""COMPUTED_VALUE"""),0.26)</f>
        <v>0.26</v>
      </c>
      <c r="J608" s="17">
        <f>IFERROR(__xludf.DUMMYFUNCTION("""COMPUTED_VALUE"""),3.0)</f>
        <v>3</v>
      </c>
      <c r="K608" s="17">
        <f>IFERROR(__xludf.DUMMYFUNCTION("""COMPUTED_VALUE"""),1.0)</f>
        <v>1</v>
      </c>
      <c r="L608" s="17">
        <f>IFERROR(__xludf.DUMMYFUNCTION("""COMPUTED_VALUE"""),0.0)</f>
        <v>0</v>
      </c>
      <c r="M608" s="17">
        <f>IFERROR(__xludf.DUMMYFUNCTION("""COMPUTED_VALUE"""),1.0)</f>
        <v>1</v>
      </c>
      <c r="N608" s="17">
        <f>IFERROR(__xludf.DUMMYFUNCTION("""COMPUTED_VALUE"""),4.0)</f>
        <v>4</v>
      </c>
      <c r="O608" s="17">
        <f>IFERROR(__xludf.DUMMYFUNCTION("""COMPUTED_VALUE"""),0.348)</f>
        <v>0.348</v>
      </c>
      <c r="P608" s="17">
        <f>IFERROR(__xludf.DUMMYFUNCTION("""COMPUTED_VALUE"""),0.608)</f>
        <v>0.608</v>
      </c>
      <c r="Q608" s="34">
        <f>IFERROR(__xludf.DUMMYFUNCTION("""COMPUTED_VALUE"""),0.0)</f>
        <v>0</v>
      </c>
      <c r="R608" s="34">
        <f>IFERROR(__xludf.DUMMYFUNCTION("""COMPUTED_VALUE"""),0.0)</f>
        <v>0</v>
      </c>
      <c r="S608" s="34">
        <f>IFERROR(__xludf.DUMMYFUNCTION("""COMPUTED_VALUE"""),0.0)</f>
        <v>0</v>
      </c>
    </row>
    <row r="609">
      <c r="A609" s="17">
        <f>IFERROR(__xludf.DUMMYFUNCTION("""COMPUTED_VALUE"""),609.0)</f>
        <v>609</v>
      </c>
      <c r="B609" s="17" t="str">
        <f>IFERROR(__xludf.DUMMYFUNCTION("""COMPUTED_VALUE"""),"Jared Walsh (1B,RF) FA")</f>
        <v>Jared Walsh (1B,RF) FA</v>
      </c>
      <c r="C609" s="17">
        <f>IFERROR(__xludf.DUMMYFUNCTION("""COMPUTED_VALUE"""),15.0)</f>
        <v>15</v>
      </c>
      <c r="D609" s="17">
        <f>IFERROR(__xludf.DUMMYFUNCTION("""COMPUTED_VALUE"""),2.0)</f>
        <v>2</v>
      </c>
      <c r="E609" s="17">
        <f>IFERROR(__xludf.DUMMYFUNCTION("""COMPUTED_VALUE"""),1.0)</f>
        <v>1</v>
      </c>
      <c r="F609" s="17">
        <f>IFERROR(__xludf.DUMMYFUNCTION("""COMPUTED_VALUE"""),2.0)</f>
        <v>2</v>
      </c>
      <c r="G609" s="17">
        <f>IFERROR(__xludf.DUMMYFUNCTION("""COMPUTED_VALUE"""),0.0)</f>
        <v>0</v>
      </c>
      <c r="H609" s="17">
        <f>IFERROR(__xludf.DUMMYFUNCTION("""COMPUTED_VALUE"""),0.179)</f>
        <v>0.179</v>
      </c>
      <c r="I609" s="17">
        <f>IFERROR(__xludf.DUMMYFUNCTION("""COMPUTED_VALUE"""),0.258)</f>
        <v>0.258</v>
      </c>
      <c r="J609" s="17">
        <f>IFERROR(__xludf.DUMMYFUNCTION("""COMPUTED_VALUE"""),3.0)</f>
        <v>3</v>
      </c>
      <c r="K609" s="17">
        <f>IFERROR(__xludf.DUMMYFUNCTION("""COMPUTED_VALUE"""),1.0)</f>
        <v>1</v>
      </c>
      <c r="L609" s="17">
        <f>IFERROR(__xludf.DUMMYFUNCTION("""COMPUTED_VALUE"""),0.0)</f>
        <v>0</v>
      </c>
      <c r="M609" s="17">
        <f>IFERROR(__xludf.DUMMYFUNCTION("""COMPUTED_VALUE"""),2.0)</f>
        <v>2</v>
      </c>
      <c r="N609" s="17">
        <f>IFERROR(__xludf.DUMMYFUNCTION("""COMPUTED_VALUE"""),6.0)</f>
        <v>6</v>
      </c>
      <c r="O609" s="17">
        <f>IFERROR(__xludf.DUMMYFUNCTION("""COMPUTED_VALUE"""),0.322)</f>
        <v>0.322</v>
      </c>
      <c r="P609" s="17">
        <f>IFERROR(__xludf.DUMMYFUNCTION("""COMPUTED_VALUE"""),0.58)</f>
        <v>0.58</v>
      </c>
      <c r="Q609" s="34">
        <f>IFERROR(__xludf.DUMMYFUNCTION("""COMPUTED_VALUE"""),0.0)</f>
        <v>0</v>
      </c>
      <c r="R609" s="34">
        <f>IFERROR(__xludf.DUMMYFUNCTION("""COMPUTED_VALUE"""),0.0)</f>
        <v>0</v>
      </c>
      <c r="S609" s="34">
        <f>IFERROR(__xludf.DUMMYFUNCTION("""COMPUTED_VALUE"""),0.0)</f>
        <v>0</v>
      </c>
    </row>
    <row r="610">
      <c r="A610" s="17">
        <f>IFERROR(__xludf.DUMMYFUNCTION("""COMPUTED_VALUE"""),610.0)</f>
        <v>610</v>
      </c>
      <c r="B610" s="17" t="str">
        <f>IFERROR(__xludf.DUMMYFUNCTION("""COMPUTED_VALUE"""),"Niko Kavadas (LAA - 1B,LF,RF) MiLB")</f>
        <v>Niko Kavadas (LAA - 1B,LF,RF) MiLB</v>
      </c>
      <c r="C610" s="17">
        <f>IFERROR(__xludf.DUMMYFUNCTION("""COMPUTED_VALUE"""),15.0)</f>
        <v>15</v>
      </c>
      <c r="D610" s="17">
        <f>IFERROR(__xludf.DUMMYFUNCTION("""COMPUTED_VALUE"""),2.0)</f>
        <v>2</v>
      </c>
      <c r="E610" s="17">
        <f>IFERROR(__xludf.DUMMYFUNCTION("""COMPUTED_VALUE"""),1.0)</f>
        <v>1</v>
      </c>
      <c r="F610" s="17">
        <f>IFERROR(__xludf.DUMMYFUNCTION("""COMPUTED_VALUE"""),2.0)</f>
        <v>2</v>
      </c>
      <c r="G610" s="17">
        <f>IFERROR(__xludf.DUMMYFUNCTION("""COMPUTED_VALUE"""),0.0)</f>
        <v>0</v>
      </c>
      <c r="H610" s="17">
        <f>IFERROR(__xludf.DUMMYFUNCTION("""COMPUTED_VALUE"""),0.173)</f>
        <v>0.173</v>
      </c>
      <c r="I610" s="17">
        <f>IFERROR(__xludf.DUMMYFUNCTION("""COMPUTED_VALUE"""),0.295)</f>
        <v>0.295</v>
      </c>
      <c r="J610" s="17">
        <f>IFERROR(__xludf.DUMMYFUNCTION("""COMPUTED_VALUE"""),3.0)</f>
        <v>3</v>
      </c>
      <c r="K610" s="17">
        <f>IFERROR(__xludf.DUMMYFUNCTION("""COMPUTED_VALUE"""),1.0)</f>
        <v>1</v>
      </c>
      <c r="L610" s="17">
        <f>IFERROR(__xludf.DUMMYFUNCTION("""COMPUTED_VALUE"""),0.0)</f>
        <v>0</v>
      </c>
      <c r="M610" s="17">
        <f>IFERROR(__xludf.DUMMYFUNCTION("""COMPUTED_VALUE"""),2.0)</f>
        <v>2</v>
      </c>
      <c r="N610" s="17">
        <f>IFERROR(__xludf.DUMMYFUNCTION("""COMPUTED_VALUE"""),7.0)</f>
        <v>7</v>
      </c>
      <c r="O610" s="17">
        <f>IFERROR(__xludf.DUMMYFUNCTION("""COMPUTED_VALUE"""),0.313)</f>
        <v>0.313</v>
      </c>
      <c r="P610" s="17">
        <f>IFERROR(__xludf.DUMMYFUNCTION("""COMPUTED_VALUE"""),0.607)</f>
        <v>0.607</v>
      </c>
      <c r="Q610" s="34">
        <f>IFERROR(__xludf.DUMMYFUNCTION("""COMPUTED_VALUE"""),0.0)</f>
        <v>0</v>
      </c>
      <c r="R610" s="34">
        <f>IFERROR(__xludf.DUMMYFUNCTION("""COMPUTED_VALUE"""),0.0)</f>
        <v>0</v>
      </c>
      <c r="S610" s="34">
        <f>IFERROR(__xludf.DUMMYFUNCTION("""COMPUTED_VALUE"""),0.0)</f>
        <v>0</v>
      </c>
    </row>
    <row r="611">
      <c r="A611" s="17">
        <f>IFERROR(__xludf.DUMMYFUNCTION("""COMPUTED_VALUE"""),611.0)</f>
        <v>611</v>
      </c>
      <c r="B611" s="17" t="str">
        <f>IFERROR(__xludf.DUMMYFUNCTION("""COMPUTED_VALUE"""),"DJ LeMahieu (1B,2B,3B) FA")</f>
        <v>DJ LeMahieu (1B,2B,3B) FA</v>
      </c>
      <c r="C611" s="17">
        <f>IFERROR(__xludf.DUMMYFUNCTION("""COMPUTED_VALUE"""),19.0)</f>
        <v>19</v>
      </c>
      <c r="D611" s="17">
        <f>IFERROR(__xludf.DUMMYFUNCTION("""COMPUTED_VALUE"""),2.0)</f>
        <v>2</v>
      </c>
      <c r="E611" s="17">
        <f>IFERROR(__xludf.DUMMYFUNCTION("""COMPUTED_VALUE"""),1.0)</f>
        <v>1</v>
      </c>
      <c r="F611" s="17">
        <f>IFERROR(__xludf.DUMMYFUNCTION("""COMPUTED_VALUE"""),2.0)</f>
        <v>2</v>
      </c>
      <c r="G611" s="17">
        <f>IFERROR(__xludf.DUMMYFUNCTION("""COMPUTED_VALUE"""),0.0)</f>
        <v>0</v>
      </c>
      <c r="H611" s="17">
        <f>IFERROR(__xludf.DUMMYFUNCTION("""COMPUTED_VALUE"""),0.223)</f>
        <v>0.223</v>
      </c>
      <c r="I611" s="17">
        <f>IFERROR(__xludf.DUMMYFUNCTION("""COMPUTED_VALUE"""),0.301)</f>
        <v>0.301</v>
      </c>
      <c r="J611" s="17">
        <f>IFERROR(__xludf.DUMMYFUNCTION("""COMPUTED_VALUE"""),4.0)</f>
        <v>4</v>
      </c>
      <c r="K611" s="17">
        <f>IFERROR(__xludf.DUMMYFUNCTION("""COMPUTED_VALUE"""),1.0)</f>
        <v>1</v>
      </c>
      <c r="L611" s="17">
        <f>IFERROR(__xludf.DUMMYFUNCTION("""COMPUTED_VALUE"""),0.0)</f>
        <v>0</v>
      </c>
      <c r="M611" s="17">
        <f>IFERROR(__xludf.DUMMYFUNCTION("""COMPUTED_VALUE"""),2.0)</f>
        <v>2</v>
      </c>
      <c r="N611" s="17">
        <f>IFERROR(__xludf.DUMMYFUNCTION("""COMPUTED_VALUE"""),5.0)</f>
        <v>5</v>
      </c>
      <c r="O611" s="17">
        <f>IFERROR(__xludf.DUMMYFUNCTION("""COMPUTED_VALUE"""),0.334)</f>
        <v>0.334</v>
      </c>
      <c r="P611" s="17">
        <f>IFERROR(__xludf.DUMMYFUNCTION("""COMPUTED_VALUE"""),0.634)</f>
        <v>0.634</v>
      </c>
      <c r="Q611" s="34">
        <f>IFERROR(__xludf.DUMMYFUNCTION("""COMPUTED_VALUE"""),0.0)</f>
        <v>0</v>
      </c>
      <c r="R611" s="34">
        <f>IFERROR(__xludf.DUMMYFUNCTION("""COMPUTED_VALUE"""),0.0)</f>
        <v>0</v>
      </c>
      <c r="S611" s="34">
        <f>IFERROR(__xludf.DUMMYFUNCTION("""COMPUTED_VALUE"""),0.0)</f>
        <v>0</v>
      </c>
    </row>
    <row r="612">
      <c r="A612" s="17">
        <f>IFERROR(__xludf.DUMMYFUNCTION("""COMPUTED_VALUE"""),612.0)</f>
        <v>612</v>
      </c>
      <c r="B612" s="17" t="str">
        <f>IFERROR(__xludf.DUMMYFUNCTION("""COMPUTED_VALUE"""),"Nick Sogard (BOS - 1B,2B) MiLB")</f>
        <v>Nick Sogard (BOS - 1B,2B) MiLB</v>
      </c>
      <c r="C612" s="17">
        <f>IFERROR(__xludf.DUMMYFUNCTION("""COMPUTED_VALUE"""),15.0)</f>
        <v>15</v>
      </c>
      <c r="D612" s="17">
        <f>IFERROR(__xludf.DUMMYFUNCTION("""COMPUTED_VALUE"""),2.0)</f>
        <v>2</v>
      </c>
      <c r="E612" s="17">
        <f>IFERROR(__xludf.DUMMYFUNCTION("""COMPUTED_VALUE"""),0.0)</f>
        <v>0</v>
      </c>
      <c r="F612" s="17">
        <f>IFERROR(__xludf.DUMMYFUNCTION("""COMPUTED_VALUE"""),2.0)</f>
        <v>2</v>
      </c>
      <c r="G612" s="17">
        <f>IFERROR(__xludf.DUMMYFUNCTION("""COMPUTED_VALUE"""),0.0)</f>
        <v>0</v>
      </c>
      <c r="H612" s="17">
        <f>IFERROR(__xludf.DUMMYFUNCTION("""COMPUTED_VALUE"""),0.258)</f>
        <v>0.258</v>
      </c>
      <c r="I612" s="17">
        <f>IFERROR(__xludf.DUMMYFUNCTION("""COMPUTED_VALUE"""),0.336)</f>
        <v>0.336</v>
      </c>
      <c r="J612" s="17">
        <f>IFERROR(__xludf.DUMMYFUNCTION("""COMPUTED_VALUE"""),4.0)</f>
        <v>4</v>
      </c>
      <c r="K612" s="17">
        <f>IFERROR(__xludf.DUMMYFUNCTION("""COMPUTED_VALUE"""),1.0)</f>
        <v>1</v>
      </c>
      <c r="L612" s="17">
        <f>IFERROR(__xludf.DUMMYFUNCTION("""COMPUTED_VALUE"""),0.0)</f>
        <v>0</v>
      </c>
      <c r="M612" s="17">
        <f>IFERROR(__xludf.DUMMYFUNCTION("""COMPUTED_VALUE"""),2.0)</f>
        <v>2</v>
      </c>
      <c r="N612" s="17">
        <f>IFERROR(__xludf.DUMMYFUNCTION("""COMPUTED_VALUE"""),4.0)</f>
        <v>4</v>
      </c>
      <c r="O612" s="17">
        <f>IFERROR(__xludf.DUMMYFUNCTION("""COMPUTED_VALUE"""),0.361)</f>
        <v>0.361</v>
      </c>
      <c r="P612" s="17">
        <f>IFERROR(__xludf.DUMMYFUNCTION("""COMPUTED_VALUE"""),0.698)</f>
        <v>0.698</v>
      </c>
      <c r="Q612" s="34">
        <f>IFERROR(__xludf.DUMMYFUNCTION("""COMPUTED_VALUE"""),0.0)</f>
        <v>0</v>
      </c>
      <c r="R612" s="34">
        <f>IFERROR(__xludf.DUMMYFUNCTION("""COMPUTED_VALUE"""),0.0)</f>
        <v>0</v>
      </c>
      <c r="S612" s="34">
        <f>IFERROR(__xludf.DUMMYFUNCTION("""COMPUTED_VALUE"""),0.0)</f>
        <v>0</v>
      </c>
    </row>
    <row r="613">
      <c r="A613" s="17">
        <f>IFERROR(__xludf.DUMMYFUNCTION("""COMPUTED_VALUE"""),613.0)</f>
        <v>613</v>
      </c>
      <c r="B613" s="17" t="str">
        <f>IFERROR(__xludf.DUMMYFUNCTION("""COMPUTED_VALUE"""),"Victor Bericoto (SF - 1B) MiLB")</f>
        <v>Victor Bericoto (SF - 1B) MiLB</v>
      </c>
      <c r="C613" s="17">
        <f>IFERROR(__xludf.DUMMYFUNCTION("""COMPUTED_VALUE"""),15.0)</f>
        <v>15</v>
      </c>
      <c r="D613" s="17">
        <f>IFERROR(__xludf.DUMMYFUNCTION("""COMPUTED_VALUE"""),2.0)</f>
        <v>2</v>
      </c>
      <c r="E613" s="17">
        <f>IFERROR(__xludf.DUMMYFUNCTION("""COMPUTED_VALUE"""),0.0)</f>
        <v>0</v>
      </c>
      <c r="F613" s="17">
        <f>IFERROR(__xludf.DUMMYFUNCTION("""COMPUTED_VALUE"""),2.0)</f>
        <v>2</v>
      </c>
      <c r="G613" s="17">
        <f>IFERROR(__xludf.DUMMYFUNCTION("""COMPUTED_VALUE"""),0.0)</f>
        <v>0</v>
      </c>
      <c r="H613" s="17">
        <f>IFERROR(__xludf.DUMMYFUNCTION("""COMPUTED_VALUE"""),0.229)</f>
        <v>0.229</v>
      </c>
      <c r="I613" s="17">
        <f>IFERROR(__xludf.DUMMYFUNCTION("""COMPUTED_VALUE"""),0.284)</f>
        <v>0.284</v>
      </c>
      <c r="J613" s="17">
        <f>IFERROR(__xludf.DUMMYFUNCTION("""COMPUTED_VALUE"""),4.0)</f>
        <v>4</v>
      </c>
      <c r="K613" s="17">
        <f>IFERROR(__xludf.DUMMYFUNCTION("""COMPUTED_VALUE"""),1.0)</f>
        <v>1</v>
      </c>
      <c r="L613" s="17">
        <f>IFERROR(__xludf.DUMMYFUNCTION("""COMPUTED_VALUE"""),0.0)</f>
        <v>0</v>
      </c>
      <c r="M613" s="17">
        <f>IFERROR(__xludf.DUMMYFUNCTION("""COMPUTED_VALUE"""),1.0)</f>
        <v>1</v>
      </c>
      <c r="N613" s="17">
        <f>IFERROR(__xludf.DUMMYFUNCTION("""COMPUTED_VALUE"""),4.0)</f>
        <v>4</v>
      </c>
      <c r="O613" s="17">
        <f>IFERROR(__xludf.DUMMYFUNCTION("""COMPUTED_VALUE"""),0.312)</f>
        <v>0.312</v>
      </c>
      <c r="P613" s="17">
        <f>IFERROR(__xludf.DUMMYFUNCTION("""COMPUTED_VALUE"""),0.595)</f>
        <v>0.595</v>
      </c>
      <c r="Q613" s="34">
        <f>IFERROR(__xludf.DUMMYFUNCTION("""COMPUTED_VALUE"""),0.0)</f>
        <v>0</v>
      </c>
      <c r="R613" s="34">
        <f>IFERROR(__xludf.DUMMYFUNCTION("""COMPUTED_VALUE"""),0.0)</f>
        <v>0</v>
      </c>
      <c r="S613" s="34">
        <f>IFERROR(__xludf.DUMMYFUNCTION("""COMPUTED_VALUE"""),0.0)</f>
        <v>0</v>
      </c>
    </row>
    <row r="614">
      <c r="A614" s="17">
        <f>IFERROR(__xludf.DUMMYFUNCTION("""COMPUTED_VALUE"""),614.0)</f>
        <v>614</v>
      </c>
      <c r="B614" s="17" t="str">
        <f>IFERROR(__xludf.DUMMYFUNCTION("""COMPUTED_VALUE"""),"Edwin Arroyo (CIN - 2B,SS) MiLB")</f>
        <v>Edwin Arroyo (CIN - 2B,SS) MiLB</v>
      </c>
      <c r="C614" s="17">
        <f>IFERROR(__xludf.DUMMYFUNCTION("""COMPUTED_VALUE"""),15.0)</f>
        <v>15</v>
      </c>
      <c r="D614" s="17">
        <f>IFERROR(__xludf.DUMMYFUNCTION("""COMPUTED_VALUE"""),2.0)</f>
        <v>2</v>
      </c>
      <c r="E614" s="17">
        <f>IFERROR(__xludf.DUMMYFUNCTION("""COMPUTED_VALUE"""),0.0)</f>
        <v>0</v>
      </c>
      <c r="F614" s="17">
        <f>IFERROR(__xludf.DUMMYFUNCTION("""COMPUTED_VALUE"""),2.0)</f>
        <v>2</v>
      </c>
      <c r="G614" s="17">
        <f>IFERROR(__xludf.DUMMYFUNCTION("""COMPUTED_VALUE"""),0.0)</f>
        <v>0</v>
      </c>
      <c r="H614" s="17">
        <f>IFERROR(__xludf.DUMMYFUNCTION("""COMPUTED_VALUE"""),0.233)</f>
        <v>0.233</v>
      </c>
      <c r="I614" s="17">
        <f>IFERROR(__xludf.DUMMYFUNCTION("""COMPUTED_VALUE"""),0.294)</f>
        <v>0.294</v>
      </c>
      <c r="J614" s="17">
        <f>IFERROR(__xludf.DUMMYFUNCTION("""COMPUTED_VALUE"""),4.0)</f>
        <v>4</v>
      </c>
      <c r="K614" s="17">
        <f>IFERROR(__xludf.DUMMYFUNCTION("""COMPUTED_VALUE"""),1.0)</f>
        <v>1</v>
      </c>
      <c r="L614" s="17">
        <f>IFERROR(__xludf.DUMMYFUNCTION("""COMPUTED_VALUE"""),0.0)</f>
        <v>0</v>
      </c>
      <c r="M614" s="17">
        <f>IFERROR(__xludf.DUMMYFUNCTION("""COMPUTED_VALUE"""),1.0)</f>
        <v>1</v>
      </c>
      <c r="N614" s="17">
        <f>IFERROR(__xludf.DUMMYFUNCTION("""COMPUTED_VALUE"""),3.0)</f>
        <v>3</v>
      </c>
      <c r="O614" s="17">
        <f>IFERROR(__xludf.DUMMYFUNCTION("""COMPUTED_VALUE"""),0.315)</f>
        <v>0.315</v>
      </c>
      <c r="P614" s="17">
        <f>IFERROR(__xludf.DUMMYFUNCTION("""COMPUTED_VALUE"""),0.61)</f>
        <v>0.61</v>
      </c>
      <c r="Q614" s="34">
        <f>IFERROR(__xludf.DUMMYFUNCTION("""COMPUTED_VALUE"""),0.0)</f>
        <v>0</v>
      </c>
      <c r="R614" s="34">
        <f>IFERROR(__xludf.DUMMYFUNCTION("""COMPUTED_VALUE"""),0.0)</f>
        <v>0</v>
      </c>
      <c r="S614" s="34">
        <f>IFERROR(__xludf.DUMMYFUNCTION("""COMPUTED_VALUE"""),0.0)</f>
        <v>0</v>
      </c>
    </row>
    <row r="615">
      <c r="A615" s="17">
        <f>IFERROR(__xludf.DUMMYFUNCTION("""COMPUTED_VALUE"""),615.0)</f>
        <v>615</v>
      </c>
      <c r="B615" s="17" t="str">
        <f>IFERROR(__xludf.DUMMYFUNCTION("""COMPUTED_VALUE"""),"Sterlin Thompson (COL - 1B,LF) MiLB")</f>
        <v>Sterlin Thompson (COL - 1B,LF) MiLB</v>
      </c>
      <c r="C615" s="17">
        <f>IFERROR(__xludf.DUMMYFUNCTION("""COMPUTED_VALUE"""),15.0)</f>
        <v>15</v>
      </c>
      <c r="D615" s="17">
        <f>IFERROR(__xludf.DUMMYFUNCTION("""COMPUTED_VALUE"""),2.0)</f>
        <v>2</v>
      </c>
      <c r="E615" s="17">
        <f>IFERROR(__xludf.DUMMYFUNCTION("""COMPUTED_VALUE"""),0.0)</f>
        <v>0</v>
      </c>
      <c r="F615" s="17">
        <f>IFERROR(__xludf.DUMMYFUNCTION("""COMPUTED_VALUE"""),2.0)</f>
        <v>2</v>
      </c>
      <c r="G615" s="17">
        <f>IFERROR(__xludf.DUMMYFUNCTION("""COMPUTED_VALUE"""),0.0)</f>
        <v>0</v>
      </c>
      <c r="H615" s="17">
        <f>IFERROR(__xludf.DUMMYFUNCTION("""COMPUTED_VALUE"""),0.244)</f>
        <v>0.244</v>
      </c>
      <c r="I615" s="17">
        <f>IFERROR(__xludf.DUMMYFUNCTION("""COMPUTED_VALUE"""),0.314)</f>
        <v>0.314</v>
      </c>
      <c r="J615" s="17">
        <f>IFERROR(__xludf.DUMMYFUNCTION("""COMPUTED_VALUE"""),4.0)</f>
        <v>4</v>
      </c>
      <c r="K615" s="17">
        <f>IFERROR(__xludf.DUMMYFUNCTION("""COMPUTED_VALUE"""),1.0)</f>
        <v>1</v>
      </c>
      <c r="L615" s="17">
        <f>IFERROR(__xludf.DUMMYFUNCTION("""COMPUTED_VALUE"""),0.0)</f>
        <v>0</v>
      </c>
      <c r="M615" s="17">
        <f>IFERROR(__xludf.DUMMYFUNCTION("""COMPUTED_VALUE"""),1.0)</f>
        <v>1</v>
      </c>
      <c r="N615" s="17">
        <f>IFERROR(__xludf.DUMMYFUNCTION("""COMPUTED_VALUE"""),4.0)</f>
        <v>4</v>
      </c>
      <c r="O615" s="17">
        <f>IFERROR(__xludf.DUMMYFUNCTION("""COMPUTED_VALUE"""),0.34)</f>
        <v>0.34</v>
      </c>
      <c r="P615" s="17">
        <f>IFERROR(__xludf.DUMMYFUNCTION("""COMPUTED_VALUE"""),0.654)</f>
        <v>0.654</v>
      </c>
      <c r="Q615" s="34">
        <f>IFERROR(__xludf.DUMMYFUNCTION("""COMPUTED_VALUE"""),0.0)</f>
        <v>0</v>
      </c>
      <c r="R615" s="34">
        <f>IFERROR(__xludf.DUMMYFUNCTION("""COMPUTED_VALUE"""),0.0)</f>
        <v>0</v>
      </c>
      <c r="S615" s="34">
        <f>IFERROR(__xludf.DUMMYFUNCTION("""COMPUTED_VALUE"""),0.0)</f>
        <v>0</v>
      </c>
    </row>
    <row r="616">
      <c r="A616" s="17">
        <f>IFERROR(__xludf.DUMMYFUNCTION("""COMPUTED_VALUE"""),616.0)</f>
        <v>616</v>
      </c>
      <c r="B616" s="17" t="str">
        <f>IFERROR(__xludf.DUMMYFUNCTION("""COMPUTED_VALUE"""),"Manuel Margot (LF,CF,RF) FA")</f>
        <v>Manuel Margot (LF,CF,RF) FA</v>
      </c>
      <c r="C616" s="17">
        <f>IFERROR(__xludf.DUMMYFUNCTION("""COMPUTED_VALUE"""),19.0)</f>
        <v>19</v>
      </c>
      <c r="D616" s="17">
        <f>IFERROR(__xludf.DUMMYFUNCTION("""COMPUTED_VALUE"""),2.0)</f>
        <v>2</v>
      </c>
      <c r="E616" s="17">
        <f>IFERROR(__xludf.DUMMYFUNCTION("""COMPUTED_VALUE"""),0.0)</f>
        <v>0</v>
      </c>
      <c r="F616" s="17">
        <f>IFERROR(__xludf.DUMMYFUNCTION("""COMPUTED_VALUE"""),2.0)</f>
        <v>2</v>
      </c>
      <c r="G616" s="17">
        <f>IFERROR(__xludf.DUMMYFUNCTION("""COMPUTED_VALUE"""),0.0)</f>
        <v>0</v>
      </c>
      <c r="H616" s="17">
        <f>IFERROR(__xludf.DUMMYFUNCTION("""COMPUTED_VALUE"""),0.251)</f>
        <v>0.251</v>
      </c>
      <c r="I616" s="17">
        <f>IFERROR(__xludf.DUMMYFUNCTION("""COMPUTED_VALUE"""),0.305)</f>
        <v>0.305</v>
      </c>
      <c r="J616" s="17">
        <f>IFERROR(__xludf.DUMMYFUNCTION("""COMPUTED_VALUE"""),5.0)</f>
        <v>5</v>
      </c>
      <c r="K616" s="17">
        <f>IFERROR(__xludf.DUMMYFUNCTION("""COMPUTED_VALUE"""),1.0)</f>
        <v>1</v>
      </c>
      <c r="L616" s="17">
        <f>IFERROR(__xludf.DUMMYFUNCTION("""COMPUTED_VALUE"""),0.0)</f>
        <v>0</v>
      </c>
      <c r="M616" s="17">
        <f>IFERROR(__xludf.DUMMYFUNCTION("""COMPUTED_VALUE"""),1.0)</f>
        <v>1</v>
      </c>
      <c r="N616" s="17">
        <f>IFERROR(__xludf.DUMMYFUNCTION("""COMPUTED_VALUE"""),4.0)</f>
        <v>4</v>
      </c>
      <c r="O616" s="17">
        <f>IFERROR(__xludf.DUMMYFUNCTION("""COMPUTED_VALUE"""),0.345)</f>
        <v>0.345</v>
      </c>
      <c r="P616" s="17">
        <f>IFERROR(__xludf.DUMMYFUNCTION("""COMPUTED_VALUE"""),0.651)</f>
        <v>0.651</v>
      </c>
      <c r="Q616" s="34">
        <f>IFERROR(__xludf.DUMMYFUNCTION("""COMPUTED_VALUE"""),0.0)</f>
        <v>0</v>
      </c>
      <c r="R616" s="34">
        <f>IFERROR(__xludf.DUMMYFUNCTION("""COMPUTED_VALUE"""),0.0)</f>
        <v>0</v>
      </c>
      <c r="S616" s="34">
        <f>IFERROR(__xludf.DUMMYFUNCTION("""COMPUTED_VALUE"""),0.0)</f>
        <v>0</v>
      </c>
    </row>
    <row r="617">
      <c r="A617" s="17">
        <f>IFERROR(__xludf.DUMMYFUNCTION("""COMPUTED_VALUE"""),617.0)</f>
        <v>617</v>
      </c>
      <c r="B617" s="17" t="str">
        <f>IFERROR(__xludf.DUMMYFUNCTION("""COMPUTED_VALUE"""),"Austin Barnes (C) FA")</f>
        <v>Austin Barnes (C) FA</v>
      </c>
      <c r="C617" s="17">
        <f>IFERROR(__xludf.DUMMYFUNCTION("""COMPUTED_VALUE"""),38.0)</f>
        <v>38</v>
      </c>
      <c r="D617" s="17">
        <f>IFERROR(__xludf.DUMMYFUNCTION("""COMPUTED_VALUE"""),4.0)</f>
        <v>4</v>
      </c>
      <c r="E617" s="17">
        <f>IFERROR(__xludf.DUMMYFUNCTION("""COMPUTED_VALUE"""),0.0)</f>
        <v>0</v>
      </c>
      <c r="F617" s="17">
        <f>IFERROR(__xludf.DUMMYFUNCTION("""COMPUTED_VALUE"""),3.0)</f>
        <v>3</v>
      </c>
      <c r="G617" s="17">
        <f>IFERROR(__xludf.DUMMYFUNCTION("""COMPUTED_VALUE"""),0.0)</f>
        <v>0</v>
      </c>
      <c r="H617" s="17">
        <f>IFERROR(__xludf.DUMMYFUNCTION("""COMPUTED_VALUE"""),0.203)</f>
        <v>0.203</v>
      </c>
      <c r="I617" s="17">
        <f>IFERROR(__xludf.DUMMYFUNCTION("""COMPUTED_VALUE"""),0.272)</f>
        <v>0.272</v>
      </c>
      <c r="J617" s="17">
        <f>IFERROR(__xludf.DUMMYFUNCTION("""COMPUTED_VALUE"""),8.0)</f>
        <v>8</v>
      </c>
      <c r="K617" s="17">
        <f>IFERROR(__xludf.DUMMYFUNCTION("""COMPUTED_VALUE"""),1.0)</f>
        <v>1</v>
      </c>
      <c r="L617" s="17">
        <f>IFERROR(__xludf.DUMMYFUNCTION("""COMPUTED_VALUE"""),0.0)</f>
        <v>0</v>
      </c>
      <c r="M617" s="17">
        <f>IFERROR(__xludf.DUMMYFUNCTION("""COMPUTED_VALUE"""),3.0)</f>
        <v>3</v>
      </c>
      <c r="N617" s="17">
        <f>IFERROR(__xludf.DUMMYFUNCTION("""COMPUTED_VALUE"""),10.0)</f>
        <v>10</v>
      </c>
      <c r="O617" s="17">
        <f>IFERROR(__xludf.DUMMYFUNCTION("""COMPUTED_VALUE"""),0.275)</f>
        <v>0.275</v>
      </c>
      <c r="P617" s="17">
        <f>IFERROR(__xludf.DUMMYFUNCTION("""COMPUTED_VALUE"""),0.548)</f>
        <v>0.548</v>
      </c>
      <c r="Q617" s="34">
        <f>IFERROR(__xludf.DUMMYFUNCTION("""COMPUTED_VALUE"""),0.0)</f>
        <v>0</v>
      </c>
      <c r="R617" s="34">
        <f>IFERROR(__xludf.DUMMYFUNCTION("""COMPUTED_VALUE"""),0.0)</f>
        <v>0</v>
      </c>
      <c r="S617" s="34">
        <f>IFERROR(__xludf.DUMMYFUNCTION("""COMPUTED_VALUE"""),0.0)</f>
        <v>0</v>
      </c>
    </row>
    <row r="618">
      <c r="A618" s="17">
        <f>IFERROR(__xludf.DUMMYFUNCTION("""COMPUTED_VALUE"""),618.0)</f>
        <v>618</v>
      </c>
      <c r="B618" s="17" t="str">
        <f>IFERROR(__xludf.DUMMYFUNCTION("""COMPUTED_VALUE"""),"Zach Remillard (2B,3B,OF) FA")</f>
        <v>Zach Remillard (2B,3B,OF) FA</v>
      </c>
      <c r="C618" s="17">
        <f>IFERROR(__xludf.DUMMYFUNCTION("""COMPUTED_VALUE"""),15.0)</f>
        <v>15</v>
      </c>
      <c r="D618" s="17">
        <f>IFERROR(__xludf.DUMMYFUNCTION("""COMPUTED_VALUE"""),2.0)</f>
        <v>2</v>
      </c>
      <c r="E618" s="17">
        <f>IFERROR(__xludf.DUMMYFUNCTION("""COMPUTED_VALUE"""),0.0)</f>
        <v>0</v>
      </c>
      <c r="F618" s="17">
        <f>IFERROR(__xludf.DUMMYFUNCTION("""COMPUTED_VALUE"""),2.0)</f>
        <v>2</v>
      </c>
      <c r="G618" s="17">
        <f>IFERROR(__xludf.DUMMYFUNCTION("""COMPUTED_VALUE"""),1.0)</f>
        <v>1</v>
      </c>
      <c r="H618" s="17">
        <f>IFERROR(__xludf.DUMMYFUNCTION("""COMPUTED_VALUE"""),0.18)</f>
        <v>0.18</v>
      </c>
      <c r="I618" s="17">
        <f>IFERROR(__xludf.DUMMYFUNCTION("""COMPUTED_VALUE"""),0.236)</f>
        <v>0.236</v>
      </c>
      <c r="J618" s="17">
        <f>IFERROR(__xludf.DUMMYFUNCTION("""COMPUTED_VALUE"""),3.0)</f>
        <v>3</v>
      </c>
      <c r="K618" s="17">
        <f>IFERROR(__xludf.DUMMYFUNCTION("""COMPUTED_VALUE"""),1.0)</f>
        <v>1</v>
      </c>
      <c r="L618" s="17">
        <f>IFERROR(__xludf.DUMMYFUNCTION("""COMPUTED_VALUE"""),0.0)</f>
        <v>0</v>
      </c>
      <c r="M618" s="17">
        <f>IFERROR(__xludf.DUMMYFUNCTION("""COMPUTED_VALUE"""),1.0)</f>
        <v>1</v>
      </c>
      <c r="N618" s="17">
        <f>IFERROR(__xludf.DUMMYFUNCTION("""COMPUTED_VALUE"""),4.0)</f>
        <v>4</v>
      </c>
      <c r="O618" s="17">
        <f>IFERROR(__xludf.DUMMYFUNCTION("""COMPUTED_VALUE"""),0.219)</f>
        <v>0.219</v>
      </c>
      <c r="P618" s="17">
        <f>IFERROR(__xludf.DUMMYFUNCTION("""COMPUTED_VALUE"""),0.455)</f>
        <v>0.455</v>
      </c>
      <c r="Q618" s="34">
        <f>IFERROR(__xludf.DUMMYFUNCTION("""COMPUTED_VALUE"""),0.0)</f>
        <v>0</v>
      </c>
      <c r="R618" s="34">
        <f>IFERROR(__xludf.DUMMYFUNCTION("""COMPUTED_VALUE"""),0.0)</f>
        <v>0</v>
      </c>
      <c r="S618" s="34">
        <f>IFERROR(__xludf.DUMMYFUNCTION("""COMPUTED_VALUE"""),0.0)</f>
        <v>0</v>
      </c>
    </row>
    <row r="619">
      <c r="A619" s="17">
        <f>IFERROR(__xludf.DUMMYFUNCTION("""COMPUTED_VALUE"""),619.0)</f>
        <v>619</v>
      </c>
      <c r="B619" s="17" t="str">
        <f>IFERROR(__xludf.DUMMYFUNCTION("""COMPUTED_VALUE"""),"Brock Wilken (MIL - 3B) MiLB")</f>
        <v>Brock Wilken (MIL - 3B) MiLB</v>
      </c>
      <c r="C619" s="17">
        <f>IFERROR(__xludf.DUMMYFUNCTION("""COMPUTED_VALUE"""),22.0)</f>
        <v>22</v>
      </c>
      <c r="D619" s="17">
        <f>IFERROR(__xludf.DUMMYFUNCTION("""COMPUTED_VALUE"""),2.0)</f>
        <v>2</v>
      </c>
      <c r="E619" s="17">
        <f>IFERROR(__xludf.DUMMYFUNCTION("""COMPUTED_VALUE"""),1.0)</f>
        <v>1</v>
      </c>
      <c r="F619" s="17">
        <f>IFERROR(__xludf.DUMMYFUNCTION("""COMPUTED_VALUE"""),3.0)</f>
        <v>3</v>
      </c>
      <c r="G619" s="17">
        <f>IFERROR(__xludf.DUMMYFUNCTION("""COMPUTED_VALUE"""),0.0)</f>
        <v>0</v>
      </c>
      <c r="H619" s="17">
        <f>IFERROR(__xludf.DUMMYFUNCTION("""COMPUTED_VALUE"""),0.203)</f>
        <v>0.203</v>
      </c>
      <c r="I619" s="17">
        <f>IFERROR(__xludf.DUMMYFUNCTION("""COMPUTED_VALUE"""),0.3)</f>
        <v>0.3</v>
      </c>
      <c r="J619" s="17">
        <f>IFERROR(__xludf.DUMMYFUNCTION("""COMPUTED_VALUE"""),4.0)</f>
        <v>4</v>
      </c>
      <c r="K619" s="17">
        <f>IFERROR(__xludf.DUMMYFUNCTION("""COMPUTED_VALUE"""),1.0)</f>
        <v>1</v>
      </c>
      <c r="L619" s="17">
        <f>IFERROR(__xludf.DUMMYFUNCTION("""COMPUTED_VALUE"""),0.0)</f>
        <v>0</v>
      </c>
      <c r="M619" s="17">
        <f>IFERROR(__xludf.DUMMYFUNCTION("""COMPUTED_VALUE"""),3.0)</f>
        <v>3</v>
      </c>
      <c r="N619" s="17">
        <f>IFERROR(__xludf.DUMMYFUNCTION("""COMPUTED_VALUE"""),8.0)</f>
        <v>8</v>
      </c>
      <c r="O619" s="17">
        <f>IFERROR(__xludf.DUMMYFUNCTION("""COMPUTED_VALUE"""),0.371)</f>
        <v>0.371</v>
      </c>
      <c r="P619" s="17">
        <f>IFERROR(__xludf.DUMMYFUNCTION("""COMPUTED_VALUE"""),0.671)</f>
        <v>0.671</v>
      </c>
      <c r="Q619" s="34">
        <f>IFERROR(__xludf.DUMMYFUNCTION("""COMPUTED_VALUE"""),0.0)</f>
        <v>0</v>
      </c>
      <c r="R619" s="34">
        <f>IFERROR(__xludf.DUMMYFUNCTION("""COMPUTED_VALUE"""),0.0)</f>
        <v>0</v>
      </c>
      <c r="S619" s="34">
        <f>IFERROR(__xludf.DUMMYFUNCTION("""COMPUTED_VALUE"""),0.0)</f>
        <v>0</v>
      </c>
    </row>
    <row r="620">
      <c r="A620" s="17">
        <f>IFERROR(__xludf.DUMMYFUNCTION("""COMPUTED_VALUE"""),620.0)</f>
        <v>620</v>
      </c>
      <c r="B620" s="17" t="str">
        <f>IFERROR(__xludf.DUMMYFUNCTION("""COMPUTED_VALUE"""),"Maximo Acosta (MIA - 3B,SS) MiLB")</f>
        <v>Maximo Acosta (MIA - 3B,SS) MiLB</v>
      </c>
      <c r="C620" s="17">
        <f>IFERROR(__xludf.DUMMYFUNCTION("""COMPUTED_VALUE"""),19.0)</f>
        <v>19</v>
      </c>
      <c r="D620" s="17">
        <f>IFERROR(__xludf.DUMMYFUNCTION("""COMPUTED_VALUE"""),2.0)</f>
        <v>2</v>
      </c>
      <c r="E620" s="17">
        <f>IFERROR(__xludf.DUMMYFUNCTION("""COMPUTED_VALUE"""),0.0)</f>
        <v>0</v>
      </c>
      <c r="F620" s="17">
        <f>IFERROR(__xludf.DUMMYFUNCTION("""COMPUTED_VALUE"""),2.0)</f>
        <v>2</v>
      </c>
      <c r="G620" s="17">
        <f>IFERROR(__xludf.DUMMYFUNCTION("""COMPUTED_VALUE"""),1.0)</f>
        <v>1</v>
      </c>
      <c r="H620" s="17">
        <f>IFERROR(__xludf.DUMMYFUNCTION("""COMPUTED_VALUE"""),0.224)</f>
        <v>0.224</v>
      </c>
      <c r="I620" s="17">
        <f>IFERROR(__xludf.DUMMYFUNCTION("""COMPUTED_VALUE"""),0.276)</f>
        <v>0.276</v>
      </c>
      <c r="J620" s="17">
        <f>IFERROR(__xludf.DUMMYFUNCTION("""COMPUTED_VALUE"""),4.0)</f>
        <v>4</v>
      </c>
      <c r="K620" s="17">
        <f>IFERROR(__xludf.DUMMYFUNCTION("""COMPUTED_VALUE"""),1.0)</f>
        <v>1</v>
      </c>
      <c r="L620" s="17">
        <f>IFERROR(__xludf.DUMMYFUNCTION("""COMPUTED_VALUE"""),0.0)</f>
        <v>0</v>
      </c>
      <c r="M620" s="17">
        <f>IFERROR(__xludf.DUMMYFUNCTION("""COMPUTED_VALUE"""),1.0)</f>
        <v>1</v>
      </c>
      <c r="N620" s="17">
        <f>IFERROR(__xludf.DUMMYFUNCTION("""COMPUTED_VALUE"""),5.0)</f>
        <v>5</v>
      </c>
      <c r="O620" s="17">
        <f>IFERROR(__xludf.DUMMYFUNCTION("""COMPUTED_VALUE"""),0.323)</f>
        <v>0.323</v>
      </c>
      <c r="P620" s="17">
        <f>IFERROR(__xludf.DUMMYFUNCTION("""COMPUTED_VALUE"""),0.599)</f>
        <v>0.599</v>
      </c>
      <c r="Q620" s="34">
        <f>IFERROR(__xludf.DUMMYFUNCTION("""COMPUTED_VALUE"""),0.0)</f>
        <v>0</v>
      </c>
      <c r="R620" s="34">
        <f>IFERROR(__xludf.DUMMYFUNCTION("""COMPUTED_VALUE"""),0.0)</f>
        <v>0</v>
      </c>
      <c r="S620" s="34">
        <f>IFERROR(__xludf.DUMMYFUNCTION("""COMPUTED_VALUE"""),0.0)</f>
        <v>0</v>
      </c>
    </row>
    <row r="621">
      <c r="A621" s="17">
        <f>IFERROR(__xludf.DUMMYFUNCTION("""COMPUTED_VALUE"""),621.0)</f>
        <v>621</v>
      </c>
      <c r="B621" s="17" t="str">
        <f>IFERROR(__xludf.DUMMYFUNCTION("""COMPUTED_VALUE"""),"Jacob Berry (MIA - 2B,3B,RF) MiLB")</f>
        <v>Jacob Berry (MIA - 2B,3B,RF) MiLB</v>
      </c>
      <c r="C621" s="17">
        <f>IFERROR(__xludf.DUMMYFUNCTION("""COMPUTED_VALUE"""),19.0)</f>
        <v>19</v>
      </c>
      <c r="D621" s="17">
        <f>IFERROR(__xludf.DUMMYFUNCTION("""COMPUTED_VALUE"""),2.0)</f>
        <v>2</v>
      </c>
      <c r="E621" s="17">
        <f>IFERROR(__xludf.DUMMYFUNCTION("""COMPUTED_VALUE"""),0.0)</f>
        <v>0</v>
      </c>
      <c r="F621" s="17">
        <f>IFERROR(__xludf.DUMMYFUNCTION("""COMPUTED_VALUE"""),2.0)</f>
        <v>2</v>
      </c>
      <c r="G621" s="17">
        <f>IFERROR(__xludf.DUMMYFUNCTION("""COMPUTED_VALUE"""),1.0)</f>
        <v>1</v>
      </c>
      <c r="H621" s="17">
        <f>IFERROR(__xludf.DUMMYFUNCTION("""COMPUTED_VALUE"""),0.207)</f>
        <v>0.207</v>
      </c>
      <c r="I621" s="17">
        <f>IFERROR(__xludf.DUMMYFUNCTION("""COMPUTED_VALUE"""),0.272)</f>
        <v>0.272</v>
      </c>
      <c r="J621" s="17">
        <f>IFERROR(__xludf.DUMMYFUNCTION("""COMPUTED_VALUE"""),4.0)</f>
        <v>4</v>
      </c>
      <c r="K621" s="17">
        <f>IFERROR(__xludf.DUMMYFUNCTION("""COMPUTED_VALUE"""),1.0)</f>
        <v>1</v>
      </c>
      <c r="L621" s="17">
        <f>IFERROR(__xludf.DUMMYFUNCTION("""COMPUTED_VALUE"""),0.0)</f>
        <v>0</v>
      </c>
      <c r="M621" s="17">
        <f>IFERROR(__xludf.DUMMYFUNCTION("""COMPUTED_VALUE"""),2.0)</f>
        <v>2</v>
      </c>
      <c r="N621" s="17">
        <f>IFERROR(__xludf.DUMMYFUNCTION("""COMPUTED_VALUE"""),5.0)</f>
        <v>5</v>
      </c>
      <c r="O621" s="17">
        <f>IFERROR(__xludf.DUMMYFUNCTION("""COMPUTED_VALUE"""),0.297)</f>
        <v>0.297</v>
      </c>
      <c r="P621" s="17">
        <f>IFERROR(__xludf.DUMMYFUNCTION("""COMPUTED_VALUE"""),0.569)</f>
        <v>0.569</v>
      </c>
      <c r="Q621" s="34">
        <f>IFERROR(__xludf.DUMMYFUNCTION("""COMPUTED_VALUE"""),0.0)</f>
        <v>0</v>
      </c>
      <c r="R621" s="34">
        <f>IFERROR(__xludf.DUMMYFUNCTION("""COMPUTED_VALUE"""),0.0)</f>
        <v>0</v>
      </c>
      <c r="S621" s="34">
        <f>IFERROR(__xludf.DUMMYFUNCTION("""COMPUTED_VALUE"""),0.0)</f>
        <v>0</v>
      </c>
    </row>
    <row r="622">
      <c r="A622" s="17">
        <f>IFERROR(__xludf.DUMMYFUNCTION("""COMPUTED_VALUE"""),622.0)</f>
        <v>622</v>
      </c>
      <c r="B622" s="17" t="str">
        <f>IFERROR(__xludf.DUMMYFUNCTION("""COMPUTED_VALUE"""),"Cooper Pratt (MIL - SS) MiLB")</f>
        <v>Cooper Pratt (MIL - SS) MiLB</v>
      </c>
      <c r="C622" s="17">
        <f>IFERROR(__xludf.DUMMYFUNCTION("""COMPUTED_VALUE"""),19.0)</f>
        <v>19</v>
      </c>
      <c r="D622" s="17">
        <f>IFERROR(__xludf.DUMMYFUNCTION("""COMPUTED_VALUE"""),2.0)</f>
        <v>2</v>
      </c>
      <c r="E622" s="17">
        <f>IFERROR(__xludf.DUMMYFUNCTION("""COMPUTED_VALUE"""),0.0)</f>
        <v>0</v>
      </c>
      <c r="F622" s="17">
        <f>IFERROR(__xludf.DUMMYFUNCTION("""COMPUTED_VALUE"""),2.0)</f>
        <v>2</v>
      </c>
      <c r="G622" s="17">
        <f>IFERROR(__xludf.DUMMYFUNCTION("""COMPUTED_VALUE"""),1.0)</f>
        <v>1</v>
      </c>
      <c r="H622" s="17">
        <f>IFERROR(__xludf.DUMMYFUNCTION("""COMPUTED_VALUE"""),0.217)</f>
        <v>0.217</v>
      </c>
      <c r="I622" s="17">
        <f>IFERROR(__xludf.DUMMYFUNCTION("""COMPUTED_VALUE"""),0.303)</f>
        <v>0.303</v>
      </c>
      <c r="J622" s="17">
        <f>IFERROR(__xludf.DUMMYFUNCTION("""COMPUTED_VALUE"""),4.0)</f>
        <v>4</v>
      </c>
      <c r="K622" s="17">
        <f>IFERROR(__xludf.DUMMYFUNCTION("""COMPUTED_VALUE"""),1.0)</f>
        <v>1</v>
      </c>
      <c r="L622" s="17">
        <f>IFERROR(__xludf.DUMMYFUNCTION("""COMPUTED_VALUE"""),0.0)</f>
        <v>0</v>
      </c>
      <c r="M622" s="17">
        <f>IFERROR(__xludf.DUMMYFUNCTION("""COMPUTED_VALUE"""),2.0)</f>
        <v>2</v>
      </c>
      <c r="N622" s="17">
        <f>IFERROR(__xludf.DUMMYFUNCTION("""COMPUTED_VALUE"""),4.0)</f>
        <v>4</v>
      </c>
      <c r="O622" s="17">
        <f>IFERROR(__xludf.DUMMYFUNCTION("""COMPUTED_VALUE"""),0.31)</f>
        <v>0.31</v>
      </c>
      <c r="P622" s="17">
        <f>IFERROR(__xludf.DUMMYFUNCTION("""COMPUTED_VALUE"""),0.613)</f>
        <v>0.613</v>
      </c>
      <c r="Q622" s="34">
        <f>IFERROR(__xludf.DUMMYFUNCTION("""COMPUTED_VALUE"""),0.01)</f>
        <v>0.01</v>
      </c>
      <c r="R622" s="34">
        <f>IFERROR(__xludf.DUMMYFUNCTION("""COMPUTED_VALUE"""),0.01)</f>
        <v>0.01</v>
      </c>
      <c r="S622" s="34">
        <f>IFERROR(__xludf.DUMMYFUNCTION("""COMPUTED_VALUE"""),0.0)</f>
        <v>0</v>
      </c>
    </row>
    <row r="623">
      <c r="A623" s="17">
        <f>IFERROR(__xludf.DUMMYFUNCTION("""COMPUTED_VALUE"""),623.0)</f>
        <v>623</v>
      </c>
      <c r="B623" s="17" t="str">
        <f>IFERROR(__xludf.DUMMYFUNCTION("""COMPUTED_VALUE"""),"Ryan Clifford (NYM - 1B,OF) MiLB")</f>
        <v>Ryan Clifford (NYM - 1B,OF) MiLB</v>
      </c>
      <c r="C623" s="17">
        <f>IFERROR(__xludf.DUMMYFUNCTION("""COMPUTED_VALUE"""),16.0)</f>
        <v>16</v>
      </c>
      <c r="D623" s="17">
        <f>IFERROR(__xludf.DUMMYFUNCTION("""COMPUTED_VALUE"""),2.0)</f>
        <v>2</v>
      </c>
      <c r="E623" s="17">
        <f>IFERROR(__xludf.DUMMYFUNCTION("""COMPUTED_VALUE"""),1.0)</f>
        <v>1</v>
      </c>
      <c r="F623" s="17">
        <f>IFERROR(__xludf.DUMMYFUNCTION("""COMPUTED_VALUE"""),2.0)</f>
        <v>2</v>
      </c>
      <c r="G623" s="17">
        <f>IFERROR(__xludf.DUMMYFUNCTION("""COMPUTED_VALUE"""),0.0)</f>
        <v>0</v>
      </c>
      <c r="H623" s="17">
        <f>IFERROR(__xludf.DUMMYFUNCTION("""COMPUTED_VALUE"""),0.194)</f>
        <v>0.194</v>
      </c>
      <c r="I623" s="17">
        <f>IFERROR(__xludf.DUMMYFUNCTION("""COMPUTED_VALUE"""),0.286)</f>
        <v>0.286</v>
      </c>
      <c r="J623" s="17">
        <f>IFERROR(__xludf.DUMMYFUNCTION("""COMPUTED_VALUE"""),3.0)</f>
        <v>3</v>
      </c>
      <c r="K623" s="17">
        <f>IFERROR(__xludf.DUMMYFUNCTION("""COMPUTED_VALUE"""),1.0)</f>
        <v>1</v>
      </c>
      <c r="L623" s="17">
        <f>IFERROR(__xludf.DUMMYFUNCTION("""COMPUTED_VALUE"""),0.0)</f>
        <v>0</v>
      </c>
      <c r="M623" s="17">
        <f>IFERROR(__xludf.DUMMYFUNCTION("""COMPUTED_VALUE"""),2.0)</f>
        <v>2</v>
      </c>
      <c r="N623" s="17">
        <f>IFERROR(__xludf.DUMMYFUNCTION("""COMPUTED_VALUE"""),6.0)</f>
        <v>6</v>
      </c>
      <c r="O623" s="17">
        <f>IFERROR(__xludf.DUMMYFUNCTION("""COMPUTED_VALUE"""),0.324)</f>
        <v>0.324</v>
      </c>
      <c r="P623" s="17">
        <f>IFERROR(__xludf.DUMMYFUNCTION("""COMPUTED_VALUE"""),0.61)</f>
        <v>0.61</v>
      </c>
      <c r="Q623" s="34">
        <f>IFERROR(__xludf.DUMMYFUNCTION("""COMPUTED_VALUE"""),0.0)</f>
        <v>0</v>
      </c>
      <c r="R623" s="34">
        <f>IFERROR(__xludf.DUMMYFUNCTION("""COMPUTED_VALUE"""),0.0)</f>
        <v>0</v>
      </c>
      <c r="S623" s="34">
        <f>IFERROR(__xludf.DUMMYFUNCTION("""COMPUTED_VALUE"""),0.0)</f>
        <v>0</v>
      </c>
    </row>
    <row r="624">
      <c r="A624" s="17">
        <f>IFERROR(__xludf.DUMMYFUNCTION("""COMPUTED_VALUE"""),624.0)</f>
        <v>624</v>
      </c>
      <c r="B624" s="17" t="str">
        <f>IFERROR(__xludf.DUMMYFUNCTION("""COMPUTED_VALUE"""),"Jonatan Clase (TOR - LF,CF) MiLB")</f>
        <v>Jonatan Clase (TOR - LF,CF) MiLB</v>
      </c>
      <c r="C624" s="17">
        <f>IFERROR(__xludf.DUMMYFUNCTION("""COMPUTED_VALUE"""),13.0)</f>
        <v>13</v>
      </c>
      <c r="D624" s="17">
        <f>IFERROR(__xludf.DUMMYFUNCTION("""COMPUTED_VALUE"""),2.0)</f>
        <v>2</v>
      </c>
      <c r="E624" s="17">
        <f>IFERROR(__xludf.DUMMYFUNCTION("""COMPUTED_VALUE"""),0.0)</f>
        <v>0</v>
      </c>
      <c r="F624" s="17">
        <f>IFERROR(__xludf.DUMMYFUNCTION("""COMPUTED_VALUE"""),1.0)</f>
        <v>1</v>
      </c>
      <c r="G624" s="17">
        <f>IFERROR(__xludf.DUMMYFUNCTION("""COMPUTED_VALUE"""),1.0)</f>
        <v>1</v>
      </c>
      <c r="H624" s="17">
        <f>IFERROR(__xludf.DUMMYFUNCTION("""COMPUTED_VALUE"""),0.231)</f>
        <v>0.231</v>
      </c>
      <c r="I624" s="17">
        <f>IFERROR(__xludf.DUMMYFUNCTION("""COMPUTED_VALUE"""),0.299)</f>
        <v>0.299</v>
      </c>
      <c r="J624" s="17">
        <f>IFERROR(__xludf.DUMMYFUNCTION("""COMPUTED_VALUE"""),3.0)</f>
        <v>3</v>
      </c>
      <c r="K624" s="17">
        <f>IFERROR(__xludf.DUMMYFUNCTION("""COMPUTED_VALUE"""),1.0)</f>
        <v>1</v>
      </c>
      <c r="L624" s="17">
        <f>IFERROR(__xludf.DUMMYFUNCTION("""COMPUTED_VALUE"""),0.0)</f>
        <v>0</v>
      </c>
      <c r="M624" s="17">
        <f>IFERROR(__xludf.DUMMYFUNCTION("""COMPUTED_VALUE"""),1.0)</f>
        <v>1</v>
      </c>
      <c r="N624" s="17">
        <f>IFERROR(__xludf.DUMMYFUNCTION("""COMPUTED_VALUE"""),4.0)</f>
        <v>4</v>
      </c>
      <c r="O624" s="17">
        <f>IFERROR(__xludf.DUMMYFUNCTION("""COMPUTED_VALUE"""),0.357)</f>
        <v>0.357</v>
      </c>
      <c r="P624" s="17">
        <f>IFERROR(__xludf.DUMMYFUNCTION("""COMPUTED_VALUE"""),0.656)</f>
        <v>0.656</v>
      </c>
      <c r="Q624" s="34">
        <f>IFERROR(__xludf.DUMMYFUNCTION("""COMPUTED_VALUE"""),0.0)</f>
        <v>0</v>
      </c>
      <c r="R624" s="34">
        <f>IFERROR(__xludf.DUMMYFUNCTION("""COMPUTED_VALUE"""),0.0)</f>
        <v>0</v>
      </c>
      <c r="S624" s="34">
        <f>IFERROR(__xludf.DUMMYFUNCTION("""COMPUTED_VALUE"""),0.0)</f>
        <v>0</v>
      </c>
    </row>
    <row r="625">
      <c r="A625" s="17">
        <f>IFERROR(__xludf.DUMMYFUNCTION("""COMPUTED_VALUE"""),625.0)</f>
        <v>625</v>
      </c>
      <c r="B625" s="17" t="str">
        <f>IFERROR(__xludf.DUMMYFUNCTION("""COMPUTED_VALUE"""),"Akil Baddoo (MIL - LF) IL60")</f>
        <v>Akil Baddoo (MIL - LF) IL60</v>
      </c>
      <c r="C625" s="17">
        <f>IFERROR(__xludf.DUMMYFUNCTION("""COMPUTED_VALUE"""),12.0)</f>
        <v>12</v>
      </c>
      <c r="D625" s="17">
        <f>IFERROR(__xludf.DUMMYFUNCTION("""COMPUTED_VALUE"""),2.0)</f>
        <v>2</v>
      </c>
      <c r="E625" s="17">
        <f>IFERROR(__xludf.DUMMYFUNCTION("""COMPUTED_VALUE"""),0.0)</f>
        <v>0</v>
      </c>
      <c r="F625" s="17">
        <f>IFERROR(__xludf.DUMMYFUNCTION("""COMPUTED_VALUE"""),2.0)</f>
        <v>2</v>
      </c>
      <c r="G625" s="17">
        <f>IFERROR(__xludf.DUMMYFUNCTION("""COMPUTED_VALUE"""),0.0)</f>
        <v>0</v>
      </c>
      <c r="H625" s="17">
        <f>IFERROR(__xludf.DUMMYFUNCTION("""COMPUTED_VALUE"""),0.21)</f>
        <v>0.21</v>
      </c>
      <c r="I625" s="17">
        <f>IFERROR(__xludf.DUMMYFUNCTION("""COMPUTED_VALUE"""),0.31)</f>
        <v>0.31</v>
      </c>
      <c r="J625" s="17">
        <f>IFERROR(__xludf.DUMMYFUNCTION("""COMPUTED_VALUE"""),3.0)</f>
        <v>3</v>
      </c>
      <c r="K625" s="17">
        <f>IFERROR(__xludf.DUMMYFUNCTION("""COMPUTED_VALUE"""),0.0)</f>
        <v>0</v>
      </c>
      <c r="L625" s="17">
        <f>IFERROR(__xludf.DUMMYFUNCTION("""COMPUTED_VALUE"""),0.0)</f>
        <v>0</v>
      </c>
      <c r="M625" s="17">
        <f>IFERROR(__xludf.DUMMYFUNCTION("""COMPUTED_VALUE"""),2.0)</f>
        <v>2</v>
      </c>
      <c r="N625" s="17">
        <f>IFERROR(__xludf.DUMMYFUNCTION("""COMPUTED_VALUE"""),4.0)</f>
        <v>4</v>
      </c>
      <c r="O625" s="17">
        <f>IFERROR(__xludf.DUMMYFUNCTION("""COMPUTED_VALUE"""),0.328)</f>
        <v>0.328</v>
      </c>
      <c r="P625" s="17">
        <f>IFERROR(__xludf.DUMMYFUNCTION("""COMPUTED_VALUE"""),0.638)</f>
        <v>0.638</v>
      </c>
      <c r="Q625" s="34">
        <f>IFERROR(__xludf.DUMMYFUNCTION("""COMPUTED_VALUE"""),0.0)</f>
        <v>0</v>
      </c>
      <c r="R625" s="34">
        <f>IFERROR(__xludf.DUMMYFUNCTION("""COMPUTED_VALUE"""),0.0)</f>
        <v>0</v>
      </c>
      <c r="S625" s="34">
        <f>IFERROR(__xludf.DUMMYFUNCTION("""COMPUTED_VALUE"""),0.0)</f>
        <v>0</v>
      </c>
    </row>
    <row r="626">
      <c r="A626" s="17">
        <f>IFERROR(__xludf.DUMMYFUNCTION("""COMPUTED_VALUE"""),626.0)</f>
        <v>626</v>
      </c>
      <c r="B626" s="17" t="str">
        <f>IFERROR(__xludf.DUMMYFUNCTION("""COMPUTED_VALUE"""),"Vimael Machin (COL - 3B) MiLB")</f>
        <v>Vimael Machin (COL - 3B) MiLB</v>
      </c>
      <c r="C626" s="17">
        <f>IFERROR(__xludf.DUMMYFUNCTION("""COMPUTED_VALUE"""),12.0)</f>
        <v>12</v>
      </c>
      <c r="D626" s="17">
        <f>IFERROR(__xludf.DUMMYFUNCTION("""COMPUTED_VALUE"""),2.0)</f>
        <v>2</v>
      </c>
      <c r="E626" s="17">
        <f>IFERROR(__xludf.DUMMYFUNCTION("""COMPUTED_VALUE"""),0.0)</f>
        <v>0</v>
      </c>
      <c r="F626" s="17">
        <f>IFERROR(__xludf.DUMMYFUNCTION("""COMPUTED_VALUE"""),2.0)</f>
        <v>2</v>
      </c>
      <c r="G626" s="17">
        <f>IFERROR(__xludf.DUMMYFUNCTION("""COMPUTED_VALUE"""),0.0)</f>
        <v>0</v>
      </c>
      <c r="H626" s="17">
        <f>IFERROR(__xludf.DUMMYFUNCTION("""COMPUTED_VALUE"""),0.226)</f>
        <v>0.226</v>
      </c>
      <c r="I626" s="17">
        <f>IFERROR(__xludf.DUMMYFUNCTION("""COMPUTED_VALUE"""),0.295)</f>
        <v>0.295</v>
      </c>
      <c r="J626" s="17">
        <f>IFERROR(__xludf.DUMMYFUNCTION("""COMPUTED_VALUE"""),3.0)</f>
        <v>3</v>
      </c>
      <c r="K626" s="17">
        <f>IFERROR(__xludf.DUMMYFUNCTION("""COMPUTED_VALUE"""),0.0)</f>
        <v>0</v>
      </c>
      <c r="L626" s="17">
        <f>IFERROR(__xludf.DUMMYFUNCTION("""COMPUTED_VALUE"""),0.0)</f>
        <v>0</v>
      </c>
      <c r="M626" s="17">
        <f>IFERROR(__xludf.DUMMYFUNCTION("""COMPUTED_VALUE"""),1.0)</f>
        <v>1</v>
      </c>
      <c r="N626" s="17">
        <f>IFERROR(__xludf.DUMMYFUNCTION("""COMPUTED_VALUE"""),2.0)</f>
        <v>2</v>
      </c>
      <c r="O626" s="17">
        <f>IFERROR(__xludf.DUMMYFUNCTION("""COMPUTED_VALUE"""),0.307)</f>
        <v>0.307</v>
      </c>
      <c r="P626" s="17">
        <f>IFERROR(__xludf.DUMMYFUNCTION("""COMPUTED_VALUE"""),0.602)</f>
        <v>0.602</v>
      </c>
      <c r="Q626" s="34">
        <f>IFERROR(__xludf.DUMMYFUNCTION("""COMPUTED_VALUE"""),0.0)</f>
        <v>0</v>
      </c>
      <c r="R626" s="34">
        <f>IFERROR(__xludf.DUMMYFUNCTION("""COMPUTED_VALUE"""),0.0)</f>
        <v>0</v>
      </c>
      <c r="S626" s="34">
        <f>IFERROR(__xludf.DUMMYFUNCTION("""COMPUTED_VALUE"""),0.0)</f>
        <v>0</v>
      </c>
    </row>
    <row r="627">
      <c r="A627" s="17">
        <f>IFERROR(__xludf.DUMMYFUNCTION("""COMPUTED_VALUE"""),627.0)</f>
        <v>627</v>
      </c>
      <c r="B627" s="17" t="str">
        <f>IFERROR(__xludf.DUMMYFUNCTION("""COMPUTED_VALUE"""),"Gustavo Campero (LAA - RF) MiLB")</f>
        <v>Gustavo Campero (LAA - RF) MiLB</v>
      </c>
      <c r="C627" s="17">
        <f>IFERROR(__xludf.DUMMYFUNCTION("""COMPUTED_VALUE"""),12.0)</f>
        <v>12</v>
      </c>
      <c r="D627" s="17">
        <f>IFERROR(__xludf.DUMMYFUNCTION("""COMPUTED_VALUE"""),2.0)</f>
        <v>2</v>
      </c>
      <c r="E627" s="17">
        <f>IFERROR(__xludf.DUMMYFUNCTION("""COMPUTED_VALUE"""),0.0)</f>
        <v>0</v>
      </c>
      <c r="F627" s="17">
        <f>IFERROR(__xludf.DUMMYFUNCTION("""COMPUTED_VALUE"""),2.0)</f>
        <v>2</v>
      </c>
      <c r="G627" s="17">
        <f>IFERROR(__xludf.DUMMYFUNCTION("""COMPUTED_VALUE"""),0.0)</f>
        <v>0</v>
      </c>
      <c r="H627" s="17">
        <f>IFERROR(__xludf.DUMMYFUNCTION("""COMPUTED_VALUE"""),0.225)</f>
        <v>0.225</v>
      </c>
      <c r="I627" s="17">
        <f>IFERROR(__xludf.DUMMYFUNCTION("""COMPUTED_VALUE"""),0.283)</f>
        <v>0.283</v>
      </c>
      <c r="J627" s="17">
        <f>IFERROR(__xludf.DUMMYFUNCTION("""COMPUTED_VALUE"""),3.0)</f>
        <v>3</v>
      </c>
      <c r="K627" s="17">
        <f>IFERROR(__xludf.DUMMYFUNCTION("""COMPUTED_VALUE"""),0.0)</f>
        <v>0</v>
      </c>
      <c r="L627" s="17">
        <f>IFERROR(__xludf.DUMMYFUNCTION("""COMPUTED_VALUE"""),0.0)</f>
        <v>0</v>
      </c>
      <c r="M627" s="17">
        <f>IFERROR(__xludf.DUMMYFUNCTION("""COMPUTED_VALUE"""),1.0)</f>
        <v>1</v>
      </c>
      <c r="N627" s="17">
        <f>IFERROR(__xludf.DUMMYFUNCTION("""COMPUTED_VALUE"""),3.0)</f>
        <v>3</v>
      </c>
      <c r="O627" s="17">
        <f>IFERROR(__xludf.DUMMYFUNCTION("""COMPUTED_VALUE"""),0.341)</f>
        <v>0.341</v>
      </c>
      <c r="P627" s="17">
        <f>IFERROR(__xludf.DUMMYFUNCTION("""COMPUTED_VALUE"""),0.623)</f>
        <v>0.623</v>
      </c>
      <c r="Q627" s="34">
        <f>IFERROR(__xludf.DUMMYFUNCTION("""COMPUTED_VALUE"""),0.0)</f>
        <v>0</v>
      </c>
      <c r="R627" s="34">
        <f>IFERROR(__xludf.DUMMYFUNCTION("""COMPUTED_VALUE"""),0.0)</f>
        <v>0</v>
      </c>
      <c r="S627" s="34">
        <f>IFERROR(__xludf.DUMMYFUNCTION("""COMPUTED_VALUE"""),0.0)</f>
        <v>0</v>
      </c>
    </row>
    <row r="628">
      <c r="A628" s="17">
        <f>IFERROR(__xludf.DUMMYFUNCTION("""COMPUTED_VALUE"""),628.0)</f>
        <v>628</v>
      </c>
      <c r="B628" s="17" t="str">
        <f>IFERROR(__xludf.DUMMYFUNCTION("""COMPUTED_VALUE"""),"Nick Madrigal (LAA - 2B,3B) MiLB")</f>
        <v>Nick Madrigal (LAA - 2B,3B) MiLB</v>
      </c>
      <c r="C628" s="17">
        <f>IFERROR(__xludf.DUMMYFUNCTION("""COMPUTED_VALUE"""),16.0)</f>
        <v>16</v>
      </c>
      <c r="D628" s="17">
        <f>IFERROR(__xludf.DUMMYFUNCTION("""COMPUTED_VALUE"""),2.0)</f>
        <v>2</v>
      </c>
      <c r="E628" s="17">
        <f>IFERROR(__xludf.DUMMYFUNCTION("""COMPUTED_VALUE"""),0.0)</f>
        <v>0</v>
      </c>
      <c r="F628" s="17">
        <f>IFERROR(__xludf.DUMMYFUNCTION("""COMPUTED_VALUE"""),2.0)</f>
        <v>2</v>
      </c>
      <c r="G628" s="17">
        <f>IFERROR(__xludf.DUMMYFUNCTION("""COMPUTED_VALUE"""),0.0)</f>
        <v>0</v>
      </c>
      <c r="H628" s="17">
        <f>IFERROR(__xludf.DUMMYFUNCTION("""COMPUTED_VALUE"""),0.264)</f>
        <v>0.264</v>
      </c>
      <c r="I628" s="17">
        <f>IFERROR(__xludf.DUMMYFUNCTION("""COMPUTED_VALUE"""),0.323)</f>
        <v>0.323</v>
      </c>
      <c r="J628" s="17">
        <f>IFERROR(__xludf.DUMMYFUNCTION("""COMPUTED_VALUE"""),4.0)</f>
        <v>4</v>
      </c>
      <c r="K628" s="17">
        <f>IFERROR(__xludf.DUMMYFUNCTION("""COMPUTED_VALUE"""),1.0)</f>
        <v>1</v>
      </c>
      <c r="L628" s="17">
        <f>IFERROR(__xludf.DUMMYFUNCTION("""COMPUTED_VALUE"""),0.0)</f>
        <v>0</v>
      </c>
      <c r="M628" s="17">
        <f>IFERROR(__xludf.DUMMYFUNCTION("""COMPUTED_VALUE"""),1.0)</f>
        <v>1</v>
      </c>
      <c r="N628" s="17">
        <f>IFERROR(__xludf.DUMMYFUNCTION("""COMPUTED_VALUE"""),2.0)</f>
        <v>2</v>
      </c>
      <c r="O628" s="17">
        <f>IFERROR(__xludf.DUMMYFUNCTION("""COMPUTED_VALUE"""),0.334)</f>
        <v>0.334</v>
      </c>
      <c r="P628" s="17">
        <f>IFERROR(__xludf.DUMMYFUNCTION("""COMPUTED_VALUE"""),0.658)</f>
        <v>0.658</v>
      </c>
      <c r="Q628" s="34">
        <f>IFERROR(__xludf.DUMMYFUNCTION("""COMPUTED_VALUE"""),0.0)</f>
        <v>0</v>
      </c>
      <c r="R628" s="34">
        <f>IFERROR(__xludf.DUMMYFUNCTION("""COMPUTED_VALUE"""),0.0)</f>
        <v>0</v>
      </c>
      <c r="S628" s="34">
        <f>IFERROR(__xludf.DUMMYFUNCTION("""COMPUTED_VALUE"""),0.0)</f>
        <v>0</v>
      </c>
    </row>
    <row r="629">
      <c r="A629" s="17">
        <f>IFERROR(__xludf.DUMMYFUNCTION("""COMPUTED_VALUE"""),629.0)</f>
        <v>629</v>
      </c>
      <c r="B629" s="17" t="str">
        <f>IFERROR(__xludf.DUMMYFUNCTION("""COMPUTED_VALUE"""),"A.J. Vukovich (ARI - 3B,LF) MiLB")</f>
        <v>A.J. Vukovich (ARI - 3B,LF) MiLB</v>
      </c>
      <c r="C629" s="17">
        <f>IFERROR(__xludf.DUMMYFUNCTION("""COMPUTED_VALUE"""),16.0)</f>
        <v>16</v>
      </c>
      <c r="D629" s="17">
        <f>IFERROR(__xludf.DUMMYFUNCTION("""COMPUTED_VALUE"""),2.0)</f>
        <v>2</v>
      </c>
      <c r="E629" s="17">
        <f>IFERROR(__xludf.DUMMYFUNCTION("""COMPUTED_VALUE"""),0.0)</f>
        <v>0</v>
      </c>
      <c r="F629" s="17">
        <f>IFERROR(__xludf.DUMMYFUNCTION("""COMPUTED_VALUE"""),2.0)</f>
        <v>2</v>
      </c>
      <c r="G629" s="17">
        <f>IFERROR(__xludf.DUMMYFUNCTION("""COMPUTED_VALUE"""),0.0)</f>
        <v>0</v>
      </c>
      <c r="H629" s="17">
        <f>IFERROR(__xludf.DUMMYFUNCTION("""COMPUTED_VALUE"""),0.231)</f>
        <v>0.231</v>
      </c>
      <c r="I629" s="17">
        <f>IFERROR(__xludf.DUMMYFUNCTION("""COMPUTED_VALUE"""),0.291)</f>
        <v>0.291</v>
      </c>
      <c r="J629" s="17">
        <f>IFERROR(__xludf.DUMMYFUNCTION("""COMPUTED_VALUE"""),4.0)</f>
        <v>4</v>
      </c>
      <c r="K629" s="17">
        <f>IFERROR(__xludf.DUMMYFUNCTION("""COMPUTED_VALUE"""),1.0)</f>
        <v>1</v>
      </c>
      <c r="L629" s="17">
        <f>IFERROR(__xludf.DUMMYFUNCTION("""COMPUTED_VALUE"""),0.0)</f>
        <v>0</v>
      </c>
      <c r="M629" s="17">
        <f>IFERROR(__xludf.DUMMYFUNCTION("""COMPUTED_VALUE"""),1.0)</f>
        <v>1</v>
      </c>
      <c r="N629" s="17">
        <f>IFERROR(__xludf.DUMMYFUNCTION("""COMPUTED_VALUE"""),5.0)</f>
        <v>5</v>
      </c>
      <c r="O629" s="17">
        <f>IFERROR(__xludf.DUMMYFUNCTION("""COMPUTED_VALUE"""),0.341)</f>
        <v>0.341</v>
      </c>
      <c r="P629" s="17">
        <f>IFERROR(__xludf.DUMMYFUNCTION("""COMPUTED_VALUE"""),0.632)</f>
        <v>0.632</v>
      </c>
      <c r="Q629" s="34">
        <f>IFERROR(__xludf.DUMMYFUNCTION("""COMPUTED_VALUE"""),0.0)</f>
        <v>0</v>
      </c>
      <c r="R629" s="34">
        <f>IFERROR(__xludf.DUMMYFUNCTION("""COMPUTED_VALUE"""),0.0)</f>
        <v>0</v>
      </c>
      <c r="S629" s="34">
        <f>IFERROR(__xludf.DUMMYFUNCTION("""COMPUTED_VALUE"""),0.0)</f>
        <v>0</v>
      </c>
    </row>
    <row r="630">
      <c r="A630" s="17">
        <f>IFERROR(__xludf.DUMMYFUNCTION("""COMPUTED_VALUE"""),630.0)</f>
        <v>630</v>
      </c>
      <c r="B630" s="17" t="str">
        <f>IFERROR(__xludf.DUMMYFUNCTION("""COMPUTED_VALUE"""),"Hunter Renfroe (RF) FA")</f>
        <v>Hunter Renfroe (RF) FA</v>
      </c>
      <c r="C630" s="17">
        <f>IFERROR(__xludf.DUMMYFUNCTION("""COMPUTED_VALUE"""),8.0)</f>
        <v>8</v>
      </c>
      <c r="D630" s="17">
        <f>IFERROR(__xludf.DUMMYFUNCTION("""COMPUTED_VALUE"""),1.0)</f>
        <v>1</v>
      </c>
      <c r="E630" s="17">
        <f>IFERROR(__xludf.DUMMYFUNCTION("""COMPUTED_VALUE"""),1.0)</f>
        <v>1</v>
      </c>
      <c r="F630" s="17">
        <f>IFERROR(__xludf.DUMMYFUNCTION("""COMPUTED_VALUE"""),1.0)</f>
        <v>1</v>
      </c>
      <c r="G630" s="17">
        <f>IFERROR(__xludf.DUMMYFUNCTION("""COMPUTED_VALUE"""),0.0)</f>
        <v>0</v>
      </c>
      <c r="H630" s="17">
        <f>IFERROR(__xludf.DUMMYFUNCTION("""COMPUTED_VALUE"""),0.28)</f>
        <v>0.28</v>
      </c>
      <c r="I630" s="17">
        <f>IFERROR(__xludf.DUMMYFUNCTION("""COMPUTED_VALUE"""),0.329)</f>
        <v>0.329</v>
      </c>
      <c r="J630" s="17">
        <f>IFERROR(__xludf.DUMMYFUNCTION("""COMPUTED_VALUE"""),2.0)</f>
        <v>2</v>
      </c>
      <c r="K630" s="17">
        <f>IFERROR(__xludf.DUMMYFUNCTION("""COMPUTED_VALUE"""),1.0)</f>
        <v>1</v>
      </c>
      <c r="L630" s="17">
        <f>IFERROR(__xludf.DUMMYFUNCTION("""COMPUTED_VALUE"""),0.0)</f>
        <v>0</v>
      </c>
      <c r="M630" s="17">
        <f>IFERROR(__xludf.DUMMYFUNCTION("""COMPUTED_VALUE"""),1.0)</f>
        <v>1</v>
      </c>
      <c r="N630" s="17">
        <f>IFERROR(__xludf.DUMMYFUNCTION("""COMPUTED_VALUE"""),2.0)</f>
        <v>2</v>
      </c>
      <c r="O630" s="17">
        <f>IFERROR(__xludf.DUMMYFUNCTION("""COMPUTED_VALUE"""),0.553)</f>
        <v>0.553</v>
      </c>
      <c r="P630" s="17">
        <f>IFERROR(__xludf.DUMMYFUNCTION("""COMPUTED_VALUE"""),0.882)</f>
        <v>0.882</v>
      </c>
      <c r="Q630" s="34">
        <f>IFERROR(__xludf.DUMMYFUNCTION("""COMPUTED_VALUE"""),0.0)</f>
        <v>0</v>
      </c>
      <c r="R630" s="34">
        <f>IFERROR(__xludf.DUMMYFUNCTION("""COMPUTED_VALUE"""),0.0)</f>
        <v>0</v>
      </c>
      <c r="S630" s="34">
        <f>IFERROR(__xludf.DUMMYFUNCTION("""COMPUTED_VALUE"""),0.0)</f>
        <v>0</v>
      </c>
    </row>
    <row r="631">
      <c r="A631" s="17">
        <f>IFERROR(__xludf.DUMMYFUNCTION("""COMPUTED_VALUE"""),631.0)</f>
        <v>631</v>
      </c>
      <c r="B631" s="17" t="str">
        <f>IFERROR(__xludf.DUMMYFUNCTION("""COMPUTED_VALUE"""),"Travis Blankenhorn (LF,DH) FA")</f>
        <v>Travis Blankenhorn (LF,DH) FA</v>
      </c>
      <c r="C631" s="17">
        <f>IFERROR(__xludf.DUMMYFUNCTION("""COMPUTED_VALUE"""),8.0)</f>
        <v>8</v>
      </c>
      <c r="D631" s="17">
        <f>IFERROR(__xludf.DUMMYFUNCTION("""COMPUTED_VALUE"""),1.0)</f>
        <v>1</v>
      </c>
      <c r="E631" s="17">
        <f>IFERROR(__xludf.DUMMYFUNCTION("""COMPUTED_VALUE"""),1.0)</f>
        <v>1</v>
      </c>
      <c r="F631" s="17">
        <f>IFERROR(__xludf.DUMMYFUNCTION("""COMPUTED_VALUE"""),1.0)</f>
        <v>1</v>
      </c>
      <c r="G631" s="17">
        <f>IFERROR(__xludf.DUMMYFUNCTION("""COMPUTED_VALUE"""),0.0)</f>
        <v>0</v>
      </c>
      <c r="H631" s="17">
        <f>IFERROR(__xludf.DUMMYFUNCTION("""COMPUTED_VALUE"""),0.278)</f>
        <v>0.278</v>
      </c>
      <c r="I631" s="17">
        <f>IFERROR(__xludf.DUMMYFUNCTION("""COMPUTED_VALUE"""),0.328)</f>
        <v>0.328</v>
      </c>
      <c r="J631" s="17">
        <f>IFERROR(__xludf.DUMMYFUNCTION("""COMPUTED_VALUE"""),2.0)</f>
        <v>2</v>
      </c>
      <c r="K631" s="17">
        <f>IFERROR(__xludf.DUMMYFUNCTION("""COMPUTED_VALUE"""),1.0)</f>
        <v>1</v>
      </c>
      <c r="L631" s="17">
        <f>IFERROR(__xludf.DUMMYFUNCTION("""COMPUTED_VALUE"""),0.0)</f>
        <v>0</v>
      </c>
      <c r="M631" s="17">
        <f>IFERROR(__xludf.DUMMYFUNCTION("""COMPUTED_VALUE"""),1.0)</f>
        <v>1</v>
      </c>
      <c r="N631" s="17">
        <f>IFERROR(__xludf.DUMMYFUNCTION("""COMPUTED_VALUE"""),2.0)</f>
        <v>2</v>
      </c>
      <c r="O631" s="17">
        <f>IFERROR(__xludf.DUMMYFUNCTION("""COMPUTED_VALUE"""),0.551)</f>
        <v>0.551</v>
      </c>
      <c r="P631" s="17">
        <f>IFERROR(__xludf.DUMMYFUNCTION("""COMPUTED_VALUE"""),0.879)</f>
        <v>0.879</v>
      </c>
      <c r="Q631" s="34">
        <f>IFERROR(__xludf.DUMMYFUNCTION("""COMPUTED_VALUE"""),0.0)</f>
        <v>0</v>
      </c>
      <c r="R631" s="34">
        <f>IFERROR(__xludf.DUMMYFUNCTION("""COMPUTED_VALUE"""),0.0)</f>
        <v>0</v>
      </c>
      <c r="S631" s="34">
        <f>IFERROR(__xludf.DUMMYFUNCTION("""COMPUTED_VALUE"""),0.0)</f>
        <v>0</v>
      </c>
    </row>
    <row r="632">
      <c r="A632" s="17">
        <f>IFERROR(__xludf.DUMMYFUNCTION("""COMPUTED_VALUE"""),632.0)</f>
        <v>632</v>
      </c>
      <c r="B632" s="17" t="str">
        <f>IFERROR(__xludf.DUMMYFUNCTION("""COMPUTED_VALUE"""),"Elehuris Montero (1B,3B) FA")</f>
        <v>Elehuris Montero (1B,3B) FA</v>
      </c>
      <c r="C632" s="17">
        <f>IFERROR(__xludf.DUMMYFUNCTION("""COMPUTED_VALUE"""),8.0)</f>
        <v>8</v>
      </c>
      <c r="D632" s="17">
        <f>IFERROR(__xludf.DUMMYFUNCTION("""COMPUTED_VALUE"""),1.0)</f>
        <v>1</v>
      </c>
      <c r="E632" s="17">
        <f>IFERROR(__xludf.DUMMYFUNCTION("""COMPUTED_VALUE"""),1.0)</f>
        <v>1</v>
      </c>
      <c r="F632" s="17">
        <f>IFERROR(__xludf.DUMMYFUNCTION("""COMPUTED_VALUE"""),1.0)</f>
        <v>1</v>
      </c>
      <c r="G632" s="17">
        <f>IFERROR(__xludf.DUMMYFUNCTION("""COMPUTED_VALUE"""),0.0)</f>
        <v>0</v>
      </c>
      <c r="H632" s="17">
        <f>IFERROR(__xludf.DUMMYFUNCTION("""COMPUTED_VALUE"""),0.264)</f>
        <v>0.264</v>
      </c>
      <c r="I632" s="17">
        <f>IFERROR(__xludf.DUMMYFUNCTION("""COMPUTED_VALUE"""),0.311)</f>
        <v>0.311</v>
      </c>
      <c r="J632" s="17">
        <f>IFERROR(__xludf.DUMMYFUNCTION("""COMPUTED_VALUE"""),2.0)</f>
        <v>2</v>
      </c>
      <c r="K632" s="17">
        <f>IFERROR(__xludf.DUMMYFUNCTION("""COMPUTED_VALUE"""),1.0)</f>
        <v>1</v>
      </c>
      <c r="L632" s="17">
        <f>IFERROR(__xludf.DUMMYFUNCTION("""COMPUTED_VALUE"""),0.0)</f>
        <v>0</v>
      </c>
      <c r="M632" s="17">
        <f>IFERROR(__xludf.DUMMYFUNCTION("""COMPUTED_VALUE"""),1.0)</f>
        <v>1</v>
      </c>
      <c r="N632" s="17">
        <f>IFERROR(__xludf.DUMMYFUNCTION("""COMPUTED_VALUE"""),2.0)</f>
        <v>2</v>
      </c>
      <c r="O632" s="17">
        <f>IFERROR(__xludf.DUMMYFUNCTION("""COMPUTED_VALUE"""),0.52)</f>
        <v>0.52</v>
      </c>
      <c r="P632" s="17">
        <f>IFERROR(__xludf.DUMMYFUNCTION("""COMPUTED_VALUE"""),0.831)</f>
        <v>0.831</v>
      </c>
      <c r="Q632" s="34">
        <f>IFERROR(__xludf.DUMMYFUNCTION("""COMPUTED_VALUE"""),0.01)</f>
        <v>0.01</v>
      </c>
      <c r="R632" s="34">
        <f>IFERROR(__xludf.DUMMYFUNCTION("""COMPUTED_VALUE"""),0.01)</f>
        <v>0.01</v>
      </c>
      <c r="S632" s="34">
        <f>IFERROR(__xludf.DUMMYFUNCTION("""COMPUTED_VALUE"""),0.0)</f>
        <v>0</v>
      </c>
    </row>
    <row r="633">
      <c r="A633" s="17">
        <f>IFERROR(__xludf.DUMMYFUNCTION("""COMPUTED_VALUE"""),633.0)</f>
        <v>633</v>
      </c>
      <c r="B633" s="17" t="str">
        <f>IFERROR(__xludf.DUMMYFUNCTION("""COMPUTED_VALUE"""),"Mitch Haniger (RF) FA")</f>
        <v>Mitch Haniger (RF) FA</v>
      </c>
      <c r="C633" s="17">
        <f>IFERROR(__xludf.DUMMYFUNCTION("""COMPUTED_VALUE"""),8.0)</f>
        <v>8</v>
      </c>
      <c r="D633" s="17">
        <f>IFERROR(__xludf.DUMMYFUNCTION("""COMPUTED_VALUE"""),1.0)</f>
        <v>1</v>
      </c>
      <c r="E633" s="17">
        <f>IFERROR(__xludf.DUMMYFUNCTION("""COMPUTED_VALUE"""),1.0)</f>
        <v>1</v>
      </c>
      <c r="F633" s="17">
        <f>IFERROR(__xludf.DUMMYFUNCTION("""COMPUTED_VALUE"""),1.0)</f>
        <v>1</v>
      </c>
      <c r="G633" s="17">
        <f>IFERROR(__xludf.DUMMYFUNCTION("""COMPUTED_VALUE"""),0.0)</f>
        <v>0</v>
      </c>
      <c r="H633" s="17">
        <f>IFERROR(__xludf.DUMMYFUNCTION("""COMPUTED_VALUE"""),0.279)</f>
        <v>0.279</v>
      </c>
      <c r="I633" s="17">
        <f>IFERROR(__xludf.DUMMYFUNCTION("""COMPUTED_VALUE"""),0.329)</f>
        <v>0.329</v>
      </c>
      <c r="J633" s="17">
        <f>IFERROR(__xludf.DUMMYFUNCTION("""COMPUTED_VALUE"""),2.0)</f>
        <v>2</v>
      </c>
      <c r="K633" s="17">
        <f>IFERROR(__xludf.DUMMYFUNCTION("""COMPUTED_VALUE"""),1.0)</f>
        <v>1</v>
      </c>
      <c r="L633" s="17">
        <f>IFERROR(__xludf.DUMMYFUNCTION("""COMPUTED_VALUE"""),0.0)</f>
        <v>0</v>
      </c>
      <c r="M633" s="17">
        <f>IFERROR(__xludf.DUMMYFUNCTION("""COMPUTED_VALUE"""),1.0)</f>
        <v>1</v>
      </c>
      <c r="N633" s="17">
        <f>IFERROR(__xludf.DUMMYFUNCTION("""COMPUTED_VALUE"""),2.0)</f>
        <v>2</v>
      </c>
      <c r="O633" s="17">
        <f>IFERROR(__xludf.DUMMYFUNCTION("""COMPUTED_VALUE"""),0.551)</f>
        <v>0.551</v>
      </c>
      <c r="P633" s="17">
        <f>IFERROR(__xludf.DUMMYFUNCTION("""COMPUTED_VALUE"""),0.88)</f>
        <v>0.88</v>
      </c>
      <c r="Q633" s="34">
        <f>IFERROR(__xludf.DUMMYFUNCTION("""COMPUTED_VALUE"""),0.0)</f>
        <v>0</v>
      </c>
      <c r="R633" s="34">
        <f>IFERROR(__xludf.DUMMYFUNCTION("""COMPUTED_VALUE"""),0.0)</f>
        <v>0</v>
      </c>
      <c r="S633" s="34">
        <f>IFERROR(__xludf.DUMMYFUNCTION("""COMPUTED_VALUE"""),0.0)</f>
        <v>0</v>
      </c>
    </row>
    <row r="634">
      <c r="A634" s="17">
        <f>IFERROR(__xludf.DUMMYFUNCTION("""COMPUTED_VALUE"""),634.0)</f>
        <v>634</v>
      </c>
      <c r="B634" s="17" t="str">
        <f>IFERROR(__xludf.DUMMYFUNCTION("""COMPUTED_VALUE"""),"Nick Pratto (TEX - 1B) MiLB")</f>
        <v>Nick Pratto (TEX - 1B) MiLB</v>
      </c>
      <c r="C634" s="17">
        <f>IFERROR(__xludf.DUMMYFUNCTION("""COMPUTED_VALUE"""),8.0)</f>
        <v>8</v>
      </c>
      <c r="D634" s="17">
        <f>IFERROR(__xludf.DUMMYFUNCTION("""COMPUTED_VALUE"""),1.0)</f>
        <v>1</v>
      </c>
      <c r="E634" s="17">
        <f>IFERROR(__xludf.DUMMYFUNCTION("""COMPUTED_VALUE"""),1.0)</f>
        <v>1</v>
      </c>
      <c r="F634" s="17">
        <f>IFERROR(__xludf.DUMMYFUNCTION("""COMPUTED_VALUE"""),1.0)</f>
        <v>1</v>
      </c>
      <c r="G634" s="17">
        <f>IFERROR(__xludf.DUMMYFUNCTION("""COMPUTED_VALUE"""),0.0)</f>
        <v>0</v>
      </c>
      <c r="H634" s="17">
        <f>IFERROR(__xludf.DUMMYFUNCTION("""COMPUTED_VALUE"""),0.261)</f>
        <v>0.261</v>
      </c>
      <c r="I634" s="17">
        <f>IFERROR(__xludf.DUMMYFUNCTION("""COMPUTED_VALUE"""),0.346)</f>
        <v>0.346</v>
      </c>
      <c r="J634" s="17">
        <f>IFERROR(__xludf.DUMMYFUNCTION("""COMPUTED_VALUE"""),2.0)</f>
        <v>2</v>
      </c>
      <c r="K634" s="17">
        <f>IFERROR(__xludf.DUMMYFUNCTION("""COMPUTED_VALUE"""),1.0)</f>
        <v>1</v>
      </c>
      <c r="L634" s="17">
        <f>IFERROR(__xludf.DUMMYFUNCTION("""COMPUTED_VALUE"""),0.0)</f>
        <v>0</v>
      </c>
      <c r="M634" s="17">
        <f>IFERROR(__xludf.DUMMYFUNCTION("""COMPUTED_VALUE"""),1.0)</f>
        <v>1</v>
      </c>
      <c r="N634" s="17">
        <f>IFERROR(__xludf.DUMMYFUNCTION("""COMPUTED_VALUE"""),3.0)</f>
        <v>3</v>
      </c>
      <c r="O634" s="17">
        <f>IFERROR(__xludf.DUMMYFUNCTION("""COMPUTED_VALUE"""),0.517)</f>
        <v>0.517</v>
      </c>
      <c r="P634" s="17">
        <f>IFERROR(__xludf.DUMMYFUNCTION("""COMPUTED_VALUE"""),0.863)</f>
        <v>0.863</v>
      </c>
      <c r="Q634" s="34">
        <f>IFERROR(__xludf.DUMMYFUNCTION("""COMPUTED_VALUE"""),0.0)</f>
        <v>0</v>
      </c>
      <c r="R634" s="34">
        <f>IFERROR(__xludf.DUMMYFUNCTION("""COMPUTED_VALUE"""),0.0)</f>
        <v>0</v>
      </c>
      <c r="S634" s="34">
        <f>IFERROR(__xludf.DUMMYFUNCTION("""COMPUTED_VALUE"""),0.0)</f>
        <v>0</v>
      </c>
    </row>
    <row r="635">
      <c r="A635" s="17">
        <f>IFERROR(__xludf.DUMMYFUNCTION("""COMPUTED_VALUE"""),635.0)</f>
        <v>635</v>
      </c>
      <c r="B635" s="17" t="str">
        <f>IFERROR(__xludf.DUMMYFUNCTION("""COMPUTED_VALUE"""),"Mike Ford (1B,DH) FA")</f>
        <v>Mike Ford (1B,DH) FA</v>
      </c>
      <c r="C635" s="17">
        <f>IFERROR(__xludf.DUMMYFUNCTION("""COMPUTED_VALUE"""),8.0)</f>
        <v>8</v>
      </c>
      <c r="D635" s="17">
        <f>IFERROR(__xludf.DUMMYFUNCTION("""COMPUTED_VALUE"""),1.0)</f>
        <v>1</v>
      </c>
      <c r="E635" s="17">
        <f>IFERROR(__xludf.DUMMYFUNCTION("""COMPUTED_VALUE"""),1.0)</f>
        <v>1</v>
      </c>
      <c r="F635" s="17">
        <f>IFERROR(__xludf.DUMMYFUNCTION("""COMPUTED_VALUE"""),1.0)</f>
        <v>1</v>
      </c>
      <c r="G635" s="17">
        <f>IFERROR(__xludf.DUMMYFUNCTION("""COMPUTED_VALUE"""),0.0)</f>
        <v>0</v>
      </c>
      <c r="H635" s="17">
        <f>IFERROR(__xludf.DUMMYFUNCTION("""COMPUTED_VALUE"""),0.278)</f>
        <v>0.278</v>
      </c>
      <c r="I635" s="17">
        <f>IFERROR(__xludf.DUMMYFUNCTION("""COMPUTED_VALUE"""),0.329)</f>
        <v>0.329</v>
      </c>
      <c r="J635" s="17">
        <f>IFERROR(__xludf.DUMMYFUNCTION("""COMPUTED_VALUE"""),2.0)</f>
        <v>2</v>
      </c>
      <c r="K635" s="17">
        <f>IFERROR(__xludf.DUMMYFUNCTION("""COMPUTED_VALUE"""),1.0)</f>
        <v>1</v>
      </c>
      <c r="L635" s="17">
        <f>IFERROR(__xludf.DUMMYFUNCTION("""COMPUTED_VALUE"""),0.0)</f>
        <v>0</v>
      </c>
      <c r="M635" s="17">
        <f>IFERROR(__xludf.DUMMYFUNCTION("""COMPUTED_VALUE"""),1.0)</f>
        <v>1</v>
      </c>
      <c r="N635" s="17">
        <f>IFERROR(__xludf.DUMMYFUNCTION("""COMPUTED_VALUE"""),2.0)</f>
        <v>2</v>
      </c>
      <c r="O635" s="17">
        <f>IFERROR(__xludf.DUMMYFUNCTION("""COMPUTED_VALUE"""),0.55)</f>
        <v>0.55</v>
      </c>
      <c r="P635" s="17">
        <f>IFERROR(__xludf.DUMMYFUNCTION("""COMPUTED_VALUE"""),0.879)</f>
        <v>0.879</v>
      </c>
      <c r="Q635" s="34">
        <f>IFERROR(__xludf.DUMMYFUNCTION("""COMPUTED_VALUE"""),0.0)</f>
        <v>0</v>
      </c>
      <c r="R635" s="34">
        <f>IFERROR(__xludf.DUMMYFUNCTION("""COMPUTED_VALUE"""),0.0)</f>
        <v>0</v>
      </c>
      <c r="S635" s="34">
        <f>IFERROR(__xludf.DUMMYFUNCTION("""COMPUTED_VALUE"""),0.0)</f>
        <v>0</v>
      </c>
    </row>
    <row r="636">
      <c r="A636" s="17">
        <f>IFERROR(__xludf.DUMMYFUNCTION("""COMPUTED_VALUE"""),636.0)</f>
        <v>636</v>
      </c>
      <c r="B636" s="17" t="str">
        <f>IFERROR(__xludf.DUMMYFUNCTION("""COMPUTED_VALUE"""),"Sam Hilliard (LF,CF,RF) FA")</f>
        <v>Sam Hilliard (LF,CF,RF) FA</v>
      </c>
      <c r="C636" s="17">
        <f>IFERROR(__xludf.DUMMYFUNCTION("""COMPUTED_VALUE"""),8.0)</f>
        <v>8</v>
      </c>
      <c r="D636" s="17">
        <f>IFERROR(__xludf.DUMMYFUNCTION("""COMPUTED_VALUE"""),1.0)</f>
        <v>1</v>
      </c>
      <c r="E636" s="17">
        <f>IFERROR(__xludf.DUMMYFUNCTION("""COMPUTED_VALUE"""),1.0)</f>
        <v>1</v>
      </c>
      <c r="F636" s="17">
        <f>IFERROR(__xludf.DUMMYFUNCTION("""COMPUTED_VALUE"""),1.0)</f>
        <v>1</v>
      </c>
      <c r="G636" s="17">
        <f>IFERROR(__xludf.DUMMYFUNCTION("""COMPUTED_VALUE"""),0.0)</f>
        <v>0</v>
      </c>
      <c r="H636" s="17">
        <f>IFERROR(__xludf.DUMMYFUNCTION("""COMPUTED_VALUE"""),0.28)</f>
        <v>0.28</v>
      </c>
      <c r="I636" s="17">
        <f>IFERROR(__xludf.DUMMYFUNCTION("""COMPUTED_VALUE"""),0.33)</f>
        <v>0.33</v>
      </c>
      <c r="J636" s="17">
        <f>IFERROR(__xludf.DUMMYFUNCTION("""COMPUTED_VALUE"""),2.0)</f>
        <v>2</v>
      </c>
      <c r="K636" s="17">
        <f>IFERROR(__xludf.DUMMYFUNCTION("""COMPUTED_VALUE"""),1.0)</f>
        <v>1</v>
      </c>
      <c r="L636" s="17">
        <f>IFERROR(__xludf.DUMMYFUNCTION("""COMPUTED_VALUE"""),0.0)</f>
        <v>0</v>
      </c>
      <c r="M636" s="17">
        <f>IFERROR(__xludf.DUMMYFUNCTION("""COMPUTED_VALUE"""),1.0)</f>
        <v>1</v>
      </c>
      <c r="N636" s="17">
        <f>IFERROR(__xludf.DUMMYFUNCTION("""COMPUTED_VALUE"""),3.0)</f>
        <v>3</v>
      </c>
      <c r="O636" s="17">
        <f>IFERROR(__xludf.DUMMYFUNCTION("""COMPUTED_VALUE"""),0.555)</f>
        <v>0.555</v>
      </c>
      <c r="P636" s="17">
        <f>IFERROR(__xludf.DUMMYFUNCTION("""COMPUTED_VALUE"""),0.885)</f>
        <v>0.885</v>
      </c>
      <c r="Q636" s="34">
        <f>IFERROR(__xludf.DUMMYFUNCTION("""COMPUTED_VALUE"""),0.0)</f>
        <v>0</v>
      </c>
      <c r="R636" s="34">
        <f>IFERROR(__xludf.DUMMYFUNCTION("""COMPUTED_VALUE"""),0.0)</f>
        <v>0</v>
      </c>
      <c r="S636" s="34">
        <f>IFERROR(__xludf.DUMMYFUNCTION("""COMPUTED_VALUE"""),0.0)</f>
        <v>0</v>
      </c>
    </row>
    <row r="637">
      <c r="A637" s="17">
        <f>IFERROR(__xludf.DUMMYFUNCTION("""COMPUTED_VALUE"""),637.0)</f>
        <v>637</v>
      </c>
      <c r="B637" s="17" t="str">
        <f>IFERROR(__xludf.DUMMYFUNCTION("""COMPUTED_VALUE"""),"Marco Luciano (NYY - 2B,SS) MiLB")</f>
        <v>Marco Luciano (NYY - 2B,SS) MiLB</v>
      </c>
      <c r="C637" s="17">
        <f>IFERROR(__xludf.DUMMYFUNCTION("""COMPUTED_VALUE"""),8.0)</f>
        <v>8</v>
      </c>
      <c r="D637" s="17">
        <f>IFERROR(__xludf.DUMMYFUNCTION("""COMPUTED_VALUE"""),1.0)</f>
        <v>1</v>
      </c>
      <c r="E637" s="17">
        <f>IFERROR(__xludf.DUMMYFUNCTION("""COMPUTED_VALUE"""),1.0)</f>
        <v>1</v>
      </c>
      <c r="F637" s="17">
        <f>IFERROR(__xludf.DUMMYFUNCTION("""COMPUTED_VALUE"""),1.0)</f>
        <v>1</v>
      </c>
      <c r="G637" s="17">
        <f>IFERROR(__xludf.DUMMYFUNCTION("""COMPUTED_VALUE"""),0.0)</f>
        <v>0</v>
      </c>
      <c r="H637" s="17">
        <f>IFERROR(__xludf.DUMMYFUNCTION("""COMPUTED_VALUE"""),0.26)</f>
        <v>0.26</v>
      </c>
      <c r="I637" s="17">
        <f>IFERROR(__xludf.DUMMYFUNCTION("""COMPUTED_VALUE"""),0.346)</f>
        <v>0.346</v>
      </c>
      <c r="J637" s="17">
        <f>IFERROR(__xludf.DUMMYFUNCTION("""COMPUTED_VALUE"""),2.0)</f>
        <v>2</v>
      </c>
      <c r="K637" s="17">
        <f>IFERROR(__xludf.DUMMYFUNCTION("""COMPUTED_VALUE"""),1.0)</f>
        <v>1</v>
      </c>
      <c r="L637" s="17">
        <f>IFERROR(__xludf.DUMMYFUNCTION("""COMPUTED_VALUE"""),0.0)</f>
        <v>0</v>
      </c>
      <c r="M637" s="17">
        <f>IFERROR(__xludf.DUMMYFUNCTION("""COMPUTED_VALUE"""),1.0)</f>
        <v>1</v>
      </c>
      <c r="N637" s="17">
        <f>IFERROR(__xludf.DUMMYFUNCTION("""COMPUTED_VALUE"""),3.0)</f>
        <v>3</v>
      </c>
      <c r="O637" s="17">
        <f>IFERROR(__xludf.DUMMYFUNCTION("""COMPUTED_VALUE"""),0.514)</f>
        <v>0.514</v>
      </c>
      <c r="P637" s="17">
        <f>IFERROR(__xludf.DUMMYFUNCTION("""COMPUTED_VALUE"""),0.86)</f>
        <v>0.86</v>
      </c>
      <c r="Q637" s="34">
        <f>IFERROR(__xludf.DUMMYFUNCTION("""COMPUTED_VALUE"""),0.0)</f>
        <v>0</v>
      </c>
      <c r="R637" s="34">
        <f>IFERROR(__xludf.DUMMYFUNCTION("""COMPUTED_VALUE"""),0.0)</f>
        <v>0</v>
      </c>
      <c r="S637" s="34">
        <f>IFERROR(__xludf.DUMMYFUNCTION("""COMPUTED_VALUE"""),0.0)</f>
        <v>0</v>
      </c>
    </row>
    <row r="638">
      <c r="A638" s="17">
        <f>IFERROR(__xludf.DUMMYFUNCTION("""COMPUTED_VALUE"""),638.0)</f>
        <v>638</v>
      </c>
      <c r="B638" s="17" t="str">
        <f>IFERROR(__xludf.DUMMYFUNCTION("""COMPUTED_VALUE"""),"Bobby Dalbec (1B,3B) FA")</f>
        <v>Bobby Dalbec (1B,3B) FA</v>
      </c>
      <c r="C638" s="17">
        <f>IFERROR(__xludf.DUMMYFUNCTION("""COMPUTED_VALUE"""),8.0)</f>
        <v>8</v>
      </c>
      <c r="D638" s="17">
        <f>IFERROR(__xludf.DUMMYFUNCTION("""COMPUTED_VALUE"""),1.0)</f>
        <v>1</v>
      </c>
      <c r="E638" s="17">
        <f>IFERROR(__xludf.DUMMYFUNCTION("""COMPUTED_VALUE"""),1.0)</f>
        <v>1</v>
      </c>
      <c r="F638" s="17">
        <f>IFERROR(__xludf.DUMMYFUNCTION("""COMPUTED_VALUE"""),1.0)</f>
        <v>1</v>
      </c>
      <c r="G638" s="17">
        <f>IFERROR(__xludf.DUMMYFUNCTION("""COMPUTED_VALUE"""),0.0)</f>
        <v>0</v>
      </c>
      <c r="H638" s="17">
        <f>IFERROR(__xludf.DUMMYFUNCTION("""COMPUTED_VALUE"""),0.277)</f>
        <v>0.277</v>
      </c>
      <c r="I638" s="17">
        <f>IFERROR(__xludf.DUMMYFUNCTION("""COMPUTED_VALUE"""),0.326)</f>
        <v>0.326</v>
      </c>
      <c r="J638" s="17">
        <f>IFERROR(__xludf.DUMMYFUNCTION("""COMPUTED_VALUE"""),2.0)</f>
        <v>2</v>
      </c>
      <c r="K638" s="17">
        <f>IFERROR(__xludf.DUMMYFUNCTION("""COMPUTED_VALUE"""),1.0)</f>
        <v>1</v>
      </c>
      <c r="L638" s="17">
        <f>IFERROR(__xludf.DUMMYFUNCTION("""COMPUTED_VALUE"""),0.0)</f>
        <v>0</v>
      </c>
      <c r="M638" s="17">
        <f>IFERROR(__xludf.DUMMYFUNCTION("""COMPUTED_VALUE"""),1.0)</f>
        <v>1</v>
      </c>
      <c r="N638" s="17">
        <f>IFERROR(__xludf.DUMMYFUNCTION("""COMPUTED_VALUE"""),3.0)</f>
        <v>3</v>
      </c>
      <c r="O638" s="17">
        <f>IFERROR(__xludf.DUMMYFUNCTION("""COMPUTED_VALUE"""),0.549)</f>
        <v>0.549</v>
      </c>
      <c r="P638" s="17">
        <f>IFERROR(__xludf.DUMMYFUNCTION("""COMPUTED_VALUE"""),0.875)</f>
        <v>0.875</v>
      </c>
      <c r="Q638" s="34">
        <f>IFERROR(__xludf.DUMMYFUNCTION("""COMPUTED_VALUE"""),0.0)</f>
        <v>0</v>
      </c>
      <c r="R638" s="34">
        <f>IFERROR(__xludf.DUMMYFUNCTION("""COMPUTED_VALUE"""),0.0)</f>
        <v>0</v>
      </c>
      <c r="S638" s="34">
        <f>IFERROR(__xludf.DUMMYFUNCTION("""COMPUTED_VALUE"""),0.0)</f>
        <v>0</v>
      </c>
    </row>
    <row r="639">
      <c r="A639" s="17">
        <f>IFERROR(__xludf.DUMMYFUNCTION("""COMPUTED_VALUE"""),639.0)</f>
        <v>639</v>
      </c>
      <c r="B639" s="17" t="str">
        <f>IFERROR(__xludf.DUMMYFUNCTION("""COMPUTED_VALUE"""),"Austin Shenton (1B) FA")</f>
        <v>Austin Shenton (1B) FA</v>
      </c>
      <c r="C639" s="17">
        <f>IFERROR(__xludf.DUMMYFUNCTION("""COMPUTED_VALUE"""),8.0)</f>
        <v>8</v>
      </c>
      <c r="D639" s="17">
        <f>IFERROR(__xludf.DUMMYFUNCTION("""COMPUTED_VALUE"""),1.0)</f>
        <v>1</v>
      </c>
      <c r="E639" s="17">
        <f>IFERROR(__xludf.DUMMYFUNCTION("""COMPUTED_VALUE"""),1.0)</f>
        <v>1</v>
      </c>
      <c r="F639" s="17">
        <f>IFERROR(__xludf.DUMMYFUNCTION("""COMPUTED_VALUE"""),1.0)</f>
        <v>1</v>
      </c>
      <c r="G639" s="17">
        <f>IFERROR(__xludf.DUMMYFUNCTION("""COMPUTED_VALUE"""),0.0)</f>
        <v>0</v>
      </c>
      <c r="H639" s="17">
        <f>IFERROR(__xludf.DUMMYFUNCTION("""COMPUTED_VALUE"""),0.279)</f>
        <v>0.279</v>
      </c>
      <c r="I639" s="17">
        <f>IFERROR(__xludf.DUMMYFUNCTION("""COMPUTED_VALUE"""),0.368)</f>
        <v>0.368</v>
      </c>
      <c r="J639" s="17">
        <f>IFERROR(__xludf.DUMMYFUNCTION("""COMPUTED_VALUE"""),2.0)</f>
        <v>2</v>
      </c>
      <c r="K639" s="17">
        <f>IFERROR(__xludf.DUMMYFUNCTION("""COMPUTED_VALUE"""),1.0)</f>
        <v>1</v>
      </c>
      <c r="L639" s="17">
        <f>IFERROR(__xludf.DUMMYFUNCTION("""COMPUTED_VALUE"""),0.0)</f>
        <v>0</v>
      </c>
      <c r="M639" s="17">
        <f>IFERROR(__xludf.DUMMYFUNCTION("""COMPUTED_VALUE"""),1.0)</f>
        <v>1</v>
      </c>
      <c r="N639" s="17">
        <f>IFERROR(__xludf.DUMMYFUNCTION("""COMPUTED_VALUE"""),3.0)</f>
        <v>3</v>
      </c>
      <c r="O639" s="17">
        <f>IFERROR(__xludf.DUMMYFUNCTION("""COMPUTED_VALUE"""),0.552)</f>
        <v>0.552</v>
      </c>
      <c r="P639" s="17">
        <f>IFERROR(__xludf.DUMMYFUNCTION("""COMPUTED_VALUE"""),0.919)</f>
        <v>0.919</v>
      </c>
      <c r="Q639" s="34">
        <f>IFERROR(__xludf.DUMMYFUNCTION("""COMPUTED_VALUE"""),0.0)</f>
        <v>0</v>
      </c>
      <c r="R639" s="34">
        <f>IFERROR(__xludf.DUMMYFUNCTION("""COMPUTED_VALUE"""),0.0)</f>
        <v>0</v>
      </c>
      <c r="S639" s="34">
        <f>IFERROR(__xludf.DUMMYFUNCTION("""COMPUTED_VALUE"""),0.0)</f>
        <v>0</v>
      </c>
    </row>
    <row r="640">
      <c r="A640" s="17">
        <f>IFERROR(__xludf.DUMMYFUNCTION("""COMPUTED_VALUE"""),640.0)</f>
        <v>640</v>
      </c>
      <c r="B640" s="17" t="str">
        <f>IFERROR(__xludf.DUMMYFUNCTION("""COMPUTED_VALUE"""),"Ryan Noda (BAL - 1B) MiLB")</f>
        <v>Ryan Noda (BAL - 1B) MiLB</v>
      </c>
      <c r="C640" s="17">
        <f>IFERROR(__xludf.DUMMYFUNCTION("""COMPUTED_VALUE"""),8.0)</f>
        <v>8</v>
      </c>
      <c r="D640" s="17">
        <f>IFERROR(__xludf.DUMMYFUNCTION("""COMPUTED_VALUE"""),1.0)</f>
        <v>1</v>
      </c>
      <c r="E640" s="17">
        <f>IFERROR(__xludf.DUMMYFUNCTION("""COMPUTED_VALUE"""),1.0)</f>
        <v>1</v>
      </c>
      <c r="F640" s="17">
        <f>IFERROR(__xludf.DUMMYFUNCTION("""COMPUTED_VALUE"""),1.0)</f>
        <v>1</v>
      </c>
      <c r="G640" s="17">
        <f>IFERROR(__xludf.DUMMYFUNCTION("""COMPUTED_VALUE"""),0.0)</f>
        <v>0</v>
      </c>
      <c r="H640" s="17">
        <f>IFERROR(__xludf.DUMMYFUNCTION("""COMPUTED_VALUE"""),0.275)</f>
        <v>0.275</v>
      </c>
      <c r="I640" s="17">
        <f>IFERROR(__xludf.DUMMYFUNCTION("""COMPUTED_VALUE"""),0.402)</f>
        <v>0.402</v>
      </c>
      <c r="J640" s="17">
        <f>IFERROR(__xludf.DUMMYFUNCTION("""COMPUTED_VALUE"""),2.0)</f>
        <v>2</v>
      </c>
      <c r="K640" s="17">
        <f>IFERROR(__xludf.DUMMYFUNCTION("""COMPUTED_VALUE"""),1.0)</f>
        <v>1</v>
      </c>
      <c r="L640" s="17">
        <f>IFERROR(__xludf.DUMMYFUNCTION("""COMPUTED_VALUE"""),0.0)</f>
        <v>0</v>
      </c>
      <c r="M640" s="17">
        <f>IFERROR(__xludf.DUMMYFUNCTION("""COMPUTED_VALUE"""),2.0)</f>
        <v>2</v>
      </c>
      <c r="N640" s="17">
        <f>IFERROR(__xludf.DUMMYFUNCTION("""COMPUTED_VALUE"""),3.0)</f>
        <v>3</v>
      </c>
      <c r="O640" s="17">
        <f>IFERROR(__xludf.DUMMYFUNCTION("""COMPUTED_VALUE"""),0.547)</f>
        <v>0.547</v>
      </c>
      <c r="P640" s="17">
        <f>IFERROR(__xludf.DUMMYFUNCTION("""COMPUTED_VALUE"""),0.949)</f>
        <v>0.949</v>
      </c>
      <c r="Q640" s="34">
        <f>IFERROR(__xludf.DUMMYFUNCTION("""COMPUTED_VALUE"""),0.0)</f>
        <v>0</v>
      </c>
      <c r="R640" s="34">
        <f>IFERROR(__xludf.DUMMYFUNCTION("""COMPUTED_VALUE"""),0.0)</f>
        <v>0</v>
      </c>
      <c r="S640" s="34">
        <f>IFERROR(__xludf.DUMMYFUNCTION("""COMPUTED_VALUE"""),0.0)</f>
        <v>0</v>
      </c>
    </row>
    <row r="641">
      <c r="A641" s="17">
        <f>IFERROR(__xludf.DUMMYFUNCTION("""COMPUTED_VALUE"""),641.0)</f>
        <v>641</v>
      </c>
      <c r="B641" s="17" t="str">
        <f>IFERROR(__xludf.DUMMYFUNCTION("""COMPUTED_VALUE"""),"Jud Fabian (BAL - LF,CF) MiLB")</f>
        <v>Jud Fabian (BAL - LF,CF) MiLB</v>
      </c>
      <c r="C641" s="17">
        <f>IFERROR(__xludf.DUMMYFUNCTION("""COMPUTED_VALUE"""),8.0)</f>
        <v>8</v>
      </c>
      <c r="D641" s="17">
        <f>IFERROR(__xludf.DUMMYFUNCTION("""COMPUTED_VALUE"""),1.0)</f>
        <v>1</v>
      </c>
      <c r="E641" s="17">
        <f>IFERROR(__xludf.DUMMYFUNCTION("""COMPUTED_VALUE"""),1.0)</f>
        <v>1</v>
      </c>
      <c r="F641" s="17">
        <f>IFERROR(__xludf.DUMMYFUNCTION("""COMPUTED_VALUE"""),1.0)</f>
        <v>1</v>
      </c>
      <c r="G641" s="17">
        <f>IFERROR(__xludf.DUMMYFUNCTION("""COMPUTED_VALUE"""),0.0)</f>
        <v>0</v>
      </c>
      <c r="H641" s="17">
        <f>IFERROR(__xludf.DUMMYFUNCTION("""COMPUTED_VALUE"""),0.259)</f>
        <v>0.259</v>
      </c>
      <c r="I641" s="17">
        <f>IFERROR(__xludf.DUMMYFUNCTION("""COMPUTED_VALUE"""),0.345)</f>
        <v>0.345</v>
      </c>
      <c r="J641" s="17">
        <f>IFERROR(__xludf.DUMMYFUNCTION("""COMPUTED_VALUE"""),2.0)</f>
        <v>2</v>
      </c>
      <c r="K641" s="17">
        <f>IFERROR(__xludf.DUMMYFUNCTION("""COMPUTED_VALUE"""),1.0)</f>
        <v>1</v>
      </c>
      <c r="L641" s="17">
        <f>IFERROR(__xludf.DUMMYFUNCTION("""COMPUTED_VALUE"""),0.0)</f>
        <v>0</v>
      </c>
      <c r="M641" s="17">
        <f>IFERROR(__xludf.DUMMYFUNCTION("""COMPUTED_VALUE"""),1.0)</f>
        <v>1</v>
      </c>
      <c r="N641" s="17">
        <f>IFERROR(__xludf.DUMMYFUNCTION("""COMPUTED_VALUE"""),3.0)</f>
        <v>3</v>
      </c>
      <c r="O641" s="17">
        <f>IFERROR(__xludf.DUMMYFUNCTION("""COMPUTED_VALUE"""),0.512)</f>
        <v>0.512</v>
      </c>
      <c r="P641" s="17">
        <f>IFERROR(__xludf.DUMMYFUNCTION("""COMPUTED_VALUE"""),0.858)</f>
        <v>0.858</v>
      </c>
      <c r="Q641" s="34">
        <f>IFERROR(__xludf.DUMMYFUNCTION("""COMPUTED_VALUE"""),0.0)</f>
        <v>0</v>
      </c>
      <c r="R641" s="34">
        <f>IFERROR(__xludf.DUMMYFUNCTION("""COMPUTED_VALUE"""),0.0)</f>
        <v>0</v>
      </c>
      <c r="S641" s="34">
        <f>IFERROR(__xludf.DUMMYFUNCTION("""COMPUTED_VALUE"""),0.0)</f>
        <v>0</v>
      </c>
    </row>
    <row r="642">
      <c r="A642" s="17">
        <f>IFERROR(__xludf.DUMMYFUNCTION("""COMPUTED_VALUE"""),642.0)</f>
        <v>642</v>
      </c>
      <c r="B642" s="17" t="str">
        <f>IFERROR(__xludf.DUMMYFUNCTION("""COMPUTED_VALUE"""),"Patrick Wisdom (SEA - 1B) IL10")</f>
        <v>Patrick Wisdom (SEA - 1B) IL10</v>
      </c>
      <c r="C642" s="17">
        <f>IFERROR(__xludf.DUMMYFUNCTION("""COMPUTED_VALUE"""),13.0)</f>
        <v>13</v>
      </c>
      <c r="D642" s="17">
        <f>IFERROR(__xludf.DUMMYFUNCTION("""COMPUTED_VALUE"""),2.0)</f>
        <v>2</v>
      </c>
      <c r="E642" s="17">
        <f>IFERROR(__xludf.DUMMYFUNCTION("""COMPUTED_VALUE"""),1.0)</f>
        <v>1</v>
      </c>
      <c r="F642" s="17">
        <f>IFERROR(__xludf.DUMMYFUNCTION("""COMPUTED_VALUE"""),2.0)</f>
        <v>2</v>
      </c>
      <c r="G642" s="17">
        <f>IFERROR(__xludf.DUMMYFUNCTION("""COMPUTED_VALUE"""),0.0)</f>
        <v>0</v>
      </c>
      <c r="H642" s="17">
        <f>IFERROR(__xludf.DUMMYFUNCTION("""COMPUTED_VALUE"""),0.171)</f>
        <v>0.171</v>
      </c>
      <c r="I642" s="17">
        <f>IFERROR(__xludf.DUMMYFUNCTION("""COMPUTED_VALUE"""),0.248)</f>
        <v>0.248</v>
      </c>
      <c r="J642" s="17">
        <f>IFERROR(__xludf.DUMMYFUNCTION("""COMPUTED_VALUE"""),2.0)</f>
        <v>2</v>
      </c>
      <c r="K642" s="17">
        <f>IFERROR(__xludf.DUMMYFUNCTION("""COMPUTED_VALUE"""),0.0)</f>
        <v>0</v>
      </c>
      <c r="L642" s="17">
        <f>IFERROR(__xludf.DUMMYFUNCTION("""COMPUTED_VALUE"""),0.0)</f>
        <v>0</v>
      </c>
      <c r="M642" s="17">
        <f>IFERROR(__xludf.DUMMYFUNCTION("""COMPUTED_VALUE"""),1.0)</f>
        <v>1</v>
      </c>
      <c r="N642" s="17">
        <f>IFERROR(__xludf.DUMMYFUNCTION("""COMPUTED_VALUE"""),5.0)</f>
        <v>5</v>
      </c>
      <c r="O642" s="17">
        <f>IFERROR(__xludf.DUMMYFUNCTION("""COMPUTED_VALUE"""),0.347)</f>
        <v>0.347</v>
      </c>
      <c r="P642" s="17">
        <f>IFERROR(__xludf.DUMMYFUNCTION("""COMPUTED_VALUE"""),0.595)</f>
        <v>0.595</v>
      </c>
      <c r="Q642" s="34">
        <f>IFERROR(__xludf.DUMMYFUNCTION("""COMPUTED_VALUE"""),0.0)</f>
        <v>0</v>
      </c>
      <c r="R642" s="34">
        <f>IFERROR(__xludf.DUMMYFUNCTION("""COMPUTED_VALUE"""),0.0)</f>
        <v>0</v>
      </c>
      <c r="S642" s="34">
        <f>IFERROR(__xludf.DUMMYFUNCTION("""COMPUTED_VALUE"""),0.0)</f>
        <v>0</v>
      </c>
    </row>
    <row r="643">
      <c r="A643" s="17">
        <f>IFERROR(__xludf.DUMMYFUNCTION("""COMPUTED_VALUE"""),643.0)</f>
        <v>643</v>
      </c>
      <c r="B643" s="17" t="str">
        <f>IFERROR(__xludf.DUMMYFUNCTION("""COMPUTED_VALUE"""),"Will Banfield (CIN - C) MiLB")</f>
        <v>Will Banfield (CIN - C) MiLB</v>
      </c>
      <c r="C643" s="17">
        <f>IFERROR(__xludf.DUMMYFUNCTION("""COMPUTED_VALUE"""),17.0)</f>
        <v>17</v>
      </c>
      <c r="D643" s="17">
        <f>IFERROR(__xludf.DUMMYFUNCTION("""COMPUTED_VALUE"""),2.0)</f>
        <v>2</v>
      </c>
      <c r="E643" s="17">
        <f>IFERROR(__xludf.DUMMYFUNCTION("""COMPUTED_VALUE"""),1.0)</f>
        <v>1</v>
      </c>
      <c r="F643" s="17">
        <f>IFERROR(__xludf.DUMMYFUNCTION("""COMPUTED_VALUE"""),2.0)</f>
        <v>2</v>
      </c>
      <c r="G643" s="17">
        <f>IFERROR(__xludf.DUMMYFUNCTION("""COMPUTED_VALUE"""),0.0)</f>
        <v>0</v>
      </c>
      <c r="H643" s="17">
        <f>IFERROR(__xludf.DUMMYFUNCTION("""COMPUTED_VALUE"""),0.188)</f>
        <v>0.188</v>
      </c>
      <c r="I643" s="17">
        <f>IFERROR(__xludf.DUMMYFUNCTION("""COMPUTED_VALUE"""),0.236)</f>
        <v>0.236</v>
      </c>
      <c r="J643" s="17">
        <f>IFERROR(__xludf.DUMMYFUNCTION("""COMPUTED_VALUE"""),3.0)</f>
        <v>3</v>
      </c>
      <c r="K643" s="17">
        <f>IFERROR(__xludf.DUMMYFUNCTION("""COMPUTED_VALUE"""),1.0)</f>
        <v>1</v>
      </c>
      <c r="L643" s="17">
        <f>IFERROR(__xludf.DUMMYFUNCTION("""COMPUTED_VALUE"""),0.0)</f>
        <v>0</v>
      </c>
      <c r="M643" s="17">
        <f>IFERROR(__xludf.DUMMYFUNCTION("""COMPUTED_VALUE"""),1.0)</f>
        <v>1</v>
      </c>
      <c r="N643" s="17">
        <f>IFERROR(__xludf.DUMMYFUNCTION("""COMPUTED_VALUE"""),5.0)</f>
        <v>5</v>
      </c>
      <c r="O643" s="17">
        <f>IFERROR(__xludf.DUMMYFUNCTION("""COMPUTED_VALUE"""),0.313)</f>
        <v>0.313</v>
      </c>
      <c r="P643" s="17">
        <f>IFERROR(__xludf.DUMMYFUNCTION("""COMPUTED_VALUE"""),0.548)</f>
        <v>0.548</v>
      </c>
      <c r="Q643" s="34">
        <f>IFERROR(__xludf.DUMMYFUNCTION("""COMPUTED_VALUE"""),0.0)</f>
        <v>0</v>
      </c>
      <c r="R643" s="34">
        <f>IFERROR(__xludf.DUMMYFUNCTION("""COMPUTED_VALUE"""),0.0)</f>
        <v>0</v>
      </c>
      <c r="S643" s="34">
        <f>IFERROR(__xludf.DUMMYFUNCTION("""COMPUTED_VALUE"""),0.0)</f>
        <v>0</v>
      </c>
    </row>
    <row r="644">
      <c r="A644" s="17">
        <f>IFERROR(__xludf.DUMMYFUNCTION("""COMPUTED_VALUE"""),644.0)</f>
        <v>644</v>
      </c>
      <c r="B644" s="17" t="str">
        <f>IFERROR(__xludf.DUMMYFUNCTION("""COMPUTED_VALUE"""),"Kyle McCann (COL - C) MiLB")</f>
        <v>Kyle McCann (COL - C) MiLB</v>
      </c>
      <c r="C644" s="17">
        <f>IFERROR(__xludf.DUMMYFUNCTION("""COMPUTED_VALUE"""),17.0)</f>
        <v>17</v>
      </c>
      <c r="D644" s="17">
        <f>IFERROR(__xludf.DUMMYFUNCTION("""COMPUTED_VALUE"""),2.0)</f>
        <v>2</v>
      </c>
      <c r="E644" s="17">
        <f>IFERROR(__xludf.DUMMYFUNCTION("""COMPUTED_VALUE"""),1.0)</f>
        <v>1</v>
      </c>
      <c r="F644" s="17">
        <f>IFERROR(__xludf.DUMMYFUNCTION("""COMPUTED_VALUE"""),2.0)</f>
        <v>2</v>
      </c>
      <c r="G644" s="17">
        <f>IFERROR(__xludf.DUMMYFUNCTION("""COMPUTED_VALUE"""),0.0)</f>
        <v>0</v>
      </c>
      <c r="H644" s="17">
        <f>IFERROR(__xludf.DUMMYFUNCTION("""COMPUTED_VALUE"""),0.189)</f>
        <v>0.189</v>
      </c>
      <c r="I644" s="17">
        <f>IFERROR(__xludf.DUMMYFUNCTION("""COMPUTED_VALUE"""),0.259)</f>
        <v>0.259</v>
      </c>
      <c r="J644" s="17">
        <f>IFERROR(__xludf.DUMMYFUNCTION("""COMPUTED_VALUE"""),3.0)</f>
        <v>3</v>
      </c>
      <c r="K644" s="17">
        <f>IFERROR(__xludf.DUMMYFUNCTION("""COMPUTED_VALUE"""),1.0)</f>
        <v>1</v>
      </c>
      <c r="L644" s="17">
        <f>IFERROR(__xludf.DUMMYFUNCTION("""COMPUTED_VALUE"""),0.0)</f>
        <v>0</v>
      </c>
      <c r="M644" s="17">
        <f>IFERROR(__xludf.DUMMYFUNCTION("""COMPUTED_VALUE"""),2.0)</f>
        <v>2</v>
      </c>
      <c r="N644" s="17">
        <f>IFERROR(__xludf.DUMMYFUNCTION("""COMPUTED_VALUE"""),6.0)</f>
        <v>6</v>
      </c>
      <c r="O644" s="17">
        <f>IFERROR(__xludf.DUMMYFUNCTION("""COMPUTED_VALUE"""),0.316)</f>
        <v>0.316</v>
      </c>
      <c r="P644" s="17">
        <f>IFERROR(__xludf.DUMMYFUNCTION("""COMPUTED_VALUE"""),0.575)</f>
        <v>0.575</v>
      </c>
      <c r="Q644" s="34">
        <f>IFERROR(__xludf.DUMMYFUNCTION("""COMPUTED_VALUE"""),0.0)</f>
        <v>0</v>
      </c>
      <c r="R644" s="34">
        <f>IFERROR(__xludf.DUMMYFUNCTION("""COMPUTED_VALUE"""),0.0)</f>
        <v>0</v>
      </c>
      <c r="S644" s="34">
        <f>IFERROR(__xludf.DUMMYFUNCTION("""COMPUTED_VALUE"""),0.0)</f>
        <v>0</v>
      </c>
    </row>
    <row r="645">
      <c r="A645" s="17">
        <f>IFERROR(__xludf.DUMMYFUNCTION("""COMPUTED_VALUE"""),645.0)</f>
        <v>645</v>
      </c>
      <c r="B645" s="17" t="str">
        <f>IFERROR(__xludf.DUMMYFUNCTION("""COMPUTED_VALUE"""),"Mason McCoy (SD - SS) MiLB")</f>
        <v>Mason McCoy (SD - SS) MiLB</v>
      </c>
      <c r="C645" s="17">
        <f>IFERROR(__xludf.DUMMYFUNCTION("""COMPUTED_VALUE"""),23.0)</f>
        <v>23</v>
      </c>
      <c r="D645" s="17">
        <f>IFERROR(__xludf.DUMMYFUNCTION("""COMPUTED_VALUE"""),3.0)</f>
        <v>3</v>
      </c>
      <c r="E645" s="17">
        <f>IFERROR(__xludf.DUMMYFUNCTION("""COMPUTED_VALUE"""),0.0)</f>
        <v>0</v>
      </c>
      <c r="F645" s="17">
        <f>IFERROR(__xludf.DUMMYFUNCTION("""COMPUTED_VALUE"""),2.0)</f>
        <v>2</v>
      </c>
      <c r="G645" s="17">
        <f>IFERROR(__xludf.DUMMYFUNCTION("""COMPUTED_VALUE"""),1.0)</f>
        <v>1</v>
      </c>
      <c r="H645" s="17">
        <f>IFERROR(__xludf.DUMMYFUNCTION("""COMPUTED_VALUE"""),0.191)</f>
        <v>0.191</v>
      </c>
      <c r="I645" s="17">
        <f>IFERROR(__xludf.DUMMYFUNCTION("""COMPUTED_VALUE"""),0.252)</f>
        <v>0.252</v>
      </c>
      <c r="J645" s="17">
        <f>IFERROR(__xludf.DUMMYFUNCTION("""COMPUTED_VALUE"""),4.0)</f>
        <v>4</v>
      </c>
      <c r="K645" s="17">
        <f>IFERROR(__xludf.DUMMYFUNCTION("""COMPUTED_VALUE"""),1.0)</f>
        <v>1</v>
      </c>
      <c r="L645" s="17">
        <f>IFERROR(__xludf.DUMMYFUNCTION("""COMPUTED_VALUE"""),0.0)</f>
        <v>0</v>
      </c>
      <c r="M645" s="17">
        <f>IFERROR(__xludf.DUMMYFUNCTION("""COMPUTED_VALUE"""),2.0)</f>
        <v>2</v>
      </c>
      <c r="N645" s="17">
        <f>IFERROR(__xludf.DUMMYFUNCTION("""COMPUTED_VALUE"""),8.0)</f>
        <v>8</v>
      </c>
      <c r="O645" s="17">
        <f>IFERROR(__xludf.DUMMYFUNCTION("""COMPUTED_VALUE"""),0.274)</f>
        <v>0.274</v>
      </c>
      <c r="P645" s="17">
        <f>IFERROR(__xludf.DUMMYFUNCTION("""COMPUTED_VALUE"""),0.526)</f>
        <v>0.526</v>
      </c>
      <c r="Q645" s="34">
        <f>IFERROR(__xludf.DUMMYFUNCTION("""COMPUTED_VALUE"""),0.0)</f>
        <v>0</v>
      </c>
      <c r="R645" s="34">
        <f>IFERROR(__xludf.DUMMYFUNCTION("""COMPUTED_VALUE"""),0.0)</f>
        <v>0</v>
      </c>
      <c r="S645" s="34">
        <f>IFERROR(__xludf.DUMMYFUNCTION("""COMPUTED_VALUE"""),0.0)</f>
        <v>0</v>
      </c>
    </row>
    <row r="646">
      <c r="A646" s="17">
        <f>IFERROR(__xludf.DUMMYFUNCTION("""COMPUTED_VALUE"""),646.0)</f>
        <v>646</v>
      </c>
      <c r="B646" s="17" t="str">
        <f>IFERROR(__xludf.DUMMYFUNCTION("""COMPUTED_VALUE"""),"Tyler Wade (2B,LF,CF) FA")</f>
        <v>Tyler Wade (2B,LF,CF) FA</v>
      </c>
      <c r="C646" s="17">
        <f>IFERROR(__xludf.DUMMYFUNCTION("""COMPUTED_VALUE"""),8.0)</f>
        <v>8</v>
      </c>
      <c r="D646" s="17">
        <f>IFERROR(__xludf.DUMMYFUNCTION("""COMPUTED_VALUE"""),1.0)</f>
        <v>1</v>
      </c>
      <c r="E646" s="17">
        <f>IFERROR(__xludf.DUMMYFUNCTION("""COMPUTED_VALUE"""),0.0)</f>
        <v>0</v>
      </c>
      <c r="F646" s="17">
        <f>IFERROR(__xludf.DUMMYFUNCTION("""COMPUTED_VALUE"""),1.0)</f>
        <v>1</v>
      </c>
      <c r="G646" s="17">
        <f>IFERROR(__xludf.DUMMYFUNCTION("""COMPUTED_VALUE"""),1.0)</f>
        <v>1</v>
      </c>
      <c r="H646" s="17">
        <f>IFERROR(__xludf.DUMMYFUNCTION("""COMPUTED_VALUE"""),0.263)</f>
        <v>0.263</v>
      </c>
      <c r="I646" s="17">
        <f>IFERROR(__xludf.DUMMYFUNCTION("""COMPUTED_VALUE"""),0.348)</f>
        <v>0.348</v>
      </c>
      <c r="J646" s="17">
        <f>IFERROR(__xludf.DUMMYFUNCTION("""COMPUTED_VALUE"""),2.0)</f>
        <v>2</v>
      </c>
      <c r="K646" s="17">
        <f>IFERROR(__xludf.DUMMYFUNCTION("""COMPUTED_VALUE"""),1.0)</f>
        <v>1</v>
      </c>
      <c r="L646" s="17">
        <f>IFERROR(__xludf.DUMMYFUNCTION("""COMPUTED_VALUE"""),0.0)</f>
        <v>0</v>
      </c>
      <c r="M646" s="17">
        <f>IFERROR(__xludf.DUMMYFUNCTION("""COMPUTED_VALUE"""),1.0)</f>
        <v>1</v>
      </c>
      <c r="N646" s="17">
        <f>IFERROR(__xludf.DUMMYFUNCTION("""COMPUTED_VALUE"""),2.0)</f>
        <v>2</v>
      </c>
      <c r="O646" s="17">
        <f>IFERROR(__xludf.DUMMYFUNCTION("""COMPUTED_VALUE"""),0.329)</f>
        <v>0.329</v>
      </c>
      <c r="P646" s="17">
        <f>IFERROR(__xludf.DUMMYFUNCTION("""COMPUTED_VALUE"""),0.677)</f>
        <v>0.677</v>
      </c>
      <c r="Q646" s="34">
        <f>IFERROR(__xludf.DUMMYFUNCTION("""COMPUTED_VALUE"""),0.0)</f>
        <v>0</v>
      </c>
      <c r="R646" s="34">
        <f>IFERROR(__xludf.DUMMYFUNCTION("""COMPUTED_VALUE"""),0.0)</f>
        <v>0</v>
      </c>
      <c r="S646" s="34">
        <f>IFERROR(__xludf.DUMMYFUNCTION("""COMPUTED_VALUE"""),0.0)</f>
        <v>0</v>
      </c>
    </row>
    <row r="647">
      <c r="A647" s="17">
        <f>IFERROR(__xludf.DUMMYFUNCTION("""COMPUTED_VALUE"""),647.0)</f>
        <v>647</v>
      </c>
      <c r="B647" s="17" t="str">
        <f>IFERROR(__xludf.DUMMYFUNCTION("""COMPUTED_VALUE"""),"Forrest Wall (LF) FA")</f>
        <v>Forrest Wall (LF) FA</v>
      </c>
      <c r="C647" s="17">
        <f>IFERROR(__xludf.DUMMYFUNCTION("""COMPUTED_VALUE"""),8.0)</f>
        <v>8</v>
      </c>
      <c r="D647" s="17">
        <f>IFERROR(__xludf.DUMMYFUNCTION("""COMPUTED_VALUE"""),1.0)</f>
        <v>1</v>
      </c>
      <c r="E647" s="17">
        <f>IFERROR(__xludf.DUMMYFUNCTION("""COMPUTED_VALUE"""),0.0)</f>
        <v>0</v>
      </c>
      <c r="F647" s="17">
        <f>IFERROR(__xludf.DUMMYFUNCTION("""COMPUTED_VALUE"""),1.0)</f>
        <v>1</v>
      </c>
      <c r="G647" s="17">
        <f>IFERROR(__xludf.DUMMYFUNCTION("""COMPUTED_VALUE"""),1.0)</f>
        <v>1</v>
      </c>
      <c r="H647" s="17">
        <f>IFERROR(__xludf.DUMMYFUNCTION("""COMPUTED_VALUE"""),0.216)</f>
        <v>0.216</v>
      </c>
      <c r="I647" s="17">
        <f>IFERROR(__xludf.DUMMYFUNCTION("""COMPUTED_VALUE"""),0.271)</f>
        <v>0.271</v>
      </c>
      <c r="J647" s="17">
        <f>IFERROR(__xludf.DUMMYFUNCTION("""COMPUTED_VALUE"""),2.0)</f>
        <v>2</v>
      </c>
      <c r="K647" s="17">
        <f>IFERROR(__xludf.DUMMYFUNCTION("""COMPUTED_VALUE"""),1.0)</f>
        <v>1</v>
      </c>
      <c r="L647" s="17">
        <f>IFERROR(__xludf.DUMMYFUNCTION("""COMPUTED_VALUE"""),0.0)</f>
        <v>0</v>
      </c>
      <c r="M647" s="17">
        <f>IFERROR(__xludf.DUMMYFUNCTION("""COMPUTED_VALUE"""),1.0)</f>
        <v>1</v>
      </c>
      <c r="N647" s="17">
        <f>IFERROR(__xludf.DUMMYFUNCTION("""COMPUTED_VALUE"""),2.0)</f>
        <v>2</v>
      </c>
      <c r="O647" s="17">
        <f>IFERROR(__xludf.DUMMYFUNCTION("""COMPUTED_VALUE"""),0.29)</f>
        <v>0.29</v>
      </c>
      <c r="P647" s="17">
        <f>IFERROR(__xludf.DUMMYFUNCTION("""COMPUTED_VALUE"""),0.561)</f>
        <v>0.561</v>
      </c>
      <c r="Q647" s="34">
        <f>IFERROR(__xludf.DUMMYFUNCTION("""COMPUTED_VALUE"""),0.0)</f>
        <v>0</v>
      </c>
      <c r="R647" s="34">
        <f>IFERROR(__xludf.DUMMYFUNCTION("""COMPUTED_VALUE"""),0.0)</f>
        <v>0</v>
      </c>
      <c r="S647" s="34">
        <f>IFERROR(__xludf.DUMMYFUNCTION("""COMPUTED_VALUE"""),0.0)</f>
        <v>0</v>
      </c>
    </row>
    <row r="648">
      <c r="A648" s="17">
        <f>IFERROR(__xludf.DUMMYFUNCTION("""COMPUTED_VALUE"""),648.0)</f>
        <v>648</v>
      </c>
      <c r="B648" s="17" t="str">
        <f>IFERROR(__xludf.DUMMYFUNCTION("""COMPUTED_VALUE"""),"Ji Hwan Bae (NYM - CF,RF) MiLB")</f>
        <v>Ji Hwan Bae (NYM - CF,RF) MiLB</v>
      </c>
      <c r="C648" s="17">
        <f>IFERROR(__xludf.DUMMYFUNCTION("""COMPUTED_VALUE"""),8.0)</f>
        <v>8</v>
      </c>
      <c r="D648" s="17">
        <f>IFERROR(__xludf.DUMMYFUNCTION("""COMPUTED_VALUE"""),1.0)</f>
        <v>1</v>
      </c>
      <c r="E648" s="17">
        <f>IFERROR(__xludf.DUMMYFUNCTION("""COMPUTED_VALUE"""),0.0)</f>
        <v>0</v>
      </c>
      <c r="F648" s="17">
        <f>IFERROR(__xludf.DUMMYFUNCTION("""COMPUTED_VALUE"""),1.0)</f>
        <v>1</v>
      </c>
      <c r="G648" s="17">
        <f>IFERROR(__xludf.DUMMYFUNCTION("""COMPUTED_VALUE"""),1.0)</f>
        <v>1</v>
      </c>
      <c r="H648" s="17">
        <f>IFERROR(__xludf.DUMMYFUNCTION("""COMPUTED_VALUE"""),0.264)</f>
        <v>0.264</v>
      </c>
      <c r="I648" s="17">
        <f>IFERROR(__xludf.DUMMYFUNCTION("""COMPUTED_VALUE"""),0.349)</f>
        <v>0.349</v>
      </c>
      <c r="J648" s="17">
        <f>IFERROR(__xludf.DUMMYFUNCTION("""COMPUTED_VALUE"""),2.0)</f>
        <v>2</v>
      </c>
      <c r="K648" s="17">
        <f>IFERROR(__xludf.DUMMYFUNCTION("""COMPUTED_VALUE"""),1.0)</f>
        <v>1</v>
      </c>
      <c r="L648" s="17">
        <f>IFERROR(__xludf.DUMMYFUNCTION("""COMPUTED_VALUE"""),0.0)</f>
        <v>0</v>
      </c>
      <c r="M648" s="17">
        <f>IFERROR(__xludf.DUMMYFUNCTION("""COMPUTED_VALUE"""),1.0)</f>
        <v>1</v>
      </c>
      <c r="N648" s="17">
        <f>IFERROR(__xludf.DUMMYFUNCTION("""COMPUTED_VALUE"""),2.0)</f>
        <v>2</v>
      </c>
      <c r="O648" s="17">
        <f>IFERROR(__xludf.DUMMYFUNCTION("""COMPUTED_VALUE"""),0.334)</f>
        <v>0.334</v>
      </c>
      <c r="P648" s="17">
        <f>IFERROR(__xludf.DUMMYFUNCTION("""COMPUTED_VALUE"""),0.683)</f>
        <v>0.683</v>
      </c>
      <c r="Q648" s="34">
        <f>IFERROR(__xludf.DUMMYFUNCTION("""COMPUTED_VALUE"""),0.0)</f>
        <v>0</v>
      </c>
      <c r="R648" s="34">
        <f>IFERROR(__xludf.DUMMYFUNCTION("""COMPUTED_VALUE"""),0.0)</f>
        <v>0</v>
      </c>
      <c r="S648" s="34">
        <f>IFERROR(__xludf.DUMMYFUNCTION("""COMPUTED_VALUE"""),0.0)</f>
        <v>0</v>
      </c>
    </row>
    <row r="649">
      <c r="A649" s="17">
        <f>IFERROR(__xludf.DUMMYFUNCTION("""COMPUTED_VALUE"""),649.0)</f>
        <v>649</v>
      </c>
      <c r="B649" s="17" t="str">
        <f>IFERROR(__xludf.DUMMYFUNCTION("""COMPUTED_VALUE"""),"Drew Avans (COL - LF,CF,RF) MiLB")</f>
        <v>Drew Avans (COL - LF,CF,RF) MiLB</v>
      </c>
      <c r="C649" s="17">
        <f>IFERROR(__xludf.DUMMYFUNCTION("""COMPUTED_VALUE"""),8.0)</f>
        <v>8</v>
      </c>
      <c r="D649" s="17">
        <f>IFERROR(__xludf.DUMMYFUNCTION("""COMPUTED_VALUE"""),1.0)</f>
        <v>1</v>
      </c>
      <c r="E649" s="17">
        <f>IFERROR(__xludf.DUMMYFUNCTION("""COMPUTED_VALUE"""),0.0)</f>
        <v>0</v>
      </c>
      <c r="F649" s="17">
        <f>IFERROR(__xludf.DUMMYFUNCTION("""COMPUTED_VALUE"""),1.0)</f>
        <v>1</v>
      </c>
      <c r="G649" s="17">
        <f>IFERROR(__xludf.DUMMYFUNCTION("""COMPUTED_VALUE"""),1.0)</f>
        <v>1</v>
      </c>
      <c r="H649" s="17">
        <f>IFERROR(__xludf.DUMMYFUNCTION("""COMPUTED_VALUE"""),0.264)</f>
        <v>0.264</v>
      </c>
      <c r="I649" s="17">
        <f>IFERROR(__xludf.DUMMYFUNCTION("""COMPUTED_VALUE"""),0.348)</f>
        <v>0.348</v>
      </c>
      <c r="J649" s="17">
        <f>IFERROR(__xludf.DUMMYFUNCTION("""COMPUTED_VALUE"""),2.0)</f>
        <v>2</v>
      </c>
      <c r="K649" s="17">
        <f>IFERROR(__xludf.DUMMYFUNCTION("""COMPUTED_VALUE"""),1.0)</f>
        <v>1</v>
      </c>
      <c r="L649" s="17">
        <f>IFERROR(__xludf.DUMMYFUNCTION("""COMPUTED_VALUE"""),0.0)</f>
        <v>0</v>
      </c>
      <c r="M649" s="17">
        <f>IFERROR(__xludf.DUMMYFUNCTION("""COMPUTED_VALUE"""),1.0)</f>
        <v>1</v>
      </c>
      <c r="N649" s="17">
        <f>IFERROR(__xludf.DUMMYFUNCTION("""COMPUTED_VALUE"""),2.0)</f>
        <v>2</v>
      </c>
      <c r="O649" s="17">
        <f>IFERROR(__xludf.DUMMYFUNCTION("""COMPUTED_VALUE"""),0.333)</f>
        <v>0.333</v>
      </c>
      <c r="P649" s="17">
        <f>IFERROR(__xludf.DUMMYFUNCTION("""COMPUTED_VALUE"""),0.681)</f>
        <v>0.681</v>
      </c>
      <c r="Q649" s="34">
        <f>IFERROR(__xludf.DUMMYFUNCTION("""COMPUTED_VALUE"""),0.0)</f>
        <v>0</v>
      </c>
      <c r="R649" s="34">
        <f>IFERROR(__xludf.DUMMYFUNCTION("""COMPUTED_VALUE"""),0.0)</f>
        <v>0</v>
      </c>
      <c r="S649" s="34">
        <f>IFERROR(__xludf.DUMMYFUNCTION("""COMPUTED_VALUE"""),0.0)</f>
        <v>0</v>
      </c>
    </row>
    <row r="650">
      <c r="A650" s="17">
        <f>IFERROR(__xludf.DUMMYFUNCTION("""COMPUTED_VALUE"""),650.0)</f>
        <v>650</v>
      </c>
      <c r="B650" s="17" t="str">
        <f>IFERROR(__xludf.DUMMYFUNCTION("""COMPUTED_VALUE"""),"Terrell Tatum (LF) FA")</f>
        <v>Terrell Tatum (LF) FA</v>
      </c>
      <c r="C650" s="17">
        <f>IFERROR(__xludf.DUMMYFUNCTION("""COMPUTED_VALUE"""),8.0)</f>
        <v>8</v>
      </c>
      <c r="D650" s="17">
        <f>IFERROR(__xludf.DUMMYFUNCTION("""COMPUTED_VALUE"""),1.0)</f>
        <v>1</v>
      </c>
      <c r="E650" s="17">
        <f>IFERROR(__xludf.DUMMYFUNCTION("""COMPUTED_VALUE"""),0.0)</f>
        <v>0</v>
      </c>
      <c r="F650" s="17">
        <f>IFERROR(__xludf.DUMMYFUNCTION("""COMPUTED_VALUE"""),1.0)</f>
        <v>1</v>
      </c>
      <c r="G650" s="17">
        <f>IFERROR(__xludf.DUMMYFUNCTION("""COMPUTED_VALUE"""),1.0)</f>
        <v>1</v>
      </c>
      <c r="H650" s="17">
        <f>IFERROR(__xludf.DUMMYFUNCTION("""COMPUTED_VALUE"""),0.213)</f>
        <v>0.213</v>
      </c>
      <c r="I650" s="17">
        <f>IFERROR(__xludf.DUMMYFUNCTION("""COMPUTED_VALUE"""),0.31)</f>
        <v>0.31</v>
      </c>
      <c r="J650" s="17">
        <f>IFERROR(__xludf.DUMMYFUNCTION("""COMPUTED_VALUE"""),2.0)</f>
        <v>2</v>
      </c>
      <c r="K650" s="17">
        <f>IFERROR(__xludf.DUMMYFUNCTION("""COMPUTED_VALUE"""),1.0)</f>
        <v>1</v>
      </c>
      <c r="L650" s="17">
        <f>IFERROR(__xludf.DUMMYFUNCTION("""COMPUTED_VALUE"""),0.0)</f>
        <v>0</v>
      </c>
      <c r="M650" s="17">
        <f>IFERROR(__xludf.DUMMYFUNCTION("""COMPUTED_VALUE"""),1.0)</f>
        <v>1</v>
      </c>
      <c r="N650" s="17">
        <f>IFERROR(__xludf.DUMMYFUNCTION("""COMPUTED_VALUE"""),3.0)</f>
        <v>3</v>
      </c>
      <c r="O650" s="17">
        <f>IFERROR(__xludf.DUMMYFUNCTION("""COMPUTED_VALUE"""),0.287)</f>
        <v>0.287</v>
      </c>
      <c r="P650" s="17">
        <f>IFERROR(__xludf.DUMMYFUNCTION("""COMPUTED_VALUE"""),0.596)</f>
        <v>0.596</v>
      </c>
      <c r="Q650" s="34">
        <f>IFERROR(__xludf.DUMMYFUNCTION("""COMPUTED_VALUE"""),0.0)</f>
        <v>0</v>
      </c>
      <c r="R650" s="34">
        <f>IFERROR(__xludf.DUMMYFUNCTION("""COMPUTED_VALUE"""),0.0)</f>
        <v>0</v>
      </c>
      <c r="S650" s="34">
        <f>IFERROR(__xludf.DUMMYFUNCTION("""COMPUTED_VALUE"""),0.0)</f>
        <v>0</v>
      </c>
    </row>
    <row r="651">
      <c r="A651" s="17">
        <f>IFERROR(__xludf.DUMMYFUNCTION("""COMPUTED_VALUE"""),651.0)</f>
        <v>651</v>
      </c>
      <c r="B651" s="17" t="str">
        <f>IFERROR(__xludf.DUMMYFUNCTION("""COMPUTED_VALUE"""),"Jacob Hurtubise (MIL - LF) MiLB")</f>
        <v>Jacob Hurtubise (MIL - LF) MiLB</v>
      </c>
      <c r="C651" s="17">
        <f>IFERROR(__xludf.DUMMYFUNCTION("""COMPUTED_VALUE"""),8.0)</f>
        <v>8</v>
      </c>
      <c r="D651" s="17">
        <f>IFERROR(__xludf.DUMMYFUNCTION("""COMPUTED_VALUE"""),1.0)</f>
        <v>1</v>
      </c>
      <c r="E651" s="17">
        <f>IFERROR(__xludf.DUMMYFUNCTION("""COMPUTED_VALUE"""),0.0)</f>
        <v>0</v>
      </c>
      <c r="F651" s="17">
        <f>IFERROR(__xludf.DUMMYFUNCTION("""COMPUTED_VALUE"""),1.0)</f>
        <v>1</v>
      </c>
      <c r="G651" s="17">
        <f>IFERROR(__xludf.DUMMYFUNCTION("""COMPUTED_VALUE"""),1.0)</f>
        <v>1</v>
      </c>
      <c r="H651" s="17">
        <f>IFERROR(__xludf.DUMMYFUNCTION("""COMPUTED_VALUE"""),0.213)</f>
        <v>0.213</v>
      </c>
      <c r="I651" s="17">
        <f>IFERROR(__xludf.DUMMYFUNCTION("""COMPUTED_VALUE"""),0.349)</f>
        <v>0.349</v>
      </c>
      <c r="J651" s="17">
        <f>IFERROR(__xludf.DUMMYFUNCTION("""COMPUTED_VALUE"""),2.0)</f>
        <v>2</v>
      </c>
      <c r="K651" s="17">
        <f>IFERROR(__xludf.DUMMYFUNCTION("""COMPUTED_VALUE"""),1.0)</f>
        <v>1</v>
      </c>
      <c r="L651" s="17">
        <f>IFERROR(__xludf.DUMMYFUNCTION("""COMPUTED_VALUE"""),0.0)</f>
        <v>0</v>
      </c>
      <c r="M651" s="17">
        <f>IFERROR(__xludf.DUMMYFUNCTION("""COMPUTED_VALUE"""),1.0)</f>
        <v>1</v>
      </c>
      <c r="N651" s="17">
        <f>IFERROR(__xludf.DUMMYFUNCTION("""COMPUTED_VALUE"""),2.0)</f>
        <v>2</v>
      </c>
      <c r="O651" s="17">
        <f>IFERROR(__xludf.DUMMYFUNCTION("""COMPUTED_VALUE"""),0.286)</f>
        <v>0.286</v>
      </c>
      <c r="P651" s="17">
        <f>IFERROR(__xludf.DUMMYFUNCTION("""COMPUTED_VALUE"""),0.635)</f>
        <v>0.635</v>
      </c>
      <c r="Q651" s="34">
        <f>IFERROR(__xludf.DUMMYFUNCTION("""COMPUTED_VALUE"""),0.0)</f>
        <v>0</v>
      </c>
      <c r="R651" s="34">
        <f>IFERROR(__xludf.DUMMYFUNCTION("""COMPUTED_VALUE"""),0.0)</f>
        <v>0</v>
      </c>
      <c r="S651" s="34">
        <f>IFERROR(__xludf.DUMMYFUNCTION("""COMPUTED_VALUE"""),0.0)</f>
        <v>0</v>
      </c>
    </row>
    <row r="652">
      <c r="A652" s="17">
        <f>IFERROR(__xludf.DUMMYFUNCTION("""COMPUTED_VALUE"""),652.0)</f>
        <v>652</v>
      </c>
      <c r="B652" s="17" t="str">
        <f>IFERROR(__xludf.DUMMYFUNCTION("""COMPUTED_VALUE"""),"Tsung-Che Cheng (BOS - 2B,3B,SS) MiLB")</f>
        <v>Tsung-Che Cheng (BOS - 2B,3B,SS) MiLB</v>
      </c>
      <c r="C652" s="17">
        <f>IFERROR(__xludf.DUMMYFUNCTION("""COMPUTED_VALUE"""),8.0)</f>
        <v>8</v>
      </c>
      <c r="D652" s="17">
        <f>IFERROR(__xludf.DUMMYFUNCTION("""COMPUTED_VALUE"""),1.0)</f>
        <v>1</v>
      </c>
      <c r="E652" s="17">
        <f>IFERROR(__xludf.DUMMYFUNCTION("""COMPUTED_VALUE"""),0.0)</f>
        <v>0</v>
      </c>
      <c r="F652" s="17">
        <f>IFERROR(__xludf.DUMMYFUNCTION("""COMPUTED_VALUE"""),1.0)</f>
        <v>1</v>
      </c>
      <c r="G652" s="17">
        <f>IFERROR(__xludf.DUMMYFUNCTION("""COMPUTED_VALUE"""),1.0)</f>
        <v>1</v>
      </c>
      <c r="H652" s="17">
        <f>IFERROR(__xludf.DUMMYFUNCTION("""COMPUTED_VALUE"""),0.201)</f>
        <v>0.201</v>
      </c>
      <c r="I652" s="17">
        <f>IFERROR(__xludf.DUMMYFUNCTION("""COMPUTED_VALUE"""),0.294)</f>
        <v>0.294</v>
      </c>
      <c r="J652" s="17">
        <f>IFERROR(__xludf.DUMMYFUNCTION("""COMPUTED_VALUE"""),2.0)</f>
        <v>2</v>
      </c>
      <c r="K652" s="17">
        <f>IFERROR(__xludf.DUMMYFUNCTION("""COMPUTED_VALUE"""),1.0)</f>
        <v>1</v>
      </c>
      <c r="L652" s="17">
        <f>IFERROR(__xludf.DUMMYFUNCTION("""COMPUTED_VALUE"""),0.0)</f>
        <v>0</v>
      </c>
      <c r="M652" s="17">
        <f>IFERROR(__xludf.DUMMYFUNCTION("""COMPUTED_VALUE"""),1.0)</f>
        <v>1</v>
      </c>
      <c r="N652" s="17">
        <f>IFERROR(__xludf.DUMMYFUNCTION("""COMPUTED_VALUE"""),2.0)</f>
        <v>2</v>
      </c>
      <c r="O652" s="17">
        <f>IFERROR(__xludf.DUMMYFUNCTION("""COMPUTED_VALUE"""),0.271)</f>
        <v>0.271</v>
      </c>
      <c r="P652" s="17">
        <f>IFERROR(__xludf.DUMMYFUNCTION("""COMPUTED_VALUE"""),0.565)</f>
        <v>0.565</v>
      </c>
      <c r="Q652" s="34">
        <f>IFERROR(__xludf.DUMMYFUNCTION("""COMPUTED_VALUE"""),0.0)</f>
        <v>0</v>
      </c>
      <c r="R652" s="34">
        <f>IFERROR(__xludf.DUMMYFUNCTION("""COMPUTED_VALUE"""),0.0)</f>
        <v>0</v>
      </c>
      <c r="S652" s="34">
        <f>IFERROR(__xludf.DUMMYFUNCTION("""COMPUTED_VALUE"""),0.0)</f>
        <v>0</v>
      </c>
    </row>
    <row r="653">
      <c r="A653" s="17">
        <f>IFERROR(__xludf.DUMMYFUNCTION("""COMPUTED_VALUE"""),653.0)</f>
        <v>653</v>
      </c>
      <c r="B653" s="17" t="str">
        <f>IFERROR(__xludf.DUMMYFUNCTION("""COMPUTED_VALUE"""),"Taylor Young (LAD - 2B) MiLB")</f>
        <v>Taylor Young (LAD - 2B) MiLB</v>
      </c>
      <c r="C653" s="17">
        <f>IFERROR(__xludf.DUMMYFUNCTION("""COMPUTED_VALUE"""),8.0)</f>
        <v>8</v>
      </c>
      <c r="D653" s="17">
        <f>IFERROR(__xludf.DUMMYFUNCTION("""COMPUTED_VALUE"""),1.0)</f>
        <v>1</v>
      </c>
      <c r="E653" s="17">
        <f>IFERROR(__xludf.DUMMYFUNCTION("""COMPUTED_VALUE"""),0.0)</f>
        <v>0</v>
      </c>
      <c r="F653" s="17">
        <f>IFERROR(__xludf.DUMMYFUNCTION("""COMPUTED_VALUE"""),1.0)</f>
        <v>1</v>
      </c>
      <c r="G653" s="17">
        <f>IFERROR(__xludf.DUMMYFUNCTION("""COMPUTED_VALUE"""),1.0)</f>
        <v>1</v>
      </c>
      <c r="H653" s="17">
        <f>IFERROR(__xludf.DUMMYFUNCTION("""COMPUTED_VALUE"""),0.201)</f>
        <v>0.201</v>
      </c>
      <c r="I653" s="17">
        <f>IFERROR(__xludf.DUMMYFUNCTION("""COMPUTED_VALUE"""),0.294)</f>
        <v>0.294</v>
      </c>
      <c r="J653" s="17">
        <f>IFERROR(__xludf.DUMMYFUNCTION("""COMPUTED_VALUE"""),2.0)</f>
        <v>2</v>
      </c>
      <c r="K653" s="17">
        <f>IFERROR(__xludf.DUMMYFUNCTION("""COMPUTED_VALUE"""),1.0)</f>
        <v>1</v>
      </c>
      <c r="L653" s="17">
        <f>IFERROR(__xludf.DUMMYFUNCTION("""COMPUTED_VALUE"""),0.0)</f>
        <v>0</v>
      </c>
      <c r="M653" s="17">
        <f>IFERROR(__xludf.DUMMYFUNCTION("""COMPUTED_VALUE"""),1.0)</f>
        <v>1</v>
      </c>
      <c r="N653" s="17">
        <f>IFERROR(__xludf.DUMMYFUNCTION("""COMPUTED_VALUE"""),2.0)</f>
        <v>2</v>
      </c>
      <c r="O653" s="17">
        <f>IFERROR(__xludf.DUMMYFUNCTION("""COMPUTED_VALUE"""),0.267)</f>
        <v>0.267</v>
      </c>
      <c r="P653" s="17">
        <f>IFERROR(__xludf.DUMMYFUNCTION("""COMPUTED_VALUE"""),0.561)</f>
        <v>0.561</v>
      </c>
      <c r="Q653" s="34">
        <f>IFERROR(__xludf.DUMMYFUNCTION("""COMPUTED_VALUE"""),0.0)</f>
        <v>0</v>
      </c>
      <c r="R653" s="34">
        <f>IFERROR(__xludf.DUMMYFUNCTION("""COMPUTED_VALUE"""),0.0)</f>
        <v>0</v>
      </c>
      <c r="S653" s="34">
        <f>IFERROR(__xludf.DUMMYFUNCTION("""COMPUTED_VALUE"""),0.0)</f>
        <v>0</v>
      </c>
    </row>
    <row r="654">
      <c r="A654" s="17">
        <f>IFERROR(__xludf.DUMMYFUNCTION("""COMPUTED_VALUE"""),654.0)</f>
        <v>654</v>
      </c>
      <c r="B654" s="17" t="str">
        <f>IFERROR(__xludf.DUMMYFUNCTION("""COMPUTED_VALUE"""),"Josh Kasevich (TOR - 3B,SS) MiLB")</f>
        <v>Josh Kasevich (TOR - 3B,SS) MiLB</v>
      </c>
      <c r="C654" s="17">
        <f>IFERROR(__xludf.DUMMYFUNCTION("""COMPUTED_VALUE"""),15.0)</f>
        <v>15</v>
      </c>
      <c r="D654" s="17">
        <f>IFERROR(__xludf.DUMMYFUNCTION("""COMPUTED_VALUE"""),2.0)</f>
        <v>2</v>
      </c>
      <c r="E654" s="17">
        <f>IFERROR(__xludf.DUMMYFUNCTION("""COMPUTED_VALUE"""),0.0)</f>
        <v>0</v>
      </c>
      <c r="F654" s="17">
        <f>IFERROR(__xludf.DUMMYFUNCTION("""COMPUTED_VALUE"""),1.0)</f>
        <v>1</v>
      </c>
      <c r="G654" s="17">
        <f>IFERROR(__xludf.DUMMYFUNCTION("""COMPUTED_VALUE"""),0.0)</f>
        <v>0</v>
      </c>
      <c r="H654" s="17">
        <f>IFERROR(__xludf.DUMMYFUNCTION("""COMPUTED_VALUE"""),0.238)</f>
        <v>0.238</v>
      </c>
      <c r="I654" s="17">
        <f>IFERROR(__xludf.DUMMYFUNCTION("""COMPUTED_VALUE"""),0.287)</f>
        <v>0.287</v>
      </c>
      <c r="J654" s="17">
        <f>IFERROR(__xludf.DUMMYFUNCTION("""COMPUTED_VALUE"""),4.0)</f>
        <v>4</v>
      </c>
      <c r="K654" s="17">
        <f>IFERROR(__xludf.DUMMYFUNCTION("""COMPUTED_VALUE"""),1.0)</f>
        <v>1</v>
      </c>
      <c r="L654" s="17">
        <f>IFERROR(__xludf.DUMMYFUNCTION("""COMPUTED_VALUE"""),0.0)</f>
        <v>0</v>
      </c>
      <c r="M654" s="17">
        <f>IFERROR(__xludf.DUMMYFUNCTION("""COMPUTED_VALUE"""),1.0)</f>
        <v>1</v>
      </c>
      <c r="N654" s="17">
        <f>IFERROR(__xludf.DUMMYFUNCTION("""COMPUTED_VALUE"""),2.0)</f>
        <v>2</v>
      </c>
      <c r="O654" s="17">
        <f>IFERROR(__xludf.DUMMYFUNCTION("""COMPUTED_VALUE"""),0.299)</f>
        <v>0.299</v>
      </c>
      <c r="P654" s="17">
        <f>IFERROR(__xludf.DUMMYFUNCTION("""COMPUTED_VALUE"""),0.586)</f>
        <v>0.586</v>
      </c>
      <c r="Q654" s="34">
        <f>IFERROR(__xludf.DUMMYFUNCTION("""COMPUTED_VALUE"""),0.0)</f>
        <v>0</v>
      </c>
      <c r="R654" s="34">
        <f>IFERROR(__xludf.DUMMYFUNCTION("""COMPUTED_VALUE"""),0.0)</f>
        <v>0</v>
      </c>
      <c r="S654" s="34">
        <f>IFERROR(__xludf.DUMMYFUNCTION("""COMPUTED_VALUE"""),0.0)</f>
        <v>0</v>
      </c>
    </row>
    <row r="655">
      <c r="A655" s="17">
        <f>IFERROR(__xludf.DUMMYFUNCTION("""COMPUTED_VALUE"""),655.0)</f>
        <v>655</v>
      </c>
      <c r="B655" s="17" t="str">
        <f>IFERROR(__xludf.DUMMYFUNCTION("""COMPUTED_VALUE"""),"Rene Pinto (PHI - C) MiLB")</f>
        <v>Rene Pinto (PHI - C) MiLB</v>
      </c>
      <c r="C655" s="17">
        <f>IFERROR(__xludf.DUMMYFUNCTION("""COMPUTED_VALUE"""),9.0)</f>
        <v>9</v>
      </c>
      <c r="D655" s="17">
        <f>IFERROR(__xludf.DUMMYFUNCTION("""COMPUTED_VALUE"""),1.0)</f>
        <v>1</v>
      </c>
      <c r="E655" s="17">
        <f>IFERROR(__xludf.DUMMYFUNCTION("""COMPUTED_VALUE"""),1.0)</f>
        <v>1</v>
      </c>
      <c r="F655" s="17">
        <f>IFERROR(__xludf.DUMMYFUNCTION("""COMPUTED_VALUE"""),1.0)</f>
        <v>1</v>
      </c>
      <c r="G655" s="17">
        <f>IFERROR(__xludf.DUMMYFUNCTION("""COMPUTED_VALUE"""),0.0)</f>
        <v>0</v>
      </c>
      <c r="H655" s="17">
        <f>IFERROR(__xludf.DUMMYFUNCTION("""COMPUTED_VALUE"""),0.246)</f>
        <v>0.246</v>
      </c>
      <c r="I655" s="17">
        <f>IFERROR(__xludf.DUMMYFUNCTION("""COMPUTED_VALUE"""),0.291)</f>
        <v>0.291</v>
      </c>
      <c r="J655" s="17">
        <f>IFERROR(__xludf.DUMMYFUNCTION("""COMPUTED_VALUE"""),2.0)</f>
        <v>2</v>
      </c>
      <c r="K655" s="17">
        <f>IFERROR(__xludf.DUMMYFUNCTION("""COMPUTED_VALUE"""),1.0)</f>
        <v>1</v>
      </c>
      <c r="L655" s="17">
        <f>IFERROR(__xludf.DUMMYFUNCTION("""COMPUTED_VALUE"""),0.0)</f>
        <v>0</v>
      </c>
      <c r="M655" s="17">
        <f>IFERROR(__xludf.DUMMYFUNCTION("""COMPUTED_VALUE"""),1.0)</f>
        <v>1</v>
      </c>
      <c r="N655" s="17">
        <f>IFERROR(__xludf.DUMMYFUNCTION("""COMPUTED_VALUE"""),3.0)</f>
        <v>3</v>
      </c>
      <c r="O655" s="17">
        <f>IFERROR(__xludf.DUMMYFUNCTION("""COMPUTED_VALUE"""),0.488)</f>
        <v>0.488</v>
      </c>
      <c r="P655" s="17">
        <f>IFERROR(__xludf.DUMMYFUNCTION("""COMPUTED_VALUE"""),0.779)</f>
        <v>0.779</v>
      </c>
      <c r="Q655" s="34">
        <f>IFERROR(__xludf.DUMMYFUNCTION("""COMPUTED_VALUE"""),0.0)</f>
        <v>0</v>
      </c>
      <c r="R655" s="34">
        <f>IFERROR(__xludf.DUMMYFUNCTION("""COMPUTED_VALUE"""),0.0)</f>
        <v>0</v>
      </c>
      <c r="S655" s="34">
        <f>IFERROR(__xludf.DUMMYFUNCTION("""COMPUTED_VALUE"""),0.0)</f>
        <v>0</v>
      </c>
    </row>
    <row r="656">
      <c r="A656" s="17">
        <f>IFERROR(__xludf.DUMMYFUNCTION("""COMPUTED_VALUE"""),656.0)</f>
        <v>656</v>
      </c>
      <c r="B656" s="17" t="str">
        <f>IFERROR(__xludf.DUMMYFUNCTION("""COMPUTED_VALUE"""),"Michael Toglia (CIN - 1B) MiLB")</f>
        <v>Michael Toglia (CIN - 1B) MiLB</v>
      </c>
      <c r="C656" s="17">
        <f>IFERROR(__xludf.DUMMYFUNCTION("""COMPUTED_VALUE"""),9.0)</f>
        <v>9</v>
      </c>
      <c r="D656" s="17">
        <f>IFERROR(__xludf.DUMMYFUNCTION("""COMPUTED_VALUE"""),1.0)</f>
        <v>1</v>
      </c>
      <c r="E656" s="17">
        <f>IFERROR(__xludf.DUMMYFUNCTION("""COMPUTED_VALUE"""),1.0)</f>
        <v>1</v>
      </c>
      <c r="F656" s="17">
        <f>IFERROR(__xludf.DUMMYFUNCTION("""COMPUTED_VALUE"""),1.0)</f>
        <v>1</v>
      </c>
      <c r="G656" s="17">
        <f>IFERROR(__xludf.DUMMYFUNCTION("""COMPUTED_VALUE"""),0.0)</f>
        <v>0</v>
      </c>
      <c r="H656" s="17">
        <f>IFERROR(__xludf.DUMMYFUNCTION("""COMPUTED_VALUE"""),0.246)</f>
        <v>0.246</v>
      </c>
      <c r="I656" s="17">
        <f>IFERROR(__xludf.DUMMYFUNCTION("""COMPUTED_VALUE"""),0.33)</f>
        <v>0.33</v>
      </c>
      <c r="J656" s="17">
        <f>IFERROR(__xludf.DUMMYFUNCTION("""COMPUTED_VALUE"""),2.0)</f>
        <v>2</v>
      </c>
      <c r="K656" s="17">
        <f>IFERROR(__xludf.DUMMYFUNCTION("""COMPUTED_VALUE"""),1.0)</f>
        <v>1</v>
      </c>
      <c r="L656" s="17">
        <f>IFERROR(__xludf.DUMMYFUNCTION("""COMPUTED_VALUE"""),0.0)</f>
        <v>0</v>
      </c>
      <c r="M656" s="17">
        <f>IFERROR(__xludf.DUMMYFUNCTION("""COMPUTED_VALUE"""),1.0)</f>
        <v>1</v>
      </c>
      <c r="N656" s="17">
        <f>IFERROR(__xludf.DUMMYFUNCTION("""COMPUTED_VALUE"""),3.0)</f>
        <v>3</v>
      </c>
      <c r="O656" s="17">
        <f>IFERROR(__xludf.DUMMYFUNCTION("""COMPUTED_VALUE"""),0.491)</f>
        <v>0.491</v>
      </c>
      <c r="P656" s="17">
        <f>IFERROR(__xludf.DUMMYFUNCTION("""COMPUTED_VALUE"""),0.821)</f>
        <v>0.821</v>
      </c>
      <c r="Q656" s="34">
        <f>IFERROR(__xludf.DUMMYFUNCTION("""COMPUTED_VALUE"""),0.0)</f>
        <v>0</v>
      </c>
      <c r="R656" s="34">
        <f>IFERROR(__xludf.DUMMYFUNCTION("""COMPUTED_VALUE"""),0.0)</f>
        <v>0</v>
      </c>
      <c r="S656" s="34">
        <f>IFERROR(__xludf.DUMMYFUNCTION("""COMPUTED_VALUE"""),0.0)</f>
        <v>0</v>
      </c>
    </row>
    <row r="657">
      <c r="A657" s="17">
        <f>IFERROR(__xludf.DUMMYFUNCTION("""COMPUTED_VALUE"""),657.0)</f>
        <v>657</v>
      </c>
      <c r="B657" s="17" t="str">
        <f>IFERROR(__xludf.DUMMYFUNCTION("""COMPUTED_VALUE"""),"Jose Ramos (NYM - RF) MiLB")</f>
        <v>Jose Ramos (NYM - RF) MiLB</v>
      </c>
      <c r="C657" s="17">
        <f>IFERROR(__xludf.DUMMYFUNCTION("""COMPUTED_VALUE"""),9.0)</f>
        <v>9</v>
      </c>
      <c r="D657" s="17">
        <f>IFERROR(__xludf.DUMMYFUNCTION("""COMPUTED_VALUE"""),1.0)</f>
        <v>1</v>
      </c>
      <c r="E657" s="17">
        <f>IFERROR(__xludf.DUMMYFUNCTION("""COMPUTED_VALUE"""),1.0)</f>
        <v>1</v>
      </c>
      <c r="F657" s="17">
        <f>IFERROR(__xludf.DUMMYFUNCTION("""COMPUTED_VALUE"""),1.0)</f>
        <v>1</v>
      </c>
      <c r="G657" s="17">
        <f>IFERROR(__xludf.DUMMYFUNCTION("""COMPUTED_VALUE"""),0.0)</f>
        <v>0</v>
      </c>
      <c r="H657" s="17">
        <f>IFERROR(__xludf.DUMMYFUNCTION("""COMPUTED_VALUE"""),0.246)</f>
        <v>0.246</v>
      </c>
      <c r="I657" s="17">
        <f>IFERROR(__xludf.DUMMYFUNCTION("""COMPUTED_VALUE"""),0.291)</f>
        <v>0.291</v>
      </c>
      <c r="J657" s="17">
        <f>IFERROR(__xludf.DUMMYFUNCTION("""COMPUTED_VALUE"""),2.0)</f>
        <v>2</v>
      </c>
      <c r="K657" s="17">
        <f>IFERROR(__xludf.DUMMYFUNCTION("""COMPUTED_VALUE"""),1.0)</f>
        <v>1</v>
      </c>
      <c r="L657" s="17">
        <f>IFERROR(__xludf.DUMMYFUNCTION("""COMPUTED_VALUE"""),0.0)</f>
        <v>0</v>
      </c>
      <c r="M657" s="17">
        <f>IFERROR(__xludf.DUMMYFUNCTION("""COMPUTED_VALUE"""),1.0)</f>
        <v>1</v>
      </c>
      <c r="N657" s="17">
        <f>IFERROR(__xludf.DUMMYFUNCTION("""COMPUTED_VALUE"""),3.0)</f>
        <v>3</v>
      </c>
      <c r="O657" s="17">
        <f>IFERROR(__xludf.DUMMYFUNCTION("""COMPUTED_VALUE"""),0.487)</f>
        <v>0.487</v>
      </c>
      <c r="P657" s="17">
        <f>IFERROR(__xludf.DUMMYFUNCTION("""COMPUTED_VALUE"""),0.778)</f>
        <v>0.778</v>
      </c>
      <c r="Q657" s="34">
        <f>IFERROR(__xludf.DUMMYFUNCTION("""COMPUTED_VALUE"""),0.0)</f>
        <v>0</v>
      </c>
      <c r="R657" s="34">
        <f>IFERROR(__xludf.DUMMYFUNCTION("""COMPUTED_VALUE"""),0.0)</f>
        <v>0</v>
      </c>
      <c r="S657" s="34">
        <f>IFERROR(__xludf.DUMMYFUNCTION("""COMPUTED_VALUE"""),0.0)</f>
        <v>0</v>
      </c>
    </row>
    <row r="658">
      <c r="A658" s="17">
        <f>IFERROR(__xludf.DUMMYFUNCTION("""COMPUTED_VALUE"""),658.0)</f>
        <v>658</v>
      </c>
      <c r="B658" s="17" t="str">
        <f>IFERROR(__xludf.DUMMYFUNCTION("""COMPUTED_VALUE"""),"Juan Yepez (1B) FA")</f>
        <v>Juan Yepez (1B) FA</v>
      </c>
      <c r="C658" s="17">
        <f>IFERROR(__xludf.DUMMYFUNCTION("""COMPUTED_VALUE"""),9.0)</f>
        <v>9</v>
      </c>
      <c r="D658" s="17">
        <f>IFERROR(__xludf.DUMMYFUNCTION("""COMPUTED_VALUE"""),1.0)</f>
        <v>1</v>
      </c>
      <c r="E658" s="17">
        <f>IFERROR(__xludf.DUMMYFUNCTION("""COMPUTED_VALUE"""),1.0)</f>
        <v>1</v>
      </c>
      <c r="F658" s="17">
        <f>IFERROR(__xludf.DUMMYFUNCTION("""COMPUTED_VALUE"""),1.0)</f>
        <v>1</v>
      </c>
      <c r="G658" s="17">
        <f>IFERROR(__xludf.DUMMYFUNCTION("""COMPUTED_VALUE"""),0.0)</f>
        <v>0</v>
      </c>
      <c r="H658" s="17">
        <f>IFERROR(__xludf.DUMMYFUNCTION("""COMPUTED_VALUE"""),0.249)</f>
        <v>0.249</v>
      </c>
      <c r="I658" s="17">
        <f>IFERROR(__xludf.DUMMYFUNCTION("""COMPUTED_VALUE"""),0.295)</f>
        <v>0.295</v>
      </c>
      <c r="J658" s="17">
        <f>IFERROR(__xludf.DUMMYFUNCTION("""COMPUTED_VALUE"""),2.0)</f>
        <v>2</v>
      </c>
      <c r="K658" s="17">
        <f>IFERROR(__xludf.DUMMYFUNCTION("""COMPUTED_VALUE"""),1.0)</f>
        <v>1</v>
      </c>
      <c r="L658" s="17">
        <f>IFERROR(__xludf.DUMMYFUNCTION("""COMPUTED_VALUE"""),0.0)</f>
        <v>0</v>
      </c>
      <c r="M658" s="17">
        <f>IFERROR(__xludf.DUMMYFUNCTION("""COMPUTED_VALUE"""),1.0)</f>
        <v>1</v>
      </c>
      <c r="N658" s="17">
        <f>IFERROR(__xludf.DUMMYFUNCTION("""COMPUTED_VALUE"""),2.0)</f>
        <v>2</v>
      </c>
      <c r="O658" s="17">
        <f>IFERROR(__xludf.DUMMYFUNCTION("""COMPUTED_VALUE"""),0.49)</f>
        <v>0.49</v>
      </c>
      <c r="P658" s="17">
        <f>IFERROR(__xludf.DUMMYFUNCTION("""COMPUTED_VALUE"""),0.785)</f>
        <v>0.785</v>
      </c>
      <c r="Q658" s="34">
        <f>IFERROR(__xludf.DUMMYFUNCTION("""COMPUTED_VALUE"""),0.0)</f>
        <v>0</v>
      </c>
      <c r="R658" s="34">
        <f>IFERROR(__xludf.DUMMYFUNCTION("""COMPUTED_VALUE"""),0.0)</f>
        <v>0</v>
      </c>
      <c r="S658" s="34">
        <f>IFERROR(__xludf.DUMMYFUNCTION("""COMPUTED_VALUE"""),0.0)</f>
        <v>0</v>
      </c>
    </row>
    <row r="659">
      <c r="A659" s="17">
        <f>IFERROR(__xludf.DUMMYFUNCTION("""COMPUTED_VALUE"""),659.0)</f>
        <v>659</v>
      </c>
      <c r="B659" s="17" t="str">
        <f>IFERROR(__xludf.DUMMYFUNCTION("""COMPUTED_VALUE"""),"Josue Briceno (DET - C,1B) MiLB")</f>
        <v>Josue Briceno (DET - C,1B) MiLB</v>
      </c>
      <c r="C659" s="17">
        <f>IFERROR(__xludf.DUMMYFUNCTION("""COMPUTED_VALUE"""),9.0)</f>
        <v>9</v>
      </c>
      <c r="D659" s="17">
        <f>IFERROR(__xludf.DUMMYFUNCTION("""COMPUTED_VALUE"""),1.0)</f>
        <v>1</v>
      </c>
      <c r="E659" s="17">
        <f>IFERROR(__xludf.DUMMYFUNCTION("""COMPUTED_VALUE"""),1.0)</f>
        <v>1</v>
      </c>
      <c r="F659" s="17">
        <f>IFERROR(__xludf.DUMMYFUNCTION("""COMPUTED_VALUE"""),1.0)</f>
        <v>1</v>
      </c>
      <c r="G659" s="17">
        <f>IFERROR(__xludf.DUMMYFUNCTION("""COMPUTED_VALUE"""),0.0)</f>
        <v>0</v>
      </c>
      <c r="H659" s="17">
        <f>IFERROR(__xludf.DUMMYFUNCTION("""COMPUTED_VALUE"""),0.249)</f>
        <v>0.249</v>
      </c>
      <c r="I659" s="17">
        <f>IFERROR(__xludf.DUMMYFUNCTION("""COMPUTED_VALUE"""),0.332)</f>
        <v>0.332</v>
      </c>
      <c r="J659" s="17">
        <f>IFERROR(__xludf.DUMMYFUNCTION("""COMPUTED_VALUE"""),2.0)</f>
        <v>2</v>
      </c>
      <c r="K659" s="17">
        <f>IFERROR(__xludf.DUMMYFUNCTION("""COMPUTED_VALUE"""),1.0)</f>
        <v>1</v>
      </c>
      <c r="L659" s="17">
        <f>IFERROR(__xludf.DUMMYFUNCTION("""COMPUTED_VALUE"""),0.0)</f>
        <v>0</v>
      </c>
      <c r="M659" s="17">
        <f>IFERROR(__xludf.DUMMYFUNCTION("""COMPUTED_VALUE"""),1.0)</f>
        <v>1</v>
      </c>
      <c r="N659" s="17">
        <f>IFERROR(__xludf.DUMMYFUNCTION("""COMPUTED_VALUE"""),2.0)</f>
        <v>2</v>
      </c>
      <c r="O659" s="17">
        <f>IFERROR(__xludf.DUMMYFUNCTION("""COMPUTED_VALUE"""),0.492)</f>
        <v>0.492</v>
      </c>
      <c r="P659" s="17">
        <f>IFERROR(__xludf.DUMMYFUNCTION("""COMPUTED_VALUE"""),0.824)</f>
        <v>0.824</v>
      </c>
      <c r="Q659" s="34">
        <f>IFERROR(__xludf.DUMMYFUNCTION("""COMPUTED_VALUE"""),0.01)</f>
        <v>0.01</v>
      </c>
      <c r="R659" s="34">
        <f>IFERROR(__xludf.DUMMYFUNCTION("""COMPUTED_VALUE"""),0.01)</f>
        <v>0.01</v>
      </c>
      <c r="S659" s="34">
        <f>IFERROR(__xludf.DUMMYFUNCTION("""COMPUTED_VALUE"""),0.0)</f>
        <v>0</v>
      </c>
    </row>
    <row r="660">
      <c r="A660" s="17">
        <f>IFERROR(__xludf.DUMMYFUNCTION("""COMPUTED_VALUE"""),660.0)</f>
        <v>660</v>
      </c>
      <c r="B660" s="17" t="str">
        <f>IFERROR(__xludf.DUMMYFUNCTION("""COMPUTED_VALUE"""),"Seth Brown (NYY - 1B,LF,CF,RF) MiLB")</f>
        <v>Seth Brown (NYY - 1B,LF,CF,RF) MiLB</v>
      </c>
      <c r="C660" s="17">
        <f>IFERROR(__xludf.DUMMYFUNCTION("""COMPUTED_VALUE"""),9.0)</f>
        <v>9</v>
      </c>
      <c r="D660" s="17">
        <f>IFERROR(__xludf.DUMMYFUNCTION("""COMPUTED_VALUE"""),1.0)</f>
        <v>1</v>
      </c>
      <c r="E660" s="17">
        <f>IFERROR(__xludf.DUMMYFUNCTION("""COMPUTED_VALUE"""),1.0)</f>
        <v>1</v>
      </c>
      <c r="F660" s="17">
        <f>IFERROR(__xludf.DUMMYFUNCTION("""COMPUTED_VALUE"""),1.0)</f>
        <v>1</v>
      </c>
      <c r="G660" s="17">
        <f>IFERROR(__xludf.DUMMYFUNCTION("""COMPUTED_VALUE"""),0.0)</f>
        <v>0</v>
      </c>
      <c r="H660" s="17">
        <f>IFERROR(__xludf.DUMMYFUNCTION("""COMPUTED_VALUE"""),0.248)</f>
        <v>0.248</v>
      </c>
      <c r="I660" s="17">
        <f>IFERROR(__xludf.DUMMYFUNCTION("""COMPUTED_VALUE"""),0.294)</f>
        <v>0.294</v>
      </c>
      <c r="J660" s="17">
        <f>IFERROR(__xludf.DUMMYFUNCTION("""COMPUTED_VALUE"""),2.0)</f>
        <v>2</v>
      </c>
      <c r="K660" s="17">
        <f>IFERROR(__xludf.DUMMYFUNCTION("""COMPUTED_VALUE"""),1.0)</f>
        <v>1</v>
      </c>
      <c r="L660" s="17">
        <f>IFERROR(__xludf.DUMMYFUNCTION("""COMPUTED_VALUE"""),0.0)</f>
        <v>0</v>
      </c>
      <c r="M660" s="17">
        <f>IFERROR(__xludf.DUMMYFUNCTION("""COMPUTED_VALUE"""),1.0)</f>
        <v>1</v>
      </c>
      <c r="N660" s="17">
        <f>IFERROR(__xludf.DUMMYFUNCTION("""COMPUTED_VALUE"""),3.0)</f>
        <v>3</v>
      </c>
      <c r="O660" s="17">
        <f>IFERROR(__xludf.DUMMYFUNCTION("""COMPUTED_VALUE"""),0.492)</f>
        <v>0.492</v>
      </c>
      <c r="P660" s="17">
        <f>IFERROR(__xludf.DUMMYFUNCTION("""COMPUTED_VALUE"""),0.786)</f>
        <v>0.786</v>
      </c>
      <c r="Q660" s="34">
        <f>IFERROR(__xludf.DUMMYFUNCTION("""COMPUTED_VALUE"""),0.0)</f>
        <v>0</v>
      </c>
      <c r="R660" s="34">
        <f>IFERROR(__xludf.DUMMYFUNCTION("""COMPUTED_VALUE"""),0.0)</f>
        <v>0</v>
      </c>
      <c r="S660" s="34">
        <f>IFERROR(__xludf.DUMMYFUNCTION("""COMPUTED_VALUE"""),0.0)</f>
        <v>0</v>
      </c>
    </row>
    <row r="661">
      <c r="A661" s="17">
        <f>IFERROR(__xludf.DUMMYFUNCTION("""COMPUTED_VALUE"""),661.0)</f>
        <v>661</v>
      </c>
      <c r="B661" s="17" t="str">
        <f>IFERROR(__xludf.DUMMYFUNCTION("""COMPUTED_VALUE"""),"Luis Urias (ARI - 2B,3B) MiLB")</f>
        <v>Luis Urias (ARI - 2B,3B) MiLB</v>
      </c>
      <c r="C661" s="17">
        <f>IFERROR(__xludf.DUMMYFUNCTION("""COMPUTED_VALUE"""),14.0)</f>
        <v>14</v>
      </c>
      <c r="D661" s="17">
        <f>IFERROR(__xludf.DUMMYFUNCTION("""COMPUTED_VALUE"""),2.0)</f>
        <v>2</v>
      </c>
      <c r="E661" s="17">
        <f>IFERROR(__xludf.DUMMYFUNCTION("""COMPUTED_VALUE"""),0.0)</f>
        <v>0</v>
      </c>
      <c r="F661" s="17">
        <f>IFERROR(__xludf.DUMMYFUNCTION("""COMPUTED_VALUE"""),2.0)</f>
        <v>2</v>
      </c>
      <c r="G661" s="17">
        <f>IFERROR(__xludf.DUMMYFUNCTION("""COMPUTED_VALUE"""),0.0)</f>
        <v>0</v>
      </c>
      <c r="H661" s="17">
        <f>IFERROR(__xludf.DUMMYFUNCTION("""COMPUTED_VALUE"""),0.225)</f>
        <v>0.225</v>
      </c>
      <c r="I661" s="17">
        <f>IFERROR(__xludf.DUMMYFUNCTION("""COMPUTED_VALUE"""),0.315)</f>
        <v>0.315</v>
      </c>
      <c r="J661" s="17">
        <f>IFERROR(__xludf.DUMMYFUNCTION("""COMPUTED_VALUE"""),3.0)</f>
        <v>3</v>
      </c>
      <c r="K661" s="17">
        <f>IFERROR(__xludf.DUMMYFUNCTION("""COMPUTED_VALUE"""),1.0)</f>
        <v>1</v>
      </c>
      <c r="L661" s="17">
        <f>IFERROR(__xludf.DUMMYFUNCTION("""COMPUTED_VALUE"""),0.0)</f>
        <v>0</v>
      </c>
      <c r="M661" s="17">
        <f>IFERROR(__xludf.DUMMYFUNCTION("""COMPUTED_VALUE"""),2.0)</f>
        <v>2</v>
      </c>
      <c r="N661" s="17">
        <f>IFERROR(__xludf.DUMMYFUNCTION("""COMPUTED_VALUE"""),3.0)</f>
        <v>3</v>
      </c>
      <c r="O661" s="17">
        <f>IFERROR(__xludf.DUMMYFUNCTION("""COMPUTED_VALUE"""),0.339)</f>
        <v>0.339</v>
      </c>
      <c r="P661" s="17">
        <f>IFERROR(__xludf.DUMMYFUNCTION("""COMPUTED_VALUE"""),0.654)</f>
        <v>0.654</v>
      </c>
      <c r="Q661" s="34">
        <f>IFERROR(__xludf.DUMMYFUNCTION("""COMPUTED_VALUE"""),0.0)</f>
        <v>0</v>
      </c>
      <c r="R661" s="34">
        <f>IFERROR(__xludf.DUMMYFUNCTION("""COMPUTED_VALUE"""),0.0)</f>
        <v>0</v>
      </c>
      <c r="S661" s="34">
        <f>IFERROR(__xludf.DUMMYFUNCTION("""COMPUTED_VALUE"""),0.0)</f>
        <v>0</v>
      </c>
    </row>
    <row r="662">
      <c r="A662" s="17">
        <f>IFERROR(__xludf.DUMMYFUNCTION("""COMPUTED_VALUE"""),662.0)</f>
        <v>662</v>
      </c>
      <c r="B662" s="17" t="str">
        <f>IFERROR(__xludf.DUMMYFUNCTION("""COMPUTED_VALUE"""),"James Triantos (CHC - 2B,LF,CF) MiLB")</f>
        <v>James Triantos (CHC - 2B,LF,CF) MiLB</v>
      </c>
      <c r="C662" s="17">
        <f>IFERROR(__xludf.DUMMYFUNCTION("""COMPUTED_VALUE"""),14.0)</f>
        <v>14</v>
      </c>
      <c r="D662" s="17">
        <f>IFERROR(__xludf.DUMMYFUNCTION("""COMPUTED_VALUE"""),2.0)</f>
        <v>2</v>
      </c>
      <c r="E662" s="17">
        <f>IFERROR(__xludf.DUMMYFUNCTION("""COMPUTED_VALUE"""),0.0)</f>
        <v>0</v>
      </c>
      <c r="F662" s="17">
        <f>IFERROR(__xludf.DUMMYFUNCTION("""COMPUTED_VALUE"""),2.0)</f>
        <v>2</v>
      </c>
      <c r="G662" s="17">
        <f>IFERROR(__xludf.DUMMYFUNCTION("""COMPUTED_VALUE"""),0.0)</f>
        <v>0</v>
      </c>
      <c r="H662" s="17">
        <f>IFERROR(__xludf.DUMMYFUNCTION("""COMPUTED_VALUE"""),0.227)</f>
        <v>0.227</v>
      </c>
      <c r="I662" s="17">
        <f>IFERROR(__xludf.DUMMYFUNCTION("""COMPUTED_VALUE"""),0.266)</f>
        <v>0.266</v>
      </c>
      <c r="J662" s="17">
        <f>IFERROR(__xludf.DUMMYFUNCTION("""COMPUTED_VALUE"""),3.0)</f>
        <v>3</v>
      </c>
      <c r="K662" s="17">
        <f>IFERROR(__xludf.DUMMYFUNCTION("""COMPUTED_VALUE"""),0.0)</f>
        <v>0</v>
      </c>
      <c r="L662" s="17">
        <f>IFERROR(__xludf.DUMMYFUNCTION("""COMPUTED_VALUE"""),0.0)</f>
        <v>0</v>
      </c>
      <c r="M662" s="17">
        <f>IFERROR(__xludf.DUMMYFUNCTION("""COMPUTED_VALUE"""),1.0)</f>
        <v>1</v>
      </c>
      <c r="N662" s="17">
        <f>IFERROR(__xludf.DUMMYFUNCTION("""COMPUTED_VALUE"""),2.0)</f>
        <v>2</v>
      </c>
      <c r="O662" s="17">
        <f>IFERROR(__xludf.DUMMYFUNCTION("""COMPUTED_VALUE"""),0.297)</f>
        <v>0.297</v>
      </c>
      <c r="P662" s="17">
        <f>IFERROR(__xludf.DUMMYFUNCTION("""COMPUTED_VALUE"""),0.563)</f>
        <v>0.563</v>
      </c>
      <c r="Q662" s="34">
        <f>IFERROR(__xludf.DUMMYFUNCTION("""COMPUTED_VALUE"""),0.0)</f>
        <v>0</v>
      </c>
      <c r="R662" s="34">
        <f>IFERROR(__xludf.DUMMYFUNCTION("""COMPUTED_VALUE"""),0.0)</f>
        <v>0</v>
      </c>
      <c r="S662" s="34">
        <f>IFERROR(__xludf.DUMMYFUNCTION("""COMPUTED_VALUE"""),0.0)</f>
        <v>0</v>
      </c>
    </row>
    <row r="663">
      <c r="A663" s="17">
        <f>IFERROR(__xludf.DUMMYFUNCTION("""COMPUTED_VALUE"""),663.0)</f>
        <v>663</v>
      </c>
      <c r="B663" s="17" t="str">
        <f>IFERROR(__xludf.DUMMYFUNCTION("""COMPUTED_VALUE"""),"Cooper Ingle (CLE - C) MiLB")</f>
        <v>Cooper Ingle (CLE - C) MiLB</v>
      </c>
      <c r="C663" s="17">
        <f>IFERROR(__xludf.DUMMYFUNCTION("""COMPUTED_VALUE"""),14.0)</f>
        <v>14</v>
      </c>
      <c r="D663" s="17">
        <f>IFERROR(__xludf.DUMMYFUNCTION("""COMPUTED_VALUE"""),2.0)</f>
        <v>2</v>
      </c>
      <c r="E663" s="17">
        <f>IFERROR(__xludf.DUMMYFUNCTION("""COMPUTED_VALUE"""),0.0)</f>
        <v>0</v>
      </c>
      <c r="F663" s="17">
        <f>IFERROR(__xludf.DUMMYFUNCTION("""COMPUTED_VALUE"""),2.0)</f>
        <v>2</v>
      </c>
      <c r="G663" s="17">
        <f>IFERROR(__xludf.DUMMYFUNCTION("""COMPUTED_VALUE"""),0.0)</f>
        <v>0</v>
      </c>
      <c r="H663" s="17">
        <f>IFERROR(__xludf.DUMMYFUNCTION("""COMPUTED_VALUE"""),0.221)</f>
        <v>0.221</v>
      </c>
      <c r="I663" s="17">
        <f>IFERROR(__xludf.DUMMYFUNCTION("""COMPUTED_VALUE"""),0.314)</f>
        <v>0.314</v>
      </c>
      <c r="J663" s="17">
        <f>IFERROR(__xludf.DUMMYFUNCTION("""COMPUTED_VALUE"""),3.0)</f>
        <v>3</v>
      </c>
      <c r="K663" s="17">
        <f>IFERROR(__xludf.DUMMYFUNCTION("""COMPUTED_VALUE"""),1.0)</f>
        <v>1</v>
      </c>
      <c r="L663" s="17">
        <f>IFERROR(__xludf.DUMMYFUNCTION("""COMPUTED_VALUE"""),0.0)</f>
        <v>0</v>
      </c>
      <c r="M663" s="17">
        <f>IFERROR(__xludf.DUMMYFUNCTION("""COMPUTED_VALUE"""),2.0)</f>
        <v>2</v>
      </c>
      <c r="N663" s="17">
        <f>IFERROR(__xludf.DUMMYFUNCTION("""COMPUTED_VALUE"""),3.0)</f>
        <v>3</v>
      </c>
      <c r="O663" s="17">
        <f>IFERROR(__xludf.DUMMYFUNCTION("""COMPUTED_VALUE"""),0.314)</f>
        <v>0.314</v>
      </c>
      <c r="P663" s="17">
        <f>IFERROR(__xludf.DUMMYFUNCTION("""COMPUTED_VALUE"""),0.628)</f>
        <v>0.628</v>
      </c>
      <c r="Q663" s="34">
        <f>IFERROR(__xludf.DUMMYFUNCTION("""COMPUTED_VALUE"""),0.0)</f>
        <v>0</v>
      </c>
      <c r="R663" s="34">
        <f>IFERROR(__xludf.DUMMYFUNCTION("""COMPUTED_VALUE"""),0.0)</f>
        <v>0</v>
      </c>
      <c r="S663" s="34">
        <f>IFERROR(__xludf.DUMMYFUNCTION("""COMPUTED_VALUE"""),0.0)</f>
        <v>0</v>
      </c>
    </row>
    <row r="664">
      <c r="A664" s="17">
        <f>IFERROR(__xludf.DUMMYFUNCTION("""COMPUTED_VALUE"""),664.0)</f>
        <v>664</v>
      </c>
      <c r="B664" s="17" t="str">
        <f>IFERROR(__xludf.DUMMYFUNCTION("""COMPUTED_VALUE"""),"Jeimer Candelario (LAA - 1B,3B) MiLB")</f>
        <v>Jeimer Candelario (LAA - 1B,3B) MiLB</v>
      </c>
      <c r="C664" s="17">
        <f>IFERROR(__xludf.DUMMYFUNCTION("""COMPUTED_VALUE"""),18.0)</f>
        <v>18</v>
      </c>
      <c r="D664" s="17">
        <f>IFERROR(__xludf.DUMMYFUNCTION("""COMPUTED_VALUE"""),2.0)</f>
        <v>2</v>
      </c>
      <c r="E664" s="17">
        <f>IFERROR(__xludf.DUMMYFUNCTION("""COMPUTED_VALUE"""),0.0)</f>
        <v>0</v>
      </c>
      <c r="F664" s="17">
        <f>IFERROR(__xludf.DUMMYFUNCTION("""COMPUTED_VALUE"""),2.0)</f>
        <v>2</v>
      </c>
      <c r="G664" s="17">
        <f>IFERROR(__xludf.DUMMYFUNCTION("""COMPUTED_VALUE"""),0.0)</f>
        <v>0</v>
      </c>
      <c r="H664" s="17">
        <f>IFERROR(__xludf.DUMMYFUNCTION("""COMPUTED_VALUE"""),0.203)</f>
        <v>0.203</v>
      </c>
      <c r="I664" s="17">
        <f>IFERROR(__xludf.DUMMYFUNCTION("""COMPUTED_VALUE"""),0.268)</f>
        <v>0.268</v>
      </c>
      <c r="J664" s="17">
        <f>IFERROR(__xludf.DUMMYFUNCTION("""COMPUTED_VALUE"""),4.0)</f>
        <v>4</v>
      </c>
      <c r="K664" s="17">
        <f>IFERROR(__xludf.DUMMYFUNCTION("""COMPUTED_VALUE"""),1.0)</f>
        <v>1</v>
      </c>
      <c r="L664" s="17">
        <f>IFERROR(__xludf.DUMMYFUNCTION("""COMPUTED_VALUE"""),0.0)</f>
        <v>0</v>
      </c>
      <c r="M664" s="17">
        <f>IFERROR(__xludf.DUMMYFUNCTION("""COMPUTED_VALUE"""),1.0)</f>
        <v>1</v>
      </c>
      <c r="N664" s="17">
        <f>IFERROR(__xludf.DUMMYFUNCTION("""COMPUTED_VALUE"""),6.0)</f>
        <v>6</v>
      </c>
      <c r="O664" s="17">
        <f>IFERROR(__xludf.DUMMYFUNCTION("""COMPUTED_VALUE"""),0.319)</f>
        <v>0.319</v>
      </c>
      <c r="P664" s="17">
        <f>IFERROR(__xludf.DUMMYFUNCTION("""COMPUTED_VALUE"""),0.588)</f>
        <v>0.588</v>
      </c>
      <c r="Q664" s="34">
        <f>IFERROR(__xludf.DUMMYFUNCTION("""COMPUTED_VALUE"""),0.0)</f>
        <v>0</v>
      </c>
      <c r="R664" s="34">
        <f>IFERROR(__xludf.DUMMYFUNCTION("""COMPUTED_VALUE"""),0.0)</f>
        <v>0</v>
      </c>
      <c r="S664" s="34">
        <f>IFERROR(__xludf.DUMMYFUNCTION("""COMPUTED_VALUE"""),0.0)</f>
        <v>0</v>
      </c>
    </row>
    <row r="665">
      <c r="A665" s="17">
        <f>IFERROR(__xludf.DUMMYFUNCTION("""COMPUTED_VALUE"""),665.0)</f>
        <v>665</v>
      </c>
      <c r="B665" s="17" t="str">
        <f>IFERROR(__xludf.DUMMYFUNCTION("""COMPUTED_VALUE"""),"Kevin Alcantara (CHC - CF,RF) MiLB")</f>
        <v>Kevin Alcantara (CHC - CF,RF) MiLB</v>
      </c>
      <c r="C665" s="17">
        <f>IFERROR(__xludf.DUMMYFUNCTION("""COMPUTED_VALUE"""),18.0)</f>
        <v>18</v>
      </c>
      <c r="D665" s="17">
        <f>IFERROR(__xludf.DUMMYFUNCTION("""COMPUTED_VALUE"""),2.0)</f>
        <v>2</v>
      </c>
      <c r="E665" s="17">
        <f>IFERROR(__xludf.DUMMYFUNCTION("""COMPUTED_VALUE"""),0.0)</f>
        <v>0</v>
      </c>
      <c r="F665" s="17">
        <f>IFERROR(__xludf.DUMMYFUNCTION("""COMPUTED_VALUE"""),2.0)</f>
        <v>2</v>
      </c>
      <c r="G665" s="17">
        <f>IFERROR(__xludf.DUMMYFUNCTION("""COMPUTED_VALUE"""),0.0)</f>
        <v>0</v>
      </c>
      <c r="H665" s="17">
        <f>IFERROR(__xludf.DUMMYFUNCTION("""COMPUTED_VALUE"""),0.216)</f>
        <v>0.216</v>
      </c>
      <c r="I665" s="17">
        <f>IFERROR(__xludf.DUMMYFUNCTION("""COMPUTED_VALUE"""),0.273)</f>
        <v>0.273</v>
      </c>
      <c r="J665" s="17">
        <f>IFERROR(__xludf.DUMMYFUNCTION("""COMPUTED_VALUE"""),4.0)</f>
        <v>4</v>
      </c>
      <c r="K665" s="17">
        <f>IFERROR(__xludf.DUMMYFUNCTION("""COMPUTED_VALUE"""),1.0)</f>
        <v>1</v>
      </c>
      <c r="L665" s="17">
        <f>IFERROR(__xludf.DUMMYFUNCTION("""COMPUTED_VALUE"""),0.0)</f>
        <v>0</v>
      </c>
      <c r="M665" s="17">
        <f>IFERROR(__xludf.DUMMYFUNCTION("""COMPUTED_VALUE"""),1.0)</f>
        <v>1</v>
      </c>
      <c r="N665" s="17">
        <f>IFERROR(__xludf.DUMMYFUNCTION("""COMPUTED_VALUE"""),6.0)</f>
        <v>6</v>
      </c>
      <c r="O665" s="17">
        <f>IFERROR(__xludf.DUMMYFUNCTION("""COMPUTED_VALUE"""),0.339)</f>
        <v>0.339</v>
      </c>
      <c r="P665" s="17">
        <f>IFERROR(__xludf.DUMMYFUNCTION("""COMPUTED_VALUE"""),0.612)</f>
        <v>0.612</v>
      </c>
      <c r="Q665" s="34">
        <f>IFERROR(__xludf.DUMMYFUNCTION("""COMPUTED_VALUE"""),0.01)</f>
        <v>0.01</v>
      </c>
      <c r="R665" s="34">
        <f>IFERROR(__xludf.DUMMYFUNCTION("""COMPUTED_VALUE"""),0.01)</f>
        <v>0.01</v>
      </c>
      <c r="S665" s="34">
        <f>IFERROR(__xludf.DUMMYFUNCTION("""COMPUTED_VALUE"""),0.0)</f>
        <v>0</v>
      </c>
    </row>
    <row r="666">
      <c r="A666" s="17">
        <f>IFERROR(__xludf.DUMMYFUNCTION("""COMPUTED_VALUE"""),666.0)</f>
        <v>666</v>
      </c>
      <c r="B666" s="17" t="str">
        <f>IFERROR(__xludf.DUMMYFUNCTION("""COMPUTED_VALUE"""),"Yohandy Morales (WSH - 1B,3B) MiLB")</f>
        <v>Yohandy Morales (WSH - 1B,3B) MiLB</v>
      </c>
      <c r="C666" s="17">
        <f>IFERROR(__xludf.DUMMYFUNCTION("""COMPUTED_VALUE"""),18.0)</f>
        <v>18</v>
      </c>
      <c r="D666" s="17">
        <f>IFERROR(__xludf.DUMMYFUNCTION("""COMPUTED_VALUE"""),2.0)</f>
        <v>2</v>
      </c>
      <c r="E666" s="17">
        <f>IFERROR(__xludf.DUMMYFUNCTION("""COMPUTED_VALUE"""),0.0)</f>
        <v>0</v>
      </c>
      <c r="F666" s="17">
        <f>IFERROR(__xludf.DUMMYFUNCTION("""COMPUTED_VALUE"""),2.0)</f>
        <v>2</v>
      </c>
      <c r="G666" s="17">
        <f>IFERROR(__xludf.DUMMYFUNCTION("""COMPUTED_VALUE"""),0.0)</f>
        <v>0</v>
      </c>
      <c r="H666" s="17">
        <f>IFERROR(__xludf.DUMMYFUNCTION("""COMPUTED_VALUE"""),0.245)</f>
        <v>0.245</v>
      </c>
      <c r="I666" s="17">
        <f>IFERROR(__xludf.DUMMYFUNCTION("""COMPUTED_VALUE"""),0.312)</f>
        <v>0.312</v>
      </c>
      <c r="J666" s="17">
        <f>IFERROR(__xludf.DUMMYFUNCTION("""COMPUTED_VALUE"""),4.0)</f>
        <v>4</v>
      </c>
      <c r="K666" s="17">
        <f>IFERROR(__xludf.DUMMYFUNCTION("""COMPUTED_VALUE"""),1.0)</f>
        <v>1</v>
      </c>
      <c r="L666" s="17">
        <f>IFERROR(__xludf.DUMMYFUNCTION("""COMPUTED_VALUE"""),0.0)</f>
        <v>0</v>
      </c>
      <c r="M666" s="17">
        <f>IFERROR(__xludf.DUMMYFUNCTION("""COMPUTED_VALUE"""),2.0)</f>
        <v>2</v>
      </c>
      <c r="N666" s="17">
        <f>IFERROR(__xludf.DUMMYFUNCTION("""COMPUTED_VALUE"""),6.0)</f>
        <v>6</v>
      </c>
      <c r="O666" s="17">
        <f>IFERROR(__xludf.DUMMYFUNCTION("""COMPUTED_VALUE"""),0.358)</f>
        <v>0.358</v>
      </c>
      <c r="P666" s="17">
        <f>IFERROR(__xludf.DUMMYFUNCTION("""COMPUTED_VALUE"""),0.669)</f>
        <v>0.669</v>
      </c>
      <c r="Q666" s="34">
        <f>IFERROR(__xludf.DUMMYFUNCTION("""COMPUTED_VALUE"""),0.0)</f>
        <v>0</v>
      </c>
      <c r="R666" s="34">
        <f>IFERROR(__xludf.DUMMYFUNCTION("""COMPUTED_VALUE"""),0.0)</f>
        <v>0</v>
      </c>
      <c r="S666" s="34">
        <f>IFERROR(__xludf.DUMMYFUNCTION("""COMPUTED_VALUE"""),0.0)</f>
        <v>0</v>
      </c>
    </row>
    <row r="667">
      <c r="A667" s="17">
        <f>IFERROR(__xludf.DUMMYFUNCTION("""COMPUTED_VALUE"""),667.0)</f>
        <v>667</v>
      </c>
      <c r="B667" s="17" t="str">
        <f>IFERROR(__xludf.DUMMYFUNCTION("""COMPUTED_VALUE"""),"Tyler Fitzgerald (LAD - 2B) MiLB")</f>
        <v>Tyler Fitzgerald (LAD - 2B) MiLB</v>
      </c>
      <c r="C667" s="17">
        <f>IFERROR(__xludf.DUMMYFUNCTION("""COMPUTED_VALUE"""),18.0)</f>
        <v>18</v>
      </c>
      <c r="D667" s="17">
        <f>IFERROR(__xludf.DUMMYFUNCTION("""COMPUTED_VALUE"""),2.0)</f>
        <v>2</v>
      </c>
      <c r="E667" s="17">
        <f>IFERROR(__xludf.DUMMYFUNCTION("""COMPUTED_VALUE"""),0.0)</f>
        <v>0</v>
      </c>
      <c r="F667" s="17">
        <f>IFERROR(__xludf.DUMMYFUNCTION("""COMPUTED_VALUE"""),2.0)</f>
        <v>2</v>
      </c>
      <c r="G667" s="17">
        <f>IFERROR(__xludf.DUMMYFUNCTION("""COMPUTED_VALUE"""),0.0)</f>
        <v>0</v>
      </c>
      <c r="H667" s="17">
        <f>IFERROR(__xludf.DUMMYFUNCTION("""COMPUTED_VALUE"""),0.206)</f>
        <v>0.206</v>
      </c>
      <c r="I667" s="17">
        <f>IFERROR(__xludf.DUMMYFUNCTION("""COMPUTED_VALUE"""),0.258)</f>
        <v>0.258</v>
      </c>
      <c r="J667" s="17">
        <f>IFERROR(__xludf.DUMMYFUNCTION("""COMPUTED_VALUE"""),4.0)</f>
        <v>4</v>
      </c>
      <c r="K667" s="17">
        <f>IFERROR(__xludf.DUMMYFUNCTION("""COMPUTED_VALUE"""),1.0)</f>
        <v>1</v>
      </c>
      <c r="L667" s="17">
        <f>IFERROR(__xludf.DUMMYFUNCTION("""COMPUTED_VALUE"""),0.0)</f>
        <v>0</v>
      </c>
      <c r="M667" s="17">
        <f>IFERROR(__xludf.DUMMYFUNCTION("""COMPUTED_VALUE"""),1.0)</f>
        <v>1</v>
      </c>
      <c r="N667" s="17">
        <f>IFERROR(__xludf.DUMMYFUNCTION("""COMPUTED_VALUE"""),6.0)</f>
        <v>6</v>
      </c>
      <c r="O667" s="17">
        <f>IFERROR(__xludf.DUMMYFUNCTION("""COMPUTED_VALUE"""),0.322)</f>
        <v>0.322</v>
      </c>
      <c r="P667" s="17">
        <f>IFERROR(__xludf.DUMMYFUNCTION("""COMPUTED_VALUE"""),0.58)</f>
        <v>0.58</v>
      </c>
      <c r="Q667" s="34">
        <f>IFERROR(__xludf.DUMMYFUNCTION("""COMPUTED_VALUE"""),0.0)</f>
        <v>0</v>
      </c>
      <c r="R667" s="34">
        <f>IFERROR(__xludf.DUMMYFUNCTION("""COMPUTED_VALUE"""),0.0)</f>
        <v>0</v>
      </c>
      <c r="S667" s="34">
        <f>IFERROR(__xludf.DUMMYFUNCTION("""COMPUTED_VALUE"""),0.0)</f>
        <v>0</v>
      </c>
    </row>
    <row r="668">
      <c r="A668" s="17">
        <f>IFERROR(__xludf.DUMMYFUNCTION("""COMPUTED_VALUE"""),668.0)</f>
        <v>668</v>
      </c>
      <c r="B668" s="17" t="str">
        <f>IFERROR(__xludf.DUMMYFUNCTION("""COMPUTED_VALUE"""),"Jesus Rodriguez (SF - C) MiLB")</f>
        <v>Jesus Rodriguez (SF - C) MiLB</v>
      </c>
      <c r="C668" s="17">
        <f>IFERROR(__xludf.DUMMYFUNCTION("""COMPUTED_VALUE"""),18.0)</f>
        <v>18</v>
      </c>
      <c r="D668" s="17">
        <f>IFERROR(__xludf.DUMMYFUNCTION("""COMPUTED_VALUE"""),2.0)</f>
        <v>2</v>
      </c>
      <c r="E668" s="17">
        <f>IFERROR(__xludf.DUMMYFUNCTION("""COMPUTED_VALUE"""),0.0)</f>
        <v>0</v>
      </c>
      <c r="F668" s="17">
        <f>IFERROR(__xludf.DUMMYFUNCTION("""COMPUTED_VALUE"""),2.0)</f>
        <v>2</v>
      </c>
      <c r="G668" s="17">
        <f>IFERROR(__xludf.DUMMYFUNCTION("""COMPUTED_VALUE"""),0.0)</f>
        <v>0</v>
      </c>
      <c r="H668" s="17">
        <f>IFERROR(__xludf.DUMMYFUNCTION("""COMPUTED_VALUE"""),0.238)</f>
        <v>0.238</v>
      </c>
      <c r="I668" s="17">
        <f>IFERROR(__xludf.DUMMYFUNCTION("""COMPUTED_VALUE"""),0.312)</f>
        <v>0.312</v>
      </c>
      <c r="J668" s="17">
        <f>IFERROR(__xludf.DUMMYFUNCTION("""COMPUTED_VALUE"""),4.0)</f>
        <v>4</v>
      </c>
      <c r="K668" s="17">
        <f>IFERROR(__xludf.DUMMYFUNCTION("""COMPUTED_VALUE"""),1.0)</f>
        <v>1</v>
      </c>
      <c r="L668" s="17">
        <f>IFERROR(__xludf.DUMMYFUNCTION("""COMPUTED_VALUE"""),0.0)</f>
        <v>0</v>
      </c>
      <c r="M668" s="17">
        <f>IFERROR(__xludf.DUMMYFUNCTION("""COMPUTED_VALUE"""),2.0)</f>
        <v>2</v>
      </c>
      <c r="N668" s="17">
        <f>IFERROR(__xludf.DUMMYFUNCTION("""COMPUTED_VALUE"""),3.0)</f>
        <v>3</v>
      </c>
      <c r="O668" s="17">
        <f>IFERROR(__xludf.DUMMYFUNCTION("""COMPUTED_VALUE"""),0.303)</f>
        <v>0.303</v>
      </c>
      <c r="P668" s="17">
        <f>IFERROR(__xludf.DUMMYFUNCTION("""COMPUTED_VALUE"""),0.615)</f>
        <v>0.615</v>
      </c>
      <c r="Q668" s="34">
        <f>IFERROR(__xludf.DUMMYFUNCTION("""COMPUTED_VALUE"""),0.0)</f>
        <v>0</v>
      </c>
      <c r="R668" s="34">
        <f>IFERROR(__xludf.DUMMYFUNCTION("""COMPUTED_VALUE"""),0.0)</f>
        <v>0</v>
      </c>
      <c r="S668" s="34">
        <f>IFERROR(__xludf.DUMMYFUNCTION("""COMPUTED_VALUE"""),0.0)</f>
        <v>0</v>
      </c>
    </row>
    <row r="669">
      <c r="A669" s="17">
        <f>IFERROR(__xludf.DUMMYFUNCTION("""COMPUTED_VALUE"""),669.0)</f>
        <v>669</v>
      </c>
      <c r="B669" s="17" t="str">
        <f>IFERROR(__xludf.DUMMYFUNCTION("""COMPUTED_VALUE"""),"Dairon Blanco (TEX - LF,CF,RF) MiLB")</f>
        <v>Dairon Blanco (TEX - LF,CF,RF) MiLB</v>
      </c>
      <c r="C669" s="17">
        <f>IFERROR(__xludf.DUMMYFUNCTION("""COMPUTED_VALUE"""),9.0)</f>
        <v>9</v>
      </c>
      <c r="D669" s="17">
        <f>IFERROR(__xludf.DUMMYFUNCTION("""COMPUTED_VALUE"""),1.0)</f>
        <v>1</v>
      </c>
      <c r="E669" s="17">
        <f>IFERROR(__xludf.DUMMYFUNCTION("""COMPUTED_VALUE"""),0.0)</f>
        <v>0</v>
      </c>
      <c r="F669" s="17">
        <f>IFERROR(__xludf.DUMMYFUNCTION("""COMPUTED_VALUE"""),1.0)</f>
        <v>1</v>
      </c>
      <c r="G669" s="17">
        <f>IFERROR(__xludf.DUMMYFUNCTION("""COMPUTED_VALUE"""),1.0)</f>
        <v>1</v>
      </c>
      <c r="H669" s="17">
        <f>IFERROR(__xludf.DUMMYFUNCTION("""COMPUTED_VALUE"""),0.212)</f>
        <v>0.212</v>
      </c>
      <c r="I669" s="17">
        <f>IFERROR(__xludf.DUMMYFUNCTION("""COMPUTED_VALUE"""),0.258)</f>
        <v>0.258</v>
      </c>
      <c r="J669" s="17">
        <f>IFERROR(__xludf.DUMMYFUNCTION("""COMPUTED_VALUE"""),2.0)</f>
        <v>2</v>
      </c>
      <c r="K669" s="17">
        <f>IFERROR(__xludf.DUMMYFUNCTION("""COMPUTED_VALUE"""),0.0)</f>
        <v>0</v>
      </c>
      <c r="L669" s="17">
        <f>IFERROR(__xludf.DUMMYFUNCTION("""COMPUTED_VALUE"""),0.0)</f>
        <v>0</v>
      </c>
      <c r="M669" s="17">
        <f>IFERROR(__xludf.DUMMYFUNCTION("""COMPUTED_VALUE"""),0.0)</f>
        <v>0</v>
      </c>
      <c r="N669" s="17">
        <f>IFERROR(__xludf.DUMMYFUNCTION("""COMPUTED_VALUE"""),2.0)</f>
        <v>2</v>
      </c>
      <c r="O669" s="17">
        <f>IFERROR(__xludf.DUMMYFUNCTION("""COMPUTED_VALUE"""),0.296)</f>
        <v>0.296</v>
      </c>
      <c r="P669" s="17">
        <f>IFERROR(__xludf.DUMMYFUNCTION("""COMPUTED_VALUE"""),0.554)</f>
        <v>0.554</v>
      </c>
      <c r="Q669" s="34">
        <f>IFERROR(__xludf.DUMMYFUNCTION("""COMPUTED_VALUE"""),0.0)</f>
        <v>0</v>
      </c>
      <c r="R669" s="34">
        <f>IFERROR(__xludf.DUMMYFUNCTION("""COMPUTED_VALUE"""),0.0)</f>
        <v>0</v>
      </c>
      <c r="S669" s="34">
        <f>IFERROR(__xludf.DUMMYFUNCTION("""COMPUTED_VALUE"""),0.0)</f>
        <v>0</v>
      </c>
    </row>
    <row r="670">
      <c r="A670" s="17">
        <f>IFERROR(__xludf.DUMMYFUNCTION("""COMPUTED_VALUE"""),670.0)</f>
        <v>670</v>
      </c>
      <c r="B670" s="17" t="str">
        <f>IFERROR(__xludf.DUMMYFUNCTION("""COMPUTED_VALUE"""),"Drew Waters (KC - LF,CF,RF) MiLB")</f>
        <v>Drew Waters (KC - LF,CF,RF) MiLB</v>
      </c>
      <c r="C670" s="17">
        <f>IFERROR(__xludf.DUMMYFUNCTION("""COMPUTED_VALUE"""),9.0)</f>
        <v>9</v>
      </c>
      <c r="D670" s="17">
        <f>IFERROR(__xludf.DUMMYFUNCTION("""COMPUTED_VALUE"""),1.0)</f>
        <v>1</v>
      </c>
      <c r="E670" s="17">
        <f>IFERROR(__xludf.DUMMYFUNCTION("""COMPUTED_VALUE"""),0.0)</f>
        <v>0</v>
      </c>
      <c r="F670" s="17">
        <f>IFERROR(__xludf.DUMMYFUNCTION("""COMPUTED_VALUE"""),1.0)</f>
        <v>1</v>
      </c>
      <c r="G670" s="17">
        <f>IFERROR(__xludf.DUMMYFUNCTION("""COMPUTED_VALUE"""),1.0)</f>
        <v>1</v>
      </c>
      <c r="H670" s="17">
        <f>IFERROR(__xludf.DUMMYFUNCTION("""COMPUTED_VALUE"""),0.235)</f>
        <v>0.235</v>
      </c>
      <c r="I670" s="17">
        <f>IFERROR(__xludf.DUMMYFUNCTION("""COMPUTED_VALUE"""),0.279)</f>
        <v>0.279</v>
      </c>
      <c r="J670" s="17">
        <f>IFERROR(__xludf.DUMMYFUNCTION("""COMPUTED_VALUE"""),2.0)</f>
        <v>2</v>
      </c>
      <c r="K670" s="17">
        <f>IFERROR(__xludf.DUMMYFUNCTION("""COMPUTED_VALUE"""),1.0)</f>
        <v>1</v>
      </c>
      <c r="L670" s="17">
        <f>IFERROR(__xludf.DUMMYFUNCTION("""COMPUTED_VALUE"""),0.0)</f>
        <v>0</v>
      </c>
      <c r="M670" s="17">
        <f>IFERROR(__xludf.DUMMYFUNCTION("""COMPUTED_VALUE"""),1.0)</f>
        <v>1</v>
      </c>
      <c r="N670" s="17">
        <f>IFERROR(__xludf.DUMMYFUNCTION("""COMPUTED_VALUE"""),3.0)</f>
        <v>3</v>
      </c>
      <c r="O670" s="17">
        <f>IFERROR(__xludf.DUMMYFUNCTION("""COMPUTED_VALUE"""),0.3)</f>
        <v>0.3</v>
      </c>
      <c r="P670" s="17">
        <f>IFERROR(__xludf.DUMMYFUNCTION("""COMPUTED_VALUE"""),0.579)</f>
        <v>0.579</v>
      </c>
      <c r="Q670" s="34">
        <f>IFERROR(__xludf.DUMMYFUNCTION("""COMPUTED_VALUE"""),0.0)</f>
        <v>0</v>
      </c>
      <c r="R670" s="34">
        <f>IFERROR(__xludf.DUMMYFUNCTION("""COMPUTED_VALUE"""),0.0)</f>
        <v>0</v>
      </c>
      <c r="S670" s="34">
        <f>IFERROR(__xludf.DUMMYFUNCTION("""COMPUTED_VALUE"""),0.0)</f>
        <v>0</v>
      </c>
    </row>
    <row r="671">
      <c r="A671" s="17">
        <f>IFERROR(__xludf.DUMMYFUNCTION("""COMPUTED_VALUE"""),671.0)</f>
        <v>671</v>
      </c>
      <c r="B671" s="17" t="str">
        <f>IFERROR(__xludf.DUMMYFUNCTION("""COMPUTED_VALUE"""),"Jordyn Adams (MIL - CF,RF) MiLB")</f>
        <v>Jordyn Adams (MIL - CF,RF) MiLB</v>
      </c>
      <c r="C671" s="17">
        <f>IFERROR(__xludf.DUMMYFUNCTION("""COMPUTED_VALUE"""),9.0)</f>
        <v>9</v>
      </c>
      <c r="D671" s="17">
        <f>IFERROR(__xludf.DUMMYFUNCTION("""COMPUTED_VALUE"""),1.0)</f>
        <v>1</v>
      </c>
      <c r="E671" s="17">
        <f>IFERROR(__xludf.DUMMYFUNCTION("""COMPUTED_VALUE"""),0.0)</f>
        <v>0</v>
      </c>
      <c r="F671" s="17">
        <f>IFERROR(__xludf.DUMMYFUNCTION("""COMPUTED_VALUE"""),1.0)</f>
        <v>1</v>
      </c>
      <c r="G671" s="17">
        <f>IFERROR(__xludf.DUMMYFUNCTION("""COMPUTED_VALUE"""),1.0)</f>
        <v>1</v>
      </c>
      <c r="H671" s="17">
        <f>IFERROR(__xludf.DUMMYFUNCTION("""COMPUTED_VALUE"""),0.189)</f>
        <v>0.189</v>
      </c>
      <c r="I671" s="17">
        <f>IFERROR(__xludf.DUMMYFUNCTION("""COMPUTED_VALUE"""),0.238)</f>
        <v>0.238</v>
      </c>
      <c r="J671" s="17">
        <f>IFERROR(__xludf.DUMMYFUNCTION("""COMPUTED_VALUE"""),2.0)</f>
        <v>2</v>
      </c>
      <c r="K671" s="17">
        <f>IFERROR(__xludf.DUMMYFUNCTION("""COMPUTED_VALUE"""),1.0)</f>
        <v>1</v>
      </c>
      <c r="L671" s="17">
        <f>IFERROR(__xludf.DUMMYFUNCTION("""COMPUTED_VALUE"""),0.0)</f>
        <v>0</v>
      </c>
      <c r="M671" s="17">
        <f>IFERROR(__xludf.DUMMYFUNCTION("""COMPUTED_VALUE"""),1.0)</f>
        <v>1</v>
      </c>
      <c r="N671" s="17">
        <f>IFERROR(__xludf.DUMMYFUNCTION("""COMPUTED_VALUE"""),3.0)</f>
        <v>3</v>
      </c>
      <c r="O671" s="17">
        <f>IFERROR(__xludf.DUMMYFUNCTION("""COMPUTED_VALUE"""),0.259)</f>
        <v>0.259</v>
      </c>
      <c r="P671" s="17">
        <f>IFERROR(__xludf.DUMMYFUNCTION("""COMPUTED_VALUE"""),0.497)</f>
        <v>0.497</v>
      </c>
      <c r="Q671" s="34">
        <f>IFERROR(__xludf.DUMMYFUNCTION("""COMPUTED_VALUE"""),0.0)</f>
        <v>0</v>
      </c>
      <c r="R671" s="34">
        <f>IFERROR(__xludf.DUMMYFUNCTION("""COMPUTED_VALUE"""),0.0)</f>
        <v>0</v>
      </c>
      <c r="S671" s="34">
        <f>IFERROR(__xludf.DUMMYFUNCTION("""COMPUTED_VALUE"""),0.0)</f>
        <v>0</v>
      </c>
    </row>
    <row r="672">
      <c r="A672" s="17">
        <f>IFERROR(__xludf.DUMMYFUNCTION("""COMPUTED_VALUE"""),672.0)</f>
        <v>672</v>
      </c>
      <c r="B672" s="17" t="str">
        <f>IFERROR(__xludf.DUMMYFUNCTION("""COMPUTED_VALUE"""),"Jose Azocar (ATL - LF,CF,RF) MiLB")</f>
        <v>Jose Azocar (ATL - LF,CF,RF) MiLB</v>
      </c>
      <c r="C672" s="17">
        <f>IFERROR(__xludf.DUMMYFUNCTION("""COMPUTED_VALUE"""),9.0)</f>
        <v>9</v>
      </c>
      <c r="D672" s="17">
        <f>IFERROR(__xludf.DUMMYFUNCTION("""COMPUTED_VALUE"""),1.0)</f>
        <v>1</v>
      </c>
      <c r="E672" s="17">
        <f>IFERROR(__xludf.DUMMYFUNCTION("""COMPUTED_VALUE"""),0.0)</f>
        <v>0</v>
      </c>
      <c r="F672" s="17">
        <f>IFERROR(__xludf.DUMMYFUNCTION("""COMPUTED_VALUE"""),1.0)</f>
        <v>1</v>
      </c>
      <c r="G672" s="17">
        <f>IFERROR(__xludf.DUMMYFUNCTION("""COMPUTED_VALUE"""),1.0)</f>
        <v>1</v>
      </c>
      <c r="H672" s="17">
        <f>IFERROR(__xludf.DUMMYFUNCTION("""COMPUTED_VALUE"""),0.249)</f>
        <v>0.249</v>
      </c>
      <c r="I672" s="17">
        <f>IFERROR(__xludf.DUMMYFUNCTION("""COMPUTED_VALUE"""),0.293)</f>
        <v>0.293</v>
      </c>
      <c r="J672" s="17">
        <f>IFERROR(__xludf.DUMMYFUNCTION("""COMPUTED_VALUE"""),2.0)</f>
        <v>2</v>
      </c>
      <c r="K672" s="17">
        <f>IFERROR(__xludf.DUMMYFUNCTION("""COMPUTED_VALUE"""),1.0)</f>
        <v>1</v>
      </c>
      <c r="L672" s="17">
        <f>IFERROR(__xludf.DUMMYFUNCTION("""COMPUTED_VALUE"""),0.0)</f>
        <v>0</v>
      </c>
      <c r="M672" s="17">
        <f>IFERROR(__xludf.DUMMYFUNCTION("""COMPUTED_VALUE"""),1.0)</f>
        <v>1</v>
      </c>
      <c r="N672" s="17">
        <f>IFERROR(__xludf.DUMMYFUNCTION("""COMPUTED_VALUE"""),2.0)</f>
        <v>2</v>
      </c>
      <c r="O672" s="17">
        <f>IFERROR(__xludf.DUMMYFUNCTION("""COMPUTED_VALUE"""),0.314)</f>
        <v>0.314</v>
      </c>
      <c r="P672" s="17">
        <f>IFERROR(__xludf.DUMMYFUNCTION("""COMPUTED_VALUE"""),0.607)</f>
        <v>0.607</v>
      </c>
      <c r="Q672" s="34">
        <f>IFERROR(__xludf.DUMMYFUNCTION("""COMPUTED_VALUE"""),0.0)</f>
        <v>0</v>
      </c>
      <c r="R672" s="34">
        <f>IFERROR(__xludf.DUMMYFUNCTION("""COMPUTED_VALUE"""),0.0)</f>
        <v>0</v>
      </c>
      <c r="S672" s="34">
        <f>IFERROR(__xludf.DUMMYFUNCTION("""COMPUTED_VALUE"""),0.0)</f>
        <v>0</v>
      </c>
    </row>
    <row r="673">
      <c r="A673" s="17">
        <f>IFERROR(__xludf.DUMMYFUNCTION("""COMPUTED_VALUE"""),673.0)</f>
        <v>673</v>
      </c>
      <c r="B673" s="17" t="str">
        <f>IFERROR(__xludf.DUMMYFUNCTION("""COMPUTED_VALUE"""),"Ronny Simon (PIT - 2B,LF) MiLB")</f>
        <v>Ronny Simon (PIT - 2B,LF) MiLB</v>
      </c>
      <c r="C673" s="17">
        <f>IFERROR(__xludf.DUMMYFUNCTION("""COMPUTED_VALUE"""),9.0)</f>
        <v>9</v>
      </c>
      <c r="D673" s="17">
        <f>IFERROR(__xludf.DUMMYFUNCTION("""COMPUTED_VALUE"""),1.0)</f>
        <v>1</v>
      </c>
      <c r="E673" s="17">
        <f>IFERROR(__xludf.DUMMYFUNCTION("""COMPUTED_VALUE"""),0.0)</f>
        <v>0</v>
      </c>
      <c r="F673" s="17">
        <f>IFERROR(__xludf.DUMMYFUNCTION("""COMPUTED_VALUE"""),1.0)</f>
        <v>1</v>
      </c>
      <c r="G673" s="17">
        <f>IFERROR(__xludf.DUMMYFUNCTION("""COMPUTED_VALUE"""),1.0)</f>
        <v>1</v>
      </c>
      <c r="H673" s="17">
        <f>IFERROR(__xludf.DUMMYFUNCTION("""COMPUTED_VALUE"""),0.25)</f>
        <v>0.25</v>
      </c>
      <c r="I673" s="17">
        <f>IFERROR(__xludf.DUMMYFUNCTION("""COMPUTED_VALUE"""),0.296)</f>
        <v>0.296</v>
      </c>
      <c r="J673" s="17">
        <f>IFERROR(__xludf.DUMMYFUNCTION("""COMPUTED_VALUE"""),2.0)</f>
        <v>2</v>
      </c>
      <c r="K673" s="17">
        <f>IFERROR(__xludf.DUMMYFUNCTION("""COMPUTED_VALUE"""),1.0)</f>
        <v>1</v>
      </c>
      <c r="L673" s="17">
        <f>IFERROR(__xludf.DUMMYFUNCTION("""COMPUTED_VALUE"""),0.0)</f>
        <v>0</v>
      </c>
      <c r="M673" s="17">
        <f>IFERROR(__xludf.DUMMYFUNCTION("""COMPUTED_VALUE"""),1.0)</f>
        <v>1</v>
      </c>
      <c r="N673" s="17">
        <f>IFERROR(__xludf.DUMMYFUNCTION("""COMPUTED_VALUE"""),2.0)</f>
        <v>2</v>
      </c>
      <c r="O673" s="17">
        <f>IFERROR(__xludf.DUMMYFUNCTION("""COMPUTED_VALUE"""),0.317)</f>
        <v>0.317</v>
      </c>
      <c r="P673" s="17">
        <f>IFERROR(__xludf.DUMMYFUNCTION("""COMPUTED_VALUE"""),0.613)</f>
        <v>0.613</v>
      </c>
      <c r="Q673" s="34">
        <f>IFERROR(__xludf.DUMMYFUNCTION("""COMPUTED_VALUE"""),0.0)</f>
        <v>0</v>
      </c>
      <c r="R673" s="34">
        <f>IFERROR(__xludf.DUMMYFUNCTION("""COMPUTED_VALUE"""),0.0)</f>
        <v>0</v>
      </c>
      <c r="S673" s="34">
        <f>IFERROR(__xludf.DUMMYFUNCTION("""COMPUTED_VALUE"""),0.0)</f>
        <v>0</v>
      </c>
    </row>
    <row r="674">
      <c r="A674" s="17">
        <f>IFERROR(__xludf.DUMMYFUNCTION("""COMPUTED_VALUE"""),674.0)</f>
        <v>674</v>
      </c>
      <c r="B674" s="17" t="str">
        <f>IFERROR(__xludf.DUMMYFUNCTION("""COMPUTED_VALUE"""),"Darren Baker (CWS - 2B) MiLB")</f>
        <v>Darren Baker (CWS - 2B) MiLB</v>
      </c>
      <c r="C674" s="17">
        <f>IFERROR(__xludf.DUMMYFUNCTION("""COMPUTED_VALUE"""),9.0)</f>
        <v>9</v>
      </c>
      <c r="D674" s="17">
        <f>IFERROR(__xludf.DUMMYFUNCTION("""COMPUTED_VALUE"""),1.0)</f>
        <v>1</v>
      </c>
      <c r="E674" s="17">
        <f>IFERROR(__xludf.DUMMYFUNCTION("""COMPUTED_VALUE"""),0.0)</f>
        <v>0</v>
      </c>
      <c r="F674" s="17">
        <f>IFERROR(__xludf.DUMMYFUNCTION("""COMPUTED_VALUE"""),1.0)</f>
        <v>1</v>
      </c>
      <c r="G674" s="17">
        <f>IFERROR(__xludf.DUMMYFUNCTION("""COMPUTED_VALUE"""),1.0)</f>
        <v>1</v>
      </c>
      <c r="H674" s="17">
        <f>IFERROR(__xludf.DUMMYFUNCTION("""COMPUTED_VALUE"""),0.249)</f>
        <v>0.249</v>
      </c>
      <c r="I674" s="17">
        <f>IFERROR(__xludf.DUMMYFUNCTION("""COMPUTED_VALUE"""),0.294)</f>
        <v>0.294</v>
      </c>
      <c r="J674" s="17">
        <f>IFERROR(__xludf.DUMMYFUNCTION("""COMPUTED_VALUE"""),2.0)</f>
        <v>2</v>
      </c>
      <c r="K674" s="17">
        <f>IFERROR(__xludf.DUMMYFUNCTION("""COMPUTED_VALUE"""),1.0)</f>
        <v>1</v>
      </c>
      <c r="L674" s="17">
        <f>IFERROR(__xludf.DUMMYFUNCTION("""COMPUTED_VALUE"""),0.0)</f>
        <v>0</v>
      </c>
      <c r="M674" s="17">
        <f>IFERROR(__xludf.DUMMYFUNCTION("""COMPUTED_VALUE"""),1.0)</f>
        <v>1</v>
      </c>
      <c r="N674" s="17">
        <f>IFERROR(__xludf.DUMMYFUNCTION("""COMPUTED_VALUE"""),2.0)</f>
        <v>2</v>
      </c>
      <c r="O674" s="17">
        <f>IFERROR(__xludf.DUMMYFUNCTION("""COMPUTED_VALUE"""),0.313)</f>
        <v>0.313</v>
      </c>
      <c r="P674" s="17">
        <f>IFERROR(__xludf.DUMMYFUNCTION("""COMPUTED_VALUE"""),0.607)</f>
        <v>0.607</v>
      </c>
      <c r="Q674" s="34">
        <f>IFERROR(__xludf.DUMMYFUNCTION("""COMPUTED_VALUE"""),0.0)</f>
        <v>0</v>
      </c>
      <c r="R674" s="34">
        <f>IFERROR(__xludf.DUMMYFUNCTION("""COMPUTED_VALUE"""),0.0)</f>
        <v>0</v>
      </c>
      <c r="S674" s="34">
        <f>IFERROR(__xludf.DUMMYFUNCTION("""COMPUTED_VALUE"""),0.0)</f>
        <v>0</v>
      </c>
    </row>
    <row r="675">
      <c r="A675" s="17">
        <f>IFERROR(__xludf.DUMMYFUNCTION("""COMPUTED_VALUE"""),675.0)</f>
        <v>675</v>
      </c>
      <c r="B675" s="17" t="str">
        <f>IFERROR(__xludf.DUMMYFUNCTION("""COMPUTED_VALUE"""),"DaShawn Keirsey (ATL - LF,CF,RF) MiLB")</f>
        <v>DaShawn Keirsey (ATL - LF,CF,RF) MiLB</v>
      </c>
      <c r="C675" s="17">
        <f>IFERROR(__xludf.DUMMYFUNCTION("""COMPUTED_VALUE"""),9.0)</f>
        <v>9</v>
      </c>
      <c r="D675" s="17">
        <f>IFERROR(__xludf.DUMMYFUNCTION("""COMPUTED_VALUE"""),1.0)</f>
        <v>1</v>
      </c>
      <c r="E675" s="17">
        <f>IFERROR(__xludf.DUMMYFUNCTION("""COMPUTED_VALUE"""),0.0)</f>
        <v>0</v>
      </c>
      <c r="F675" s="17">
        <f>IFERROR(__xludf.DUMMYFUNCTION("""COMPUTED_VALUE"""),1.0)</f>
        <v>1</v>
      </c>
      <c r="G675" s="17">
        <f>IFERROR(__xludf.DUMMYFUNCTION("""COMPUTED_VALUE"""),1.0)</f>
        <v>1</v>
      </c>
      <c r="H675" s="17">
        <f>IFERROR(__xludf.DUMMYFUNCTION("""COMPUTED_VALUE"""),0.191)</f>
        <v>0.191</v>
      </c>
      <c r="I675" s="17">
        <f>IFERROR(__xludf.DUMMYFUNCTION("""COMPUTED_VALUE"""),0.239)</f>
        <v>0.239</v>
      </c>
      <c r="J675" s="17">
        <f>IFERROR(__xludf.DUMMYFUNCTION("""COMPUTED_VALUE"""),2.0)</f>
        <v>2</v>
      </c>
      <c r="K675" s="17">
        <f>IFERROR(__xludf.DUMMYFUNCTION("""COMPUTED_VALUE"""),1.0)</f>
        <v>1</v>
      </c>
      <c r="L675" s="17">
        <f>IFERROR(__xludf.DUMMYFUNCTION("""COMPUTED_VALUE"""),0.0)</f>
        <v>0</v>
      </c>
      <c r="M675" s="17">
        <f>IFERROR(__xludf.DUMMYFUNCTION("""COMPUTED_VALUE"""),1.0)</f>
        <v>1</v>
      </c>
      <c r="N675" s="17">
        <f>IFERROR(__xludf.DUMMYFUNCTION("""COMPUTED_VALUE"""),3.0)</f>
        <v>3</v>
      </c>
      <c r="O675" s="17">
        <f>IFERROR(__xludf.DUMMYFUNCTION("""COMPUTED_VALUE"""),0.257)</f>
        <v>0.257</v>
      </c>
      <c r="P675" s="17">
        <f>IFERROR(__xludf.DUMMYFUNCTION("""COMPUTED_VALUE"""),0.496)</f>
        <v>0.496</v>
      </c>
      <c r="Q675" s="34">
        <f>IFERROR(__xludf.DUMMYFUNCTION("""COMPUTED_VALUE"""),0.0)</f>
        <v>0</v>
      </c>
      <c r="R675" s="34">
        <f>IFERROR(__xludf.DUMMYFUNCTION("""COMPUTED_VALUE"""),0.0)</f>
        <v>0</v>
      </c>
      <c r="S675" s="34">
        <f>IFERROR(__xludf.DUMMYFUNCTION("""COMPUTED_VALUE"""),0.0)</f>
        <v>0</v>
      </c>
    </row>
    <row r="676">
      <c r="A676" s="17">
        <f>IFERROR(__xludf.DUMMYFUNCTION("""COMPUTED_VALUE"""),676.0)</f>
        <v>676</v>
      </c>
      <c r="B676" s="17" t="str">
        <f>IFERROR(__xludf.DUMMYFUNCTION("""COMPUTED_VALUE"""),"Alex Ramirez (RF) FA")</f>
        <v>Alex Ramirez (RF) FA</v>
      </c>
      <c r="C676" s="17">
        <f>IFERROR(__xludf.DUMMYFUNCTION("""COMPUTED_VALUE"""),9.0)</f>
        <v>9</v>
      </c>
      <c r="D676" s="17">
        <f>IFERROR(__xludf.DUMMYFUNCTION("""COMPUTED_VALUE"""),1.0)</f>
        <v>1</v>
      </c>
      <c r="E676" s="17">
        <f>IFERROR(__xludf.DUMMYFUNCTION("""COMPUTED_VALUE"""),0.0)</f>
        <v>0</v>
      </c>
      <c r="F676" s="17">
        <f>IFERROR(__xludf.DUMMYFUNCTION("""COMPUTED_VALUE"""),1.0)</f>
        <v>1</v>
      </c>
      <c r="G676" s="17">
        <f>IFERROR(__xludf.DUMMYFUNCTION("""COMPUTED_VALUE"""),1.0)</f>
        <v>1</v>
      </c>
      <c r="H676" s="17">
        <f>IFERROR(__xludf.DUMMYFUNCTION("""COMPUTED_VALUE"""),0.19)</f>
        <v>0.19</v>
      </c>
      <c r="I676" s="17">
        <f>IFERROR(__xludf.DUMMYFUNCTION("""COMPUTED_VALUE"""),0.239)</f>
        <v>0.239</v>
      </c>
      <c r="J676" s="17">
        <f>IFERROR(__xludf.DUMMYFUNCTION("""COMPUTED_VALUE"""),2.0)</f>
        <v>2</v>
      </c>
      <c r="K676" s="17">
        <f>IFERROR(__xludf.DUMMYFUNCTION("""COMPUTED_VALUE"""),1.0)</f>
        <v>1</v>
      </c>
      <c r="L676" s="17">
        <f>IFERROR(__xludf.DUMMYFUNCTION("""COMPUTED_VALUE"""),0.0)</f>
        <v>0</v>
      </c>
      <c r="M676" s="17">
        <f>IFERROR(__xludf.DUMMYFUNCTION("""COMPUTED_VALUE"""),1.0)</f>
        <v>1</v>
      </c>
      <c r="N676" s="17">
        <f>IFERROR(__xludf.DUMMYFUNCTION("""COMPUTED_VALUE"""),2.0)</f>
        <v>2</v>
      </c>
      <c r="O676" s="17">
        <f>IFERROR(__xludf.DUMMYFUNCTION("""COMPUTED_VALUE"""),0.256)</f>
        <v>0.256</v>
      </c>
      <c r="P676" s="17">
        <f>IFERROR(__xludf.DUMMYFUNCTION("""COMPUTED_VALUE"""),0.495)</f>
        <v>0.495</v>
      </c>
      <c r="Q676" s="34">
        <f>IFERROR(__xludf.DUMMYFUNCTION("""COMPUTED_VALUE"""),0.0)</f>
        <v>0</v>
      </c>
      <c r="R676" s="34">
        <f>IFERROR(__xludf.DUMMYFUNCTION("""COMPUTED_VALUE"""),0.0)</f>
        <v>0</v>
      </c>
      <c r="S676" s="34">
        <f>IFERROR(__xludf.DUMMYFUNCTION("""COMPUTED_VALUE"""),0.0)</f>
        <v>0</v>
      </c>
    </row>
    <row r="677">
      <c r="A677" s="17">
        <f>IFERROR(__xludf.DUMMYFUNCTION("""COMPUTED_VALUE"""),677.0)</f>
        <v>677</v>
      </c>
      <c r="B677" s="17" t="str">
        <f>IFERROR(__xludf.DUMMYFUNCTION("""COMPUTED_VALUE"""),"Andrew Pinckney (WSH - CF) MiLB")</f>
        <v>Andrew Pinckney (WSH - CF) MiLB</v>
      </c>
      <c r="C677" s="17">
        <f>IFERROR(__xludf.DUMMYFUNCTION("""COMPUTED_VALUE"""),9.0)</f>
        <v>9</v>
      </c>
      <c r="D677" s="17">
        <f>IFERROR(__xludf.DUMMYFUNCTION("""COMPUTED_VALUE"""),1.0)</f>
        <v>1</v>
      </c>
      <c r="E677" s="17">
        <f>IFERROR(__xludf.DUMMYFUNCTION("""COMPUTED_VALUE"""),0.0)</f>
        <v>0</v>
      </c>
      <c r="F677" s="17">
        <f>IFERROR(__xludf.DUMMYFUNCTION("""COMPUTED_VALUE"""),1.0)</f>
        <v>1</v>
      </c>
      <c r="G677" s="17">
        <f>IFERROR(__xludf.DUMMYFUNCTION("""COMPUTED_VALUE"""),1.0)</f>
        <v>1</v>
      </c>
      <c r="H677" s="17">
        <f>IFERROR(__xludf.DUMMYFUNCTION("""COMPUTED_VALUE"""),0.248)</f>
        <v>0.248</v>
      </c>
      <c r="I677" s="17">
        <f>IFERROR(__xludf.DUMMYFUNCTION("""COMPUTED_VALUE"""),0.293)</f>
        <v>0.293</v>
      </c>
      <c r="J677" s="17">
        <f>IFERROR(__xludf.DUMMYFUNCTION("""COMPUTED_VALUE"""),2.0)</f>
        <v>2</v>
      </c>
      <c r="K677" s="17">
        <f>IFERROR(__xludf.DUMMYFUNCTION("""COMPUTED_VALUE"""),1.0)</f>
        <v>1</v>
      </c>
      <c r="L677" s="17">
        <f>IFERROR(__xludf.DUMMYFUNCTION("""COMPUTED_VALUE"""),0.0)</f>
        <v>0</v>
      </c>
      <c r="M677" s="17">
        <f>IFERROR(__xludf.DUMMYFUNCTION("""COMPUTED_VALUE"""),1.0)</f>
        <v>1</v>
      </c>
      <c r="N677" s="17">
        <f>IFERROR(__xludf.DUMMYFUNCTION("""COMPUTED_VALUE"""),3.0)</f>
        <v>3</v>
      </c>
      <c r="O677" s="17">
        <f>IFERROR(__xludf.DUMMYFUNCTION("""COMPUTED_VALUE"""),0.317)</f>
        <v>0.317</v>
      </c>
      <c r="P677" s="17">
        <f>IFERROR(__xludf.DUMMYFUNCTION("""COMPUTED_VALUE"""),0.61)</f>
        <v>0.61</v>
      </c>
      <c r="Q677" s="34">
        <f>IFERROR(__xludf.DUMMYFUNCTION("""COMPUTED_VALUE"""),0.0)</f>
        <v>0</v>
      </c>
      <c r="R677" s="34">
        <f>IFERROR(__xludf.DUMMYFUNCTION("""COMPUTED_VALUE"""),0.0)</f>
        <v>0</v>
      </c>
      <c r="S677" s="34">
        <f>IFERROR(__xludf.DUMMYFUNCTION("""COMPUTED_VALUE"""),0.0)</f>
        <v>0</v>
      </c>
    </row>
    <row r="678">
      <c r="A678" s="17">
        <f>IFERROR(__xludf.DUMMYFUNCTION("""COMPUTED_VALUE"""),678.0)</f>
        <v>678</v>
      </c>
      <c r="B678" s="17" t="str">
        <f>IFERROR(__xludf.DUMMYFUNCTION("""COMPUTED_VALUE"""),"Justin Dean (CHC - CF) MiLB")</f>
        <v>Justin Dean (CHC - CF) MiLB</v>
      </c>
      <c r="C678" s="17">
        <f>IFERROR(__xludf.DUMMYFUNCTION("""COMPUTED_VALUE"""),13.0)</f>
        <v>13</v>
      </c>
      <c r="D678" s="17">
        <f>IFERROR(__xludf.DUMMYFUNCTION("""COMPUTED_VALUE"""),1.0)</f>
        <v>1</v>
      </c>
      <c r="E678" s="17">
        <f>IFERROR(__xludf.DUMMYFUNCTION("""COMPUTED_VALUE"""),0.0)</f>
        <v>0</v>
      </c>
      <c r="F678" s="17">
        <f>IFERROR(__xludf.DUMMYFUNCTION("""COMPUTED_VALUE"""),1.0)</f>
        <v>1</v>
      </c>
      <c r="G678" s="17">
        <f>IFERROR(__xludf.DUMMYFUNCTION("""COMPUTED_VALUE"""),1.0)</f>
        <v>1</v>
      </c>
      <c r="H678" s="17">
        <f>IFERROR(__xludf.DUMMYFUNCTION("""COMPUTED_VALUE"""),0.199)</f>
        <v>0.199</v>
      </c>
      <c r="I678" s="17">
        <f>IFERROR(__xludf.DUMMYFUNCTION("""COMPUTED_VALUE"""),0.272)</f>
        <v>0.272</v>
      </c>
      <c r="J678" s="17">
        <f>IFERROR(__xludf.DUMMYFUNCTION("""COMPUTED_VALUE"""),3.0)</f>
        <v>3</v>
      </c>
      <c r="K678" s="17">
        <f>IFERROR(__xludf.DUMMYFUNCTION("""COMPUTED_VALUE"""),0.0)</f>
        <v>0</v>
      </c>
      <c r="L678" s="17">
        <f>IFERROR(__xludf.DUMMYFUNCTION("""COMPUTED_VALUE"""),0.0)</f>
        <v>0</v>
      </c>
      <c r="M678" s="17">
        <f>IFERROR(__xludf.DUMMYFUNCTION("""COMPUTED_VALUE"""),1.0)</f>
        <v>1</v>
      </c>
      <c r="N678" s="17">
        <f>IFERROR(__xludf.DUMMYFUNCTION("""COMPUTED_VALUE"""),5.0)</f>
        <v>5</v>
      </c>
      <c r="O678" s="17">
        <f>IFERROR(__xludf.DUMMYFUNCTION("""COMPUTED_VALUE"""),0.236)</f>
        <v>0.236</v>
      </c>
      <c r="P678" s="17">
        <f>IFERROR(__xludf.DUMMYFUNCTION("""COMPUTED_VALUE"""),0.507)</f>
        <v>0.507</v>
      </c>
      <c r="Q678" s="34">
        <f>IFERROR(__xludf.DUMMYFUNCTION("""COMPUTED_VALUE"""),0.0)</f>
        <v>0</v>
      </c>
      <c r="R678" s="34">
        <f>IFERROR(__xludf.DUMMYFUNCTION("""COMPUTED_VALUE"""),0.0)</f>
        <v>0</v>
      </c>
      <c r="S678" s="34">
        <f>IFERROR(__xludf.DUMMYFUNCTION("""COMPUTED_VALUE"""),0.0)</f>
        <v>0</v>
      </c>
    </row>
    <row r="679">
      <c r="A679" s="17">
        <f>IFERROR(__xludf.DUMMYFUNCTION("""COMPUTED_VALUE"""),679.0)</f>
        <v>679</v>
      </c>
      <c r="B679" s="17" t="str">
        <f>IFERROR(__xludf.DUMMYFUNCTION("""COMPUTED_VALUE"""),"Connor Joe (SEA - LF,RF)")</f>
        <v>Connor Joe (SEA - LF,RF)</v>
      </c>
      <c r="C679" s="17">
        <f>IFERROR(__xludf.DUMMYFUNCTION("""COMPUTED_VALUE"""),27.0)</f>
        <v>27</v>
      </c>
      <c r="D679" s="17">
        <f>IFERROR(__xludf.DUMMYFUNCTION("""COMPUTED_VALUE"""),3.0)</f>
        <v>3</v>
      </c>
      <c r="E679" s="17">
        <f>IFERROR(__xludf.DUMMYFUNCTION("""COMPUTED_VALUE"""),0.0)</f>
        <v>0</v>
      </c>
      <c r="F679" s="17">
        <f>IFERROR(__xludf.DUMMYFUNCTION("""COMPUTED_VALUE"""),3.0)</f>
        <v>3</v>
      </c>
      <c r="G679" s="17">
        <f>IFERROR(__xludf.DUMMYFUNCTION("""COMPUTED_VALUE"""),0.0)</f>
        <v>0</v>
      </c>
      <c r="H679" s="17">
        <f>IFERROR(__xludf.DUMMYFUNCTION("""COMPUTED_VALUE"""),0.202)</f>
        <v>0.202</v>
      </c>
      <c r="I679" s="17">
        <f>IFERROR(__xludf.DUMMYFUNCTION("""COMPUTED_VALUE"""),0.289)</f>
        <v>0.289</v>
      </c>
      <c r="J679" s="17">
        <f>IFERROR(__xludf.DUMMYFUNCTION("""COMPUTED_VALUE"""),5.0)</f>
        <v>5</v>
      </c>
      <c r="K679" s="17">
        <f>IFERROR(__xludf.DUMMYFUNCTION("""COMPUTED_VALUE"""),1.0)</f>
        <v>1</v>
      </c>
      <c r="L679" s="17">
        <f>IFERROR(__xludf.DUMMYFUNCTION("""COMPUTED_VALUE"""),0.0)</f>
        <v>0</v>
      </c>
      <c r="M679" s="17">
        <f>IFERROR(__xludf.DUMMYFUNCTION("""COMPUTED_VALUE"""),3.0)</f>
        <v>3</v>
      </c>
      <c r="N679" s="17">
        <f>IFERROR(__xludf.DUMMYFUNCTION("""COMPUTED_VALUE"""),8.0)</f>
        <v>8</v>
      </c>
      <c r="O679" s="17">
        <f>IFERROR(__xludf.DUMMYFUNCTION("""COMPUTED_VALUE"""),0.298)</f>
        <v>0.298</v>
      </c>
      <c r="P679" s="17">
        <f>IFERROR(__xludf.DUMMYFUNCTION("""COMPUTED_VALUE"""),0.587)</f>
        <v>0.587</v>
      </c>
      <c r="Q679" s="34">
        <f>IFERROR(__xludf.DUMMYFUNCTION("""COMPUTED_VALUE"""),0.0)</f>
        <v>0</v>
      </c>
      <c r="R679" s="34">
        <f>IFERROR(__xludf.DUMMYFUNCTION("""COMPUTED_VALUE"""),0.0)</f>
        <v>0</v>
      </c>
      <c r="S679" s="34">
        <f>IFERROR(__xludf.DUMMYFUNCTION("""COMPUTED_VALUE"""),0.0)</f>
        <v>0</v>
      </c>
    </row>
    <row r="680">
      <c r="A680" s="17">
        <f>IFERROR(__xludf.DUMMYFUNCTION("""COMPUTED_VALUE"""),680.0)</f>
        <v>680</v>
      </c>
      <c r="B680" s="17" t="str">
        <f>IFERROR(__xludf.DUMMYFUNCTION("""COMPUTED_VALUE"""),"Garrett Hampson (CIN - 2B,LF,CF) MiLB")</f>
        <v>Garrett Hampson (CIN - 2B,LF,CF) MiLB</v>
      </c>
      <c r="C680" s="17">
        <f>IFERROR(__xludf.DUMMYFUNCTION("""COMPUTED_VALUE"""),16.0)</f>
        <v>16</v>
      </c>
      <c r="D680" s="17">
        <f>IFERROR(__xludf.DUMMYFUNCTION("""COMPUTED_VALUE"""),2.0)</f>
        <v>2</v>
      </c>
      <c r="E680" s="17">
        <f>IFERROR(__xludf.DUMMYFUNCTION("""COMPUTED_VALUE"""),0.0)</f>
        <v>0</v>
      </c>
      <c r="F680" s="17">
        <f>IFERROR(__xludf.DUMMYFUNCTION("""COMPUTED_VALUE"""),1.0)</f>
        <v>1</v>
      </c>
      <c r="G680" s="17">
        <f>IFERROR(__xludf.DUMMYFUNCTION("""COMPUTED_VALUE"""),0.0)</f>
        <v>0</v>
      </c>
      <c r="H680" s="17">
        <f>IFERROR(__xludf.DUMMYFUNCTION("""COMPUTED_VALUE"""),0.223)</f>
        <v>0.223</v>
      </c>
      <c r="I680" s="17">
        <f>IFERROR(__xludf.DUMMYFUNCTION("""COMPUTED_VALUE"""),0.298)</f>
        <v>0.298</v>
      </c>
      <c r="J680" s="17">
        <f>IFERROR(__xludf.DUMMYFUNCTION("""COMPUTED_VALUE"""),4.0)</f>
        <v>4</v>
      </c>
      <c r="K680" s="17">
        <f>IFERROR(__xludf.DUMMYFUNCTION("""COMPUTED_VALUE"""),1.0)</f>
        <v>1</v>
      </c>
      <c r="L680" s="17">
        <f>IFERROR(__xludf.DUMMYFUNCTION("""COMPUTED_VALUE"""),0.0)</f>
        <v>0</v>
      </c>
      <c r="M680" s="17">
        <f>IFERROR(__xludf.DUMMYFUNCTION("""COMPUTED_VALUE"""),2.0)</f>
        <v>2</v>
      </c>
      <c r="N680" s="17">
        <f>IFERROR(__xludf.DUMMYFUNCTION("""COMPUTED_VALUE"""),5.0)</f>
        <v>5</v>
      </c>
      <c r="O680" s="17">
        <f>IFERROR(__xludf.DUMMYFUNCTION("""COMPUTED_VALUE"""),0.3)</f>
        <v>0.3</v>
      </c>
      <c r="P680" s="17">
        <f>IFERROR(__xludf.DUMMYFUNCTION("""COMPUTED_VALUE"""),0.598)</f>
        <v>0.598</v>
      </c>
      <c r="Q680" s="34">
        <f>IFERROR(__xludf.DUMMYFUNCTION("""COMPUTED_VALUE"""),0.0)</f>
        <v>0</v>
      </c>
      <c r="R680" s="34">
        <f>IFERROR(__xludf.DUMMYFUNCTION("""COMPUTED_VALUE"""),0.0)</f>
        <v>0</v>
      </c>
      <c r="S680" s="34">
        <f>IFERROR(__xludf.DUMMYFUNCTION("""COMPUTED_VALUE"""),0.0)</f>
        <v>0</v>
      </c>
    </row>
    <row r="681">
      <c r="A681" s="17">
        <f>IFERROR(__xludf.DUMMYFUNCTION("""COMPUTED_VALUE"""),681.0)</f>
        <v>681</v>
      </c>
      <c r="B681" s="17" t="str">
        <f>IFERROR(__xludf.DUMMYFUNCTION("""COMPUTED_VALUE"""),"Kyren Paris (LAA - 2B,CF) MiLB")</f>
        <v>Kyren Paris (LAA - 2B,CF) MiLB</v>
      </c>
      <c r="C681" s="17">
        <f>IFERROR(__xludf.DUMMYFUNCTION("""COMPUTED_VALUE"""),18.0)</f>
        <v>18</v>
      </c>
      <c r="D681" s="17">
        <f>IFERROR(__xludf.DUMMYFUNCTION("""COMPUTED_VALUE"""),2.0)</f>
        <v>2</v>
      </c>
      <c r="E681" s="17">
        <f>IFERROR(__xludf.DUMMYFUNCTION("""COMPUTED_VALUE"""),0.0)</f>
        <v>0</v>
      </c>
      <c r="F681" s="17">
        <f>IFERROR(__xludf.DUMMYFUNCTION("""COMPUTED_VALUE"""),2.0)</f>
        <v>2</v>
      </c>
      <c r="G681" s="17">
        <f>IFERROR(__xludf.DUMMYFUNCTION("""COMPUTED_VALUE"""),1.0)</f>
        <v>1</v>
      </c>
      <c r="H681" s="17">
        <f>IFERROR(__xludf.DUMMYFUNCTION("""COMPUTED_VALUE"""),0.179)</f>
        <v>0.179</v>
      </c>
      <c r="I681" s="17">
        <f>IFERROR(__xludf.DUMMYFUNCTION("""COMPUTED_VALUE"""),0.264)</f>
        <v>0.264</v>
      </c>
      <c r="J681" s="17">
        <f>IFERROR(__xludf.DUMMYFUNCTION("""COMPUTED_VALUE"""),3.0)</f>
        <v>3</v>
      </c>
      <c r="K681" s="17">
        <f>IFERROR(__xludf.DUMMYFUNCTION("""COMPUTED_VALUE"""),1.0)</f>
        <v>1</v>
      </c>
      <c r="L681" s="17">
        <f>IFERROR(__xludf.DUMMYFUNCTION("""COMPUTED_VALUE"""),0.0)</f>
        <v>0</v>
      </c>
      <c r="M681" s="17">
        <f>IFERROR(__xludf.DUMMYFUNCTION("""COMPUTED_VALUE"""),2.0)</f>
        <v>2</v>
      </c>
      <c r="N681" s="17">
        <f>IFERROR(__xludf.DUMMYFUNCTION("""COMPUTED_VALUE"""),7.0)</f>
        <v>7</v>
      </c>
      <c r="O681" s="17">
        <f>IFERROR(__xludf.DUMMYFUNCTION("""COMPUTED_VALUE"""),0.287)</f>
        <v>0.287</v>
      </c>
      <c r="P681" s="17">
        <f>IFERROR(__xludf.DUMMYFUNCTION("""COMPUTED_VALUE"""),0.551)</f>
        <v>0.551</v>
      </c>
      <c r="Q681" s="34">
        <f>IFERROR(__xludf.DUMMYFUNCTION("""COMPUTED_VALUE"""),0.0)</f>
        <v>0</v>
      </c>
      <c r="R681" s="34">
        <f>IFERROR(__xludf.DUMMYFUNCTION("""COMPUTED_VALUE"""),0.0)</f>
        <v>0</v>
      </c>
      <c r="S681" s="34">
        <f>IFERROR(__xludf.DUMMYFUNCTION("""COMPUTED_VALUE"""),0.0)</f>
        <v>0</v>
      </c>
    </row>
    <row r="682">
      <c r="A682" s="17">
        <f>IFERROR(__xludf.DUMMYFUNCTION("""COMPUTED_VALUE"""),682.0)</f>
        <v>682</v>
      </c>
      <c r="B682" s="17" t="str">
        <f>IFERROR(__xludf.DUMMYFUNCTION("""COMPUTED_VALUE"""),"Chris Taylor (LAA - 2B,LF,CF,RF) MiLB")</f>
        <v>Chris Taylor (LAA - 2B,LF,CF,RF) MiLB</v>
      </c>
      <c r="C682" s="17">
        <f>IFERROR(__xludf.DUMMYFUNCTION("""COMPUTED_VALUE"""),15.0)</f>
        <v>15</v>
      </c>
      <c r="D682" s="17">
        <f>IFERROR(__xludf.DUMMYFUNCTION("""COMPUTED_VALUE"""),2.0)</f>
        <v>2</v>
      </c>
      <c r="E682" s="17">
        <f>IFERROR(__xludf.DUMMYFUNCTION("""COMPUTED_VALUE"""),0.0)</f>
        <v>0</v>
      </c>
      <c r="F682" s="17">
        <f>IFERROR(__xludf.DUMMYFUNCTION("""COMPUTED_VALUE"""),2.0)</f>
        <v>2</v>
      </c>
      <c r="G682" s="17">
        <f>IFERROR(__xludf.DUMMYFUNCTION("""COMPUTED_VALUE"""),0.0)</f>
        <v>0</v>
      </c>
      <c r="H682" s="17">
        <f>IFERROR(__xludf.DUMMYFUNCTION("""COMPUTED_VALUE"""),0.209)</f>
        <v>0.209</v>
      </c>
      <c r="I682" s="17">
        <f>IFERROR(__xludf.DUMMYFUNCTION("""COMPUTED_VALUE"""),0.293)</f>
        <v>0.293</v>
      </c>
      <c r="J682" s="17">
        <f>IFERROR(__xludf.DUMMYFUNCTION("""COMPUTED_VALUE"""),3.0)</f>
        <v>3</v>
      </c>
      <c r="K682" s="17">
        <f>IFERROR(__xludf.DUMMYFUNCTION("""COMPUTED_VALUE"""),1.0)</f>
        <v>1</v>
      </c>
      <c r="L682" s="17">
        <f>IFERROR(__xludf.DUMMYFUNCTION("""COMPUTED_VALUE"""),0.0)</f>
        <v>0</v>
      </c>
      <c r="M682" s="17">
        <f>IFERROR(__xludf.DUMMYFUNCTION("""COMPUTED_VALUE"""),2.0)</f>
        <v>2</v>
      </c>
      <c r="N682" s="17">
        <f>IFERROR(__xludf.DUMMYFUNCTION("""COMPUTED_VALUE"""),5.0)</f>
        <v>5</v>
      </c>
      <c r="O682" s="17">
        <f>IFERROR(__xludf.DUMMYFUNCTION("""COMPUTED_VALUE"""),0.312)</f>
        <v>0.312</v>
      </c>
      <c r="P682" s="17">
        <f>IFERROR(__xludf.DUMMYFUNCTION("""COMPUTED_VALUE"""),0.604)</f>
        <v>0.604</v>
      </c>
      <c r="Q682" s="34">
        <f>IFERROR(__xludf.DUMMYFUNCTION("""COMPUTED_VALUE"""),0.0)</f>
        <v>0</v>
      </c>
      <c r="R682" s="34">
        <f>IFERROR(__xludf.DUMMYFUNCTION("""COMPUTED_VALUE"""),0.0)</f>
        <v>0</v>
      </c>
      <c r="S682" s="34">
        <f>IFERROR(__xludf.DUMMYFUNCTION("""COMPUTED_VALUE"""),0.0)</f>
        <v>0</v>
      </c>
    </row>
    <row r="683">
      <c r="A683" s="17">
        <f>IFERROR(__xludf.DUMMYFUNCTION("""COMPUTED_VALUE"""),683.0)</f>
        <v>683</v>
      </c>
      <c r="B683" s="17" t="str">
        <f>IFERROR(__xludf.DUMMYFUNCTION("""COMPUTED_VALUE"""),"Riley Adams (WSH - C) MiLB")</f>
        <v>Riley Adams (WSH - C) MiLB</v>
      </c>
      <c r="C683" s="17">
        <f>IFERROR(__xludf.DUMMYFUNCTION("""COMPUTED_VALUE"""),15.0)</f>
        <v>15</v>
      </c>
      <c r="D683" s="17">
        <f>IFERROR(__xludf.DUMMYFUNCTION("""COMPUTED_VALUE"""),2.0)</f>
        <v>2</v>
      </c>
      <c r="E683" s="17">
        <f>IFERROR(__xludf.DUMMYFUNCTION("""COMPUTED_VALUE"""),0.0)</f>
        <v>0</v>
      </c>
      <c r="F683" s="17">
        <f>IFERROR(__xludf.DUMMYFUNCTION("""COMPUTED_VALUE"""),2.0)</f>
        <v>2</v>
      </c>
      <c r="G683" s="17">
        <f>IFERROR(__xludf.DUMMYFUNCTION("""COMPUTED_VALUE"""),0.0)</f>
        <v>0</v>
      </c>
      <c r="H683" s="17">
        <f>IFERROR(__xludf.DUMMYFUNCTION("""COMPUTED_VALUE"""),0.208)</f>
        <v>0.208</v>
      </c>
      <c r="I683" s="17">
        <f>IFERROR(__xludf.DUMMYFUNCTION("""COMPUTED_VALUE"""),0.271)</f>
        <v>0.271</v>
      </c>
      <c r="J683" s="17">
        <f>IFERROR(__xludf.DUMMYFUNCTION("""COMPUTED_VALUE"""),3.0)</f>
        <v>3</v>
      </c>
      <c r="K683" s="17">
        <f>IFERROR(__xludf.DUMMYFUNCTION("""COMPUTED_VALUE"""),1.0)</f>
        <v>1</v>
      </c>
      <c r="L683" s="17">
        <f>IFERROR(__xludf.DUMMYFUNCTION("""COMPUTED_VALUE"""),0.0)</f>
        <v>0</v>
      </c>
      <c r="M683" s="17">
        <f>IFERROR(__xludf.DUMMYFUNCTION("""COMPUTED_VALUE"""),1.0)</f>
        <v>1</v>
      </c>
      <c r="N683" s="17">
        <f>IFERROR(__xludf.DUMMYFUNCTION("""COMPUTED_VALUE"""),6.0)</f>
        <v>6</v>
      </c>
      <c r="O683" s="17">
        <f>IFERROR(__xludf.DUMMYFUNCTION("""COMPUTED_VALUE"""),0.334)</f>
        <v>0.334</v>
      </c>
      <c r="P683" s="17">
        <f>IFERROR(__xludf.DUMMYFUNCTION("""COMPUTED_VALUE"""),0.605)</f>
        <v>0.605</v>
      </c>
      <c r="Q683" s="34">
        <f>IFERROR(__xludf.DUMMYFUNCTION("""COMPUTED_VALUE"""),0.0)</f>
        <v>0</v>
      </c>
      <c r="R683" s="34">
        <f>IFERROR(__xludf.DUMMYFUNCTION("""COMPUTED_VALUE"""),0.0)</f>
        <v>0</v>
      </c>
      <c r="S683" s="34">
        <f>IFERROR(__xludf.DUMMYFUNCTION("""COMPUTED_VALUE"""),0.0)</f>
        <v>0</v>
      </c>
    </row>
    <row r="684">
      <c r="A684" s="17">
        <f>IFERROR(__xludf.DUMMYFUNCTION("""COMPUTED_VALUE"""),684.0)</f>
        <v>684</v>
      </c>
      <c r="B684" s="17" t="str">
        <f>IFERROR(__xludf.DUMMYFUNCTION("""COMPUTED_VALUE"""),"Luis Vazquez (BAL - 3B,SS) MiLB")</f>
        <v>Luis Vazquez (BAL - 3B,SS) MiLB</v>
      </c>
      <c r="C684" s="17">
        <f>IFERROR(__xludf.DUMMYFUNCTION("""COMPUTED_VALUE"""),15.0)</f>
        <v>15</v>
      </c>
      <c r="D684" s="17">
        <f>IFERROR(__xludf.DUMMYFUNCTION("""COMPUTED_VALUE"""),2.0)</f>
        <v>2</v>
      </c>
      <c r="E684" s="17">
        <f>IFERROR(__xludf.DUMMYFUNCTION("""COMPUTED_VALUE"""),0.0)</f>
        <v>0</v>
      </c>
      <c r="F684" s="17">
        <f>IFERROR(__xludf.DUMMYFUNCTION("""COMPUTED_VALUE"""),2.0)</f>
        <v>2</v>
      </c>
      <c r="G684" s="17">
        <f>IFERROR(__xludf.DUMMYFUNCTION("""COMPUTED_VALUE"""),0.0)</f>
        <v>0</v>
      </c>
      <c r="H684" s="17">
        <f>IFERROR(__xludf.DUMMYFUNCTION("""COMPUTED_VALUE"""),0.221)</f>
        <v>0.221</v>
      </c>
      <c r="I684" s="17">
        <f>IFERROR(__xludf.DUMMYFUNCTION("""COMPUTED_VALUE"""),0.284)</f>
        <v>0.284</v>
      </c>
      <c r="J684" s="17">
        <f>IFERROR(__xludf.DUMMYFUNCTION("""COMPUTED_VALUE"""),3.0)</f>
        <v>3</v>
      </c>
      <c r="K684" s="17">
        <f>IFERROR(__xludf.DUMMYFUNCTION("""COMPUTED_VALUE"""),1.0)</f>
        <v>1</v>
      </c>
      <c r="L684" s="17">
        <f>IFERROR(__xludf.DUMMYFUNCTION("""COMPUTED_VALUE"""),0.0)</f>
        <v>0</v>
      </c>
      <c r="M684" s="17">
        <f>IFERROR(__xludf.DUMMYFUNCTION("""COMPUTED_VALUE"""),1.0)</f>
        <v>1</v>
      </c>
      <c r="N684" s="17">
        <f>IFERROR(__xludf.DUMMYFUNCTION("""COMPUTED_VALUE"""),4.0)</f>
        <v>4</v>
      </c>
      <c r="O684" s="17">
        <f>IFERROR(__xludf.DUMMYFUNCTION("""COMPUTED_VALUE"""),0.303)</f>
        <v>0.303</v>
      </c>
      <c r="P684" s="17">
        <f>IFERROR(__xludf.DUMMYFUNCTION("""COMPUTED_VALUE"""),0.587)</f>
        <v>0.587</v>
      </c>
      <c r="Q684" s="34">
        <f>IFERROR(__xludf.DUMMYFUNCTION("""COMPUTED_VALUE"""),0.0)</f>
        <v>0</v>
      </c>
      <c r="R684" s="34">
        <f>IFERROR(__xludf.DUMMYFUNCTION("""COMPUTED_VALUE"""),0.0)</f>
        <v>0</v>
      </c>
      <c r="S684" s="34">
        <f>IFERROR(__xludf.DUMMYFUNCTION("""COMPUTED_VALUE"""),0.0)</f>
        <v>0</v>
      </c>
    </row>
    <row r="685">
      <c r="A685" s="17">
        <f>IFERROR(__xludf.DUMMYFUNCTION("""COMPUTED_VALUE"""),685.0)</f>
        <v>685</v>
      </c>
      <c r="B685" s="17" t="str">
        <f>IFERROR(__xludf.DUMMYFUNCTION("""COMPUTED_VALUE"""),"Ben Gamel (ATL - LF,RF) MiLB")</f>
        <v>Ben Gamel (ATL - LF,RF) MiLB</v>
      </c>
      <c r="C685" s="17">
        <f>IFERROR(__xludf.DUMMYFUNCTION("""COMPUTED_VALUE"""),19.0)</f>
        <v>19</v>
      </c>
      <c r="D685" s="17">
        <f>IFERROR(__xludf.DUMMYFUNCTION("""COMPUTED_VALUE"""),2.0)</f>
        <v>2</v>
      </c>
      <c r="E685" s="17">
        <f>IFERROR(__xludf.DUMMYFUNCTION("""COMPUTED_VALUE"""),0.0)</f>
        <v>0</v>
      </c>
      <c r="F685" s="17">
        <f>IFERROR(__xludf.DUMMYFUNCTION("""COMPUTED_VALUE"""),2.0)</f>
        <v>2</v>
      </c>
      <c r="G685" s="17">
        <f>IFERROR(__xludf.DUMMYFUNCTION("""COMPUTED_VALUE"""),0.0)</f>
        <v>0</v>
      </c>
      <c r="H685" s="17">
        <f>IFERROR(__xludf.DUMMYFUNCTION("""COMPUTED_VALUE"""),0.206)</f>
        <v>0.206</v>
      </c>
      <c r="I685" s="17">
        <f>IFERROR(__xludf.DUMMYFUNCTION("""COMPUTED_VALUE"""),0.298)</f>
        <v>0.298</v>
      </c>
      <c r="J685" s="17">
        <f>IFERROR(__xludf.DUMMYFUNCTION("""COMPUTED_VALUE"""),4.0)</f>
        <v>4</v>
      </c>
      <c r="K685" s="17">
        <f>IFERROR(__xludf.DUMMYFUNCTION("""COMPUTED_VALUE"""),1.0)</f>
        <v>1</v>
      </c>
      <c r="L685" s="17">
        <f>IFERROR(__xludf.DUMMYFUNCTION("""COMPUTED_VALUE"""),0.0)</f>
        <v>0</v>
      </c>
      <c r="M685" s="17">
        <f>IFERROR(__xludf.DUMMYFUNCTION("""COMPUTED_VALUE"""),2.0)</f>
        <v>2</v>
      </c>
      <c r="N685" s="17">
        <f>IFERROR(__xludf.DUMMYFUNCTION("""COMPUTED_VALUE"""),6.0)</f>
        <v>6</v>
      </c>
      <c r="O685" s="17">
        <f>IFERROR(__xludf.DUMMYFUNCTION("""COMPUTED_VALUE"""),0.304)</f>
        <v>0.304</v>
      </c>
      <c r="P685" s="17">
        <f>IFERROR(__xludf.DUMMYFUNCTION("""COMPUTED_VALUE"""),0.602)</f>
        <v>0.602</v>
      </c>
      <c r="Q685" s="34">
        <f>IFERROR(__xludf.DUMMYFUNCTION("""COMPUTED_VALUE"""),0.0)</f>
        <v>0</v>
      </c>
      <c r="R685" s="34">
        <f>IFERROR(__xludf.DUMMYFUNCTION("""COMPUTED_VALUE"""),0.0)</f>
        <v>0</v>
      </c>
      <c r="S685" s="34">
        <f>IFERROR(__xludf.DUMMYFUNCTION("""COMPUTED_VALUE"""),0.0)</f>
        <v>0</v>
      </c>
    </row>
    <row r="686">
      <c r="A686" s="17">
        <f>IFERROR(__xludf.DUMMYFUNCTION("""COMPUTED_VALUE"""),686.0)</f>
        <v>686</v>
      </c>
      <c r="B686" s="17" t="str">
        <f>IFERROR(__xludf.DUMMYFUNCTION("""COMPUTED_VALUE"""),"Andy Ibanez (NYM - 2B,3B) MiLB")</f>
        <v>Andy Ibanez (NYM - 2B,3B) MiLB</v>
      </c>
      <c r="C686" s="17">
        <f>IFERROR(__xludf.DUMMYFUNCTION("""COMPUTED_VALUE"""),19.0)</f>
        <v>19</v>
      </c>
      <c r="D686" s="17">
        <f>IFERROR(__xludf.DUMMYFUNCTION("""COMPUTED_VALUE"""),2.0)</f>
        <v>2</v>
      </c>
      <c r="E686" s="17">
        <f>IFERROR(__xludf.DUMMYFUNCTION("""COMPUTED_VALUE"""),0.0)</f>
        <v>0</v>
      </c>
      <c r="F686" s="17">
        <f>IFERROR(__xludf.DUMMYFUNCTION("""COMPUTED_VALUE"""),2.0)</f>
        <v>2</v>
      </c>
      <c r="G686" s="17">
        <f>IFERROR(__xludf.DUMMYFUNCTION("""COMPUTED_VALUE"""),0.0)</f>
        <v>0</v>
      </c>
      <c r="H686" s="17">
        <f>IFERROR(__xludf.DUMMYFUNCTION("""COMPUTED_VALUE"""),0.22)</f>
        <v>0.22</v>
      </c>
      <c r="I686" s="17">
        <f>IFERROR(__xludf.DUMMYFUNCTION("""COMPUTED_VALUE"""),0.275)</f>
        <v>0.275</v>
      </c>
      <c r="J686" s="17">
        <f>IFERROR(__xludf.DUMMYFUNCTION("""COMPUTED_VALUE"""),4.0)</f>
        <v>4</v>
      </c>
      <c r="K686" s="17">
        <f>IFERROR(__xludf.DUMMYFUNCTION("""COMPUTED_VALUE"""),1.0)</f>
        <v>1</v>
      </c>
      <c r="L686" s="17">
        <f>IFERROR(__xludf.DUMMYFUNCTION("""COMPUTED_VALUE"""),0.0)</f>
        <v>0</v>
      </c>
      <c r="M686" s="17">
        <f>IFERROR(__xludf.DUMMYFUNCTION("""COMPUTED_VALUE"""),1.0)</f>
        <v>1</v>
      </c>
      <c r="N686" s="17">
        <f>IFERROR(__xludf.DUMMYFUNCTION("""COMPUTED_VALUE"""),4.0)</f>
        <v>4</v>
      </c>
      <c r="O686" s="17">
        <f>IFERROR(__xludf.DUMMYFUNCTION("""COMPUTED_VALUE"""),0.308)</f>
        <v>0.308</v>
      </c>
      <c r="P686" s="17">
        <f>IFERROR(__xludf.DUMMYFUNCTION("""COMPUTED_VALUE"""),0.583)</f>
        <v>0.583</v>
      </c>
      <c r="Q686" s="34">
        <f>IFERROR(__xludf.DUMMYFUNCTION("""COMPUTED_VALUE"""),0.0)</f>
        <v>0</v>
      </c>
      <c r="R686" s="34">
        <f>IFERROR(__xludf.DUMMYFUNCTION("""COMPUTED_VALUE"""),0.0)</f>
        <v>0</v>
      </c>
      <c r="S686" s="34">
        <f>IFERROR(__xludf.DUMMYFUNCTION("""COMPUTED_VALUE"""),0.0)</f>
        <v>0</v>
      </c>
    </row>
    <row r="687">
      <c r="A687" s="17">
        <f>IFERROR(__xludf.DUMMYFUNCTION("""COMPUTED_VALUE"""),687.0)</f>
        <v>687</v>
      </c>
      <c r="B687" s="17" t="str">
        <f>IFERROR(__xludf.DUMMYFUNCTION("""COMPUTED_VALUE"""),"Christian Franklin (WSH - LF,CF,RF) MiLB")</f>
        <v>Christian Franklin (WSH - LF,CF,RF) MiLB</v>
      </c>
      <c r="C687" s="17">
        <f>IFERROR(__xludf.DUMMYFUNCTION("""COMPUTED_VALUE"""),19.0)</f>
        <v>19</v>
      </c>
      <c r="D687" s="17">
        <f>IFERROR(__xludf.DUMMYFUNCTION("""COMPUTED_VALUE"""),2.0)</f>
        <v>2</v>
      </c>
      <c r="E687" s="17">
        <f>IFERROR(__xludf.DUMMYFUNCTION("""COMPUTED_VALUE"""),0.0)</f>
        <v>0</v>
      </c>
      <c r="F687" s="17">
        <f>IFERROR(__xludf.DUMMYFUNCTION("""COMPUTED_VALUE"""),2.0)</f>
        <v>2</v>
      </c>
      <c r="G687" s="17">
        <f>IFERROR(__xludf.DUMMYFUNCTION("""COMPUTED_VALUE"""),0.0)</f>
        <v>0</v>
      </c>
      <c r="H687" s="17">
        <f>IFERROR(__xludf.DUMMYFUNCTION("""COMPUTED_VALUE"""),0.235)</f>
        <v>0.235</v>
      </c>
      <c r="I687" s="17">
        <f>IFERROR(__xludf.DUMMYFUNCTION("""COMPUTED_VALUE"""),0.328)</f>
        <v>0.328</v>
      </c>
      <c r="J687" s="17">
        <f>IFERROR(__xludf.DUMMYFUNCTION("""COMPUTED_VALUE"""),4.0)</f>
        <v>4</v>
      </c>
      <c r="K687" s="17">
        <f>IFERROR(__xludf.DUMMYFUNCTION("""COMPUTED_VALUE"""),1.0)</f>
        <v>1</v>
      </c>
      <c r="L687" s="17">
        <f>IFERROR(__xludf.DUMMYFUNCTION("""COMPUTED_VALUE"""),0.0)</f>
        <v>0</v>
      </c>
      <c r="M687" s="17">
        <f>IFERROR(__xludf.DUMMYFUNCTION("""COMPUTED_VALUE"""),2.0)</f>
        <v>2</v>
      </c>
      <c r="N687" s="17">
        <f>IFERROR(__xludf.DUMMYFUNCTION("""COMPUTED_VALUE"""),5.0)</f>
        <v>5</v>
      </c>
      <c r="O687" s="17">
        <f>IFERROR(__xludf.DUMMYFUNCTION("""COMPUTED_VALUE"""),0.326)</f>
        <v>0.326</v>
      </c>
      <c r="P687" s="17">
        <f>IFERROR(__xludf.DUMMYFUNCTION("""COMPUTED_VALUE"""),0.654)</f>
        <v>0.654</v>
      </c>
      <c r="Q687" s="34">
        <f>IFERROR(__xludf.DUMMYFUNCTION("""COMPUTED_VALUE"""),0.0)</f>
        <v>0</v>
      </c>
      <c r="R687" s="34">
        <f>IFERROR(__xludf.DUMMYFUNCTION("""COMPUTED_VALUE"""),0.0)</f>
        <v>0</v>
      </c>
      <c r="S687" s="34">
        <f>IFERROR(__xludf.DUMMYFUNCTION("""COMPUTED_VALUE"""),0.0)</f>
        <v>0</v>
      </c>
    </row>
    <row r="688">
      <c r="A688" s="17">
        <f>IFERROR(__xludf.DUMMYFUNCTION("""COMPUTED_VALUE"""),688.0)</f>
        <v>688</v>
      </c>
      <c r="B688" s="17" t="str">
        <f>IFERROR(__xludf.DUMMYFUNCTION("""COMPUTED_VALUE"""),"Jesus Valdez (ARI - 1B) MiLB")</f>
        <v>Jesus Valdez (ARI - 1B) MiLB</v>
      </c>
      <c r="C688" s="17">
        <f>IFERROR(__xludf.DUMMYFUNCTION("""COMPUTED_VALUE"""),13.0)</f>
        <v>13</v>
      </c>
      <c r="D688" s="17">
        <f>IFERROR(__xludf.DUMMYFUNCTION("""COMPUTED_VALUE"""),2.0)</f>
        <v>2</v>
      </c>
      <c r="E688" s="17">
        <f>IFERROR(__xludf.DUMMYFUNCTION("""COMPUTED_VALUE"""),0.0)</f>
        <v>0</v>
      </c>
      <c r="F688" s="17">
        <f>IFERROR(__xludf.DUMMYFUNCTION("""COMPUTED_VALUE"""),1.0)</f>
        <v>1</v>
      </c>
      <c r="G688" s="17">
        <f>IFERROR(__xludf.DUMMYFUNCTION("""COMPUTED_VALUE"""),0.0)</f>
        <v>0</v>
      </c>
      <c r="H688" s="17">
        <f>IFERROR(__xludf.DUMMYFUNCTION("""COMPUTED_VALUE"""),0.208)</f>
        <v>0.208</v>
      </c>
      <c r="I688" s="17">
        <f>IFERROR(__xludf.DUMMYFUNCTION("""COMPUTED_VALUE"""),0.26)</f>
        <v>0.26</v>
      </c>
      <c r="J688" s="17">
        <f>IFERROR(__xludf.DUMMYFUNCTION("""COMPUTED_VALUE"""),3.0)</f>
        <v>3</v>
      </c>
      <c r="K688" s="17">
        <f>IFERROR(__xludf.DUMMYFUNCTION("""COMPUTED_VALUE"""),0.0)</f>
        <v>0</v>
      </c>
      <c r="L688" s="17">
        <f>IFERROR(__xludf.DUMMYFUNCTION("""COMPUTED_VALUE"""),0.0)</f>
        <v>0</v>
      </c>
      <c r="M688" s="17">
        <f>IFERROR(__xludf.DUMMYFUNCTION("""COMPUTED_VALUE"""),1.0)</f>
        <v>1</v>
      </c>
      <c r="N688" s="17">
        <f>IFERROR(__xludf.DUMMYFUNCTION("""COMPUTED_VALUE"""),4.0)</f>
        <v>4</v>
      </c>
      <c r="O688" s="17">
        <f>IFERROR(__xludf.DUMMYFUNCTION("""COMPUTED_VALUE"""),0.287)</f>
        <v>0.287</v>
      </c>
      <c r="P688" s="17">
        <f>IFERROR(__xludf.DUMMYFUNCTION("""COMPUTED_VALUE"""),0.548)</f>
        <v>0.548</v>
      </c>
      <c r="Q688" s="34">
        <f>IFERROR(__xludf.DUMMYFUNCTION("""COMPUTED_VALUE"""),0.0)</f>
        <v>0</v>
      </c>
      <c r="R688" s="34">
        <f>IFERROR(__xludf.DUMMYFUNCTION("""COMPUTED_VALUE"""),0.0)</f>
        <v>0</v>
      </c>
      <c r="S688" s="34">
        <f>IFERROR(__xludf.DUMMYFUNCTION("""COMPUTED_VALUE"""),0.0)</f>
        <v>0</v>
      </c>
    </row>
    <row r="689">
      <c r="A689" s="17">
        <f>IFERROR(__xludf.DUMMYFUNCTION("""COMPUTED_VALUE"""),689.0)</f>
        <v>689</v>
      </c>
      <c r="B689" s="17" t="str">
        <f>IFERROR(__xludf.DUMMYFUNCTION("""COMPUTED_VALUE"""),"Cesar Salazar (HOU - C) MiLB")</f>
        <v>Cesar Salazar (HOU - C) MiLB</v>
      </c>
      <c r="C689" s="17">
        <f>IFERROR(__xludf.DUMMYFUNCTION("""COMPUTED_VALUE"""),13.0)</f>
        <v>13</v>
      </c>
      <c r="D689" s="17">
        <f>IFERROR(__xludf.DUMMYFUNCTION("""COMPUTED_VALUE"""),2.0)</f>
        <v>2</v>
      </c>
      <c r="E689" s="17">
        <f>IFERROR(__xludf.DUMMYFUNCTION("""COMPUTED_VALUE"""),0.0)</f>
        <v>0</v>
      </c>
      <c r="F689" s="17">
        <f>IFERROR(__xludf.DUMMYFUNCTION("""COMPUTED_VALUE"""),1.0)</f>
        <v>1</v>
      </c>
      <c r="G689" s="17">
        <f>IFERROR(__xludf.DUMMYFUNCTION("""COMPUTED_VALUE"""),0.0)</f>
        <v>0</v>
      </c>
      <c r="H689" s="17">
        <f>IFERROR(__xludf.DUMMYFUNCTION("""COMPUTED_VALUE"""),0.202)</f>
        <v>0.202</v>
      </c>
      <c r="I689" s="17">
        <f>IFERROR(__xludf.DUMMYFUNCTION("""COMPUTED_VALUE"""),0.277)</f>
        <v>0.277</v>
      </c>
      <c r="J689" s="17">
        <f>IFERROR(__xludf.DUMMYFUNCTION("""COMPUTED_VALUE"""),3.0)</f>
        <v>3</v>
      </c>
      <c r="K689" s="17">
        <f>IFERROR(__xludf.DUMMYFUNCTION("""COMPUTED_VALUE"""),0.0)</f>
        <v>0</v>
      </c>
      <c r="L689" s="17">
        <f>IFERROR(__xludf.DUMMYFUNCTION("""COMPUTED_VALUE"""),0.0)</f>
        <v>0</v>
      </c>
      <c r="M689" s="17">
        <f>IFERROR(__xludf.DUMMYFUNCTION("""COMPUTED_VALUE"""),1.0)</f>
        <v>1</v>
      </c>
      <c r="N689" s="17">
        <f>IFERROR(__xludf.DUMMYFUNCTION("""COMPUTED_VALUE"""),3.0)</f>
        <v>3</v>
      </c>
      <c r="O689" s="17">
        <f>IFERROR(__xludf.DUMMYFUNCTION("""COMPUTED_VALUE"""),0.304)</f>
        <v>0.304</v>
      </c>
      <c r="P689" s="17">
        <f>IFERROR(__xludf.DUMMYFUNCTION("""COMPUTED_VALUE"""),0.581)</f>
        <v>0.581</v>
      </c>
      <c r="Q689" s="34">
        <f>IFERROR(__xludf.DUMMYFUNCTION("""COMPUTED_VALUE"""),0.0)</f>
        <v>0</v>
      </c>
      <c r="R689" s="34">
        <f>IFERROR(__xludf.DUMMYFUNCTION("""COMPUTED_VALUE"""),0.0)</f>
        <v>0</v>
      </c>
      <c r="S689" s="34">
        <f>IFERROR(__xludf.DUMMYFUNCTION("""COMPUTED_VALUE"""),0.0)</f>
        <v>0</v>
      </c>
    </row>
    <row r="690">
      <c r="A690" s="17">
        <f>IFERROR(__xludf.DUMMYFUNCTION("""COMPUTED_VALUE"""),690.0)</f>
        <v>690</v>
      </c>
      <c r="B690" s="17" t="str">
        <f>IFERROR(__xludf.DUMMYFUNCTION("""COMPUTED_VALUE"""),"Blake Dunn (CIN - LF,RF) MiLB")</f>
        <v>Blake Dunn (CIN - LF,RF) MiLB</v>
      </c>
      <c r="C690" s="17">
        <f>IFERROR(__xludf.DUMMYFUNCTION("""COMPUTED_VALUE"""),13.0)</f>
        <v>13</v>
      </c>
      <c r="D690" s="17">
        <f>IFERROR(__xludf.DUMMYFUNCTION("""COMPUTED_VALUE"""),2.0)</f>
        <v>2</v>
      </c>
      <c r="E690" s="17">
        <f>IFERROR(__xludf.DUMMYFUNCTION("""COMPUTED_VALUE"""),0.0)</f>
        <v>0</v>
      </c>
      <c r="F690" s="17">
        <f>IFERROR(__xludf.DUMMYFUNCTION("""COMPUTED_VALUE"""),1.0)</f>
        <v>1</v>
      </c>
      <c r="G690" s="17">
        <f>IFERROR(__xludf.DUMMYFUNCTION("""COMPUTED_VALUE"""),0.0)</f>
        <v>0</v>
      </c>
      <c r="H690" s="17">
        <f>IFERROR(__xludf.DUMMYFUNCTION("""COMPUTED_VALUE"""),0.22)</f>
        <v>0.22</v>
      </c>
      <c r="I690" s="17">
        <f>IFERROR(__xludf.DUMMYFUNCTION("""COMPUTED_VALUE"""),0.299)</f>
        <v>0.299</v>
      </c>
      <c r="J690" s="17">
        <f>IFERROR(__xludf.DUMMYFUNCTION("""COMPUTED_VALUE"""),3.0)</f>
        <v>3</v>
      </c>
      <c r="K690" s="17">
        <f>IFERROR(__xludf.DUMMYFUNCTION("""COMPUTED_VALUE"""),0.0)</f>
        <v>0</v>
      </c>
      <c r="L690" s="17">
        <f>IFERROR(__xludf.DUMMYFUNCTION("""COMPUTED_VALUE"""),0.0)</f>
        <v>0</v>
      </c>
      <c r="M690" s="17">
        <f>IFERROR(__xludf.DUMMYFUNCTION("""COMPUTED_VALUE"""),1.0)</f>
        <v>1</v>
      </c>
      <c r="N690" s="17">
        <f>IFERROR(__xludf.DUMMYFUNCTION("""COMPUTED_VALUE"""),4.0)</f>
        <v>4</v>
      </c>
      <c r="O690" s="17">
        <f>IFERROR(__xludf.DUMMYFUNCTION("""COMPUTED_VALUE"""),0.293)</f>
        <v>0.293</v>
      </c>
      <c r="P690" s="17">
        <f>IFERROR(__xludf.DUMMYFUNCTION("""COMPUTED_VALUE"""),0.592)</f>
        <v>0.592</v>
      </c>
      <c r="Q690" s="34">
        <f>IFERROR(__xludf.DUMMYFUNCTION("""COMPUTED_VALUE"""),0.0)</f>
        <v>0</v>
      </c>
      <c r="R690" s="34">
        <f>IFERROR(__xludf.DUMMYFUNCTION("""COMPUTED_VALUE"""),0.0)</f>
        <v>0</v>
      </c>
      <c r="S690" s="34">
        <f>IFERROR(__xludf.DUMMYFUNCTION("""COMPUTED_VALUE"""),0.0)</f>
        <v>0</v>
      </c>
    </row>
    <row r="691">
      <c r="A691" s="17">
        <f>IFERROR(__xludf.DUMMYFUNCTION("""COMPUTED_VALUE"""),691.0)</f>
        <v>691</v>
      </c>
      <c r="B691" s="17" t="str">
        <f>IFERROR(__xludf.DUMMYFUNCTION("""COMPUTED_VALUE"""),"Kemp Alderman (MIA - RF) MiLB")</f>
        <v>Kemp Alderman (MIA - RF) MiLB</v>
      </c>
      <c r="C691" s="17">
        <f>IFERROR(__xludf.DUMMYFUNCTION("""COMPUTED_VALUE"""),13.0)</f>
        <v>13</v>
      </c>
      <c r="D691" s="17">
        <f>IFERROR(__xludf.DUMMYFUNCTION("""COMPUTED_VALUE"""),1.0)</f>
        <v>1</v>
      </c>
      <c r="E691" s="17">
        <f>IFERROR(__xludf.DUMMYFUNCTION("""COMPUTED_VALUE"""),0.0)</f>
        <v>0</v>
      </c>
      <c r="F691" s="17">
        <f>IFERROR(__xludf.DUMMYFUNCTION("""COMPUTED_VALUE"""),2.0)</f>
        <v>2</v>
      </c>
      <c r="G691" s="17">
        <f>IFERROR(__xludf.DUMMYFUNCTION("""COMPUTED_VALUE"""),0.0)</f>
        <v>0</v>
      </c>
      <c r="H691" s="17">
        <f>IFERROR(__xludf.DUMMYFUNCTION("""COMPUTED_VALUE"""),0.213)</f>
        <v>0.213</v>
      </c>
      <c r="I691" s="17">
        <f>IFERROR(__xludf.DUMMYFUNCTION("""COMPUTED_VALUE"""),0.271)</f>
        <v>0.271</v>
      </c>
      <c r="J691" s="17">
        <f>IFERROR(__xludf.DUMMYFUNCTION("""COMPUTED_VALUE"""),3.0)</f>
        <v>3</v>
      </c>
      <c r="K691" s="17">
        <f>IFERROR(__xludf.DUMMYFUNCTION("""COMPUTED_VALUE"""),0.0)</f>
        <v>0</v>
      </c>
      <c r="L691" s="17">
        <f>IFERROR(__xludf.DUMMYFUNCTION("""COMPUTED_VALUE"""),0.0)</f>
        <v>0</v>
      </c>
      <c r="M691" s="17">
        <f>IFERROR(__xludf.DUMMYFUNCTION("""COMPUTED_VALUE"""),1.0)</f>
        <v>1</v>
      </c>
      <c r="N691" s="17">
        <f>IFERROR(__xludf.DUMMYFUNCTION("""COMPUTED_VALUE"""),4.0)</f>
        <v>4</v>
      </c>
      <c r="O691" s="17">
        <f>IFERROR(__xludf.DUMMYFUNCTION("""COMPUTED_VALUE"""),0.294)</f>
        <v>0.294</v>
      </c>
      <c r="P691" s="17">
        <f>IFERROR(__xludf.DUMMYFUNCTION("""COMPUTED_VALUE"""),0.565)</f>
        <v>0.565</v>
      </c>
      <c r="Q691" s="34">
        <f>IFERROR(__xludf.DUMMYFUNCTION("""COMPUTED_VALUE"""),0.0)</f>
        <v>0</v>
      </c>
      <c r="R691" s="34">
        <f>IFERROR(__xludf.DUMMYFUNCTION("""COMPUTED_VALUE"""),0.0)</f>
        <v>0</v>
      </c>
      <c r="S691" s="34">
        <f>IFERROR(__xludf.DUMMYFUNCTION("""COMPUTED_VALUE"""),0.0)</f>
        <v>0</v>
      </c>
    </row>
    <row r="692">
      <c r="A692" s="17">
        <f>IFERROR(__xludf.DUMMYFUNCTION("""COMPUTED_VALUE"""),692.0)</f>
        <v>692</v>
      </c>
      <c r="B692" s="17" t="str">
        <f>IFERROR(__xludf.DUMMYFUNCTION("""COMPUTED_VALUE"""),"Jon Singleton (1B,DH) FA")</f>
        <v>Jon Singleton (1B,DH) FA</v>
      </c>
      <c r="C692" s="17">
        <f>IFERROR(__xludf.DUMMYFUNCTION("""COMPUTED_VALUE"""),7.0)</f>
        <v>7</v>
      </c>
      <c r="D692" s="17">
        <f>IFERROR(__xludf.DUMMYFUNCTION("""COMPUTED_VALUE"""),1.0)</f>
        <v>1</v>
      </c>
      <c r="E692" s="17">
        <f>IFERROR(__xludf.DUMMYFUNCTION("""COMPUTED_VALUE"""),0.0)</f>
        <v>0</v>
      </c>
      <c r="F692" s="17">
        <f>IFERROR(__xludf.DUMMYFUNCTION("""COMPUTED_VALUE"""),1.0)</f>
        <v>1</v>
      </c>
      <c r="G692" s="17">
        <f>IFERROR(__xludf.DUMMYFUNCTION("""COMPUTED_VALUE"""),0.0)</f>
        <v>0</v>
      </c>
      <c r="H692" s="17">
        <f>IFERROR(__xludf.DUMMYFUNCTION("""COMPUTED_VALUE"""),0.228)</f>
        <v>0.228</v>
      </c>
      <c r="I692" s="17">
        <f>IFERROR(__xludf.DUMMYFUNCTION("""COMPUTED_VALUE"""),0.33)</f>
        <v>0.33</v>
      </c>
      <c r="J692" s="17">
        <f>IFERROR(__xludf.DUMMYFUNCTION("""COMPUTED_VALUE"""),2.0)</f>
        <v>2</v>
      </c>
      <c r="K692" s="17">
        <f>IFERROR(__xludf.DUMMYFUNCTION("""COMPUTED_VALUE"""),1.0)</f>
        <v>1</v>
      </c>
      <c r="L692" s="17">
        <f>IFERROR(__xludf.DUMMYFUNCTION("""COMPUTED_VALUE"""),0.0)</f>
        <v>0</v>
      </c>
      <c r="M692" s="17">
        <f>IFERROR(__xludf.DUMMYFUNCTION("""COMPUTED_VALUE"""),1.0)</f>
        <v>1</v>
      </c>
      <c r="N692" s="17">
        <f>IFERROR(__xludf.DUMMYFUNCTION("""COMPUTED_VALUE"""),2.0)</f>
        <v>2</v>
      </c>
      <c r="O692" s="17">
        <f>IFERROR(__xludf.DUMMYFUNCTION("""COMPUTED_VALUE"""),0.313)</f>
        <v>0.313</v>
      </c>
      <c r="P692" s="17">
        <f>IFERROR(__xludf.DUMMYFUNCTION("""COMPUTED_VALUE"""),0.643)</f>
        <v>0.643</v>
      </c>
      <c r="Q692" s="34">
        <f>IFERROR(__xludf.DUMMYFUNCTION("""COMPUTED_VALUE"""),0.0)</f>
        <v>0</v>
      </c>
      <c r="R692" s="34">
        <f>IFERROR(__xludf.DUMMYFUNCTION("""COMPUTED_VALUE"""),0.0)</f>
        <v>0</v>
      </c>
      <c r="S692" s="34">
        <f>IFERROR(__xludf.DUMMYFUNCTION("""COMPUTED_VALUE"""),0.0)</f>
        <v>0</v>
      </c>
    </row>
    <row r="693">
      <c r="A693" s="17">
        <f>IFERROR(__xludf.DUMMYFUNCTION("""COMPUTED_VALUE"""),693.0)</f>
        <v>693</v>
      </c>
      <c r="B693" s="17" t="str">
        <f>IFERROR(__xludf.DUMMYFUNCTION("""COMPUTED_VALUE"""),"Kevin Pillar (LF,CF,RF) RET")</f>
        <v>Kevin Pillar (LF,CF,RF) RET</v>
      </c>
      <c r="C693" s="17">
        <f>IFERROR(__xludf.DUMMYFUNCTION("""COMPUTED_VALUE"""),7.0)</f>
        <v>7</v>
      </c>
      <c r="D693" s="17">
        <f>IFERROR(__xludf.DUMMYFUNCTION("""COMPUTED_VALUE"""),1.0)</f>
        <v>1</v>
      </c>
      <c r="E693" s="17">
        <f>IFERROR(__xludf.DUMMYFUNCTION("""COMPUTED_VALUE"""),0.0)</f>
        <v>0</v>
      </c>
      <c r="F693" s="17">
        <f>IFERROR(__xludf.DUMMYFUNCTION("""COMPUTED_VALUE"""),1.0)</f>
        <v>1</v>
      </c>
      <c r="G693" s="17">
        <f>IFERROR(__xludf.DUMMYFUNCTION("""COMPUTED_VALUE"""),0.0)</f>
        <v>0</v>
      </c>
      <c r="H693" s="17">
        <f>IFERROR(__xludf.DUMMYFUNCTION("""COMPUTED_VALUE"""),0.229)</f>
        <v>0.229</v>
      </c>
      <c r="I693" s="17">
        <f>IFERROR(__xludf.DUMMYFUNCTION("""COMPUTED_VALUE"""),0.284)</f>
        <v>0.284</v>
      </c>
      <c r="J693" s="17">
        <f>IFERROR(__xludf.DUMMYFUNCTION("""COMPUTED_VALUE"""),2.0)</f>
        <v>2</v>
      </c>
      <c r="K693" s="17">
        <f>IFERROR(__xludf.DUMMYFUNCTION("""COMPUTED_VALUE"""),1.0)</f>
        <v>1</v>
      </c>
      <c r="L693" s="17">
        <f>IFERROR(__xludf.DUMMYFUNCTION("""COMPUTED_VALUE"""),0.0)</f>
        <v>0</v>
      </c>
      <c r="M693" s="17">
        <f>IFERROR(__xludf.DUMMYFUNCTION("""COMPUTED_VALUE"""),1.0)</f>
        <v>1</v>
      </c>
      <c r="N693" s="17">
        <f>IFERROR(__xludf.DUMMYFUNCTION("""COMPUTED_VALUE"""),2.0)</f>
        <v>2</v>
      </c>
      <c r="O693" s="17">
        <f>IFERROR(__xludf.DUMMYFUNCTION("""COMPUTED_VALUE"""),0.311)</f>
        <v>0.311</v>
      </c>
      <c r="P693" s="17">
        <f>IFERROR(__xludf.DUMMYFUNCTION("""COMPUTED_VALUE"""),0.595)</f>
        <v>0.595</v>
      </c>
      <c r="Q693" s="34">
        <f>IFERROR(__xludf.DUMMYFUNCTION("""COMPUTED_VALUE"""),0.0)</f>
        <v>0</v>
      </c>
      <c r="R693" s="34">
        <f>IFERROR(__xludf.DUMMYFUNCTION("""COMPUTED_VALUE"""),0.0)</f>
        <v>0</v>
      </c>
      <c r="S693" s="34">
        <f>IFERROR(__xludf.DUMMYFUNCTION("""COMPUTED_VALUE"""),0.0)</f>
        <v>0</v>
      </c>
    </row>
    <row r="694">
      <c r="A694" s="17">
        <f>IFERROR(__xludf.DUMMYFUNCTION("""COMPUTED_VALUE"""),694.0)</f>
        <v>694</v>
      </c>
      <c r="B694" s="17" t="str">
        <f>IFERROR(__xludf.DUMMYFUNCTION("""COMPUTED_VALUE"""),"Luis Guillorme (2B,3B) FA")</f>
        <v>Luis Guillorme (2B,3B) FA</v>
      </c>
      <c r="C694" s="17">
        <f>IFERROR(__xludf.DUMMYFUNCTION("""COMPUTED_VALUE"""),7.0)</f>
        <v>7</v>
      </c>
      <c r="D694" s="17">
        <f>IFERROR(__xludf.DUMMYFUNCTION("""COMPUTED_VALUE"""),1.0)</f>
        <v>1</v>
      </c>
      <c r="E694" s="17">
        <f>IFERROR(__xludf.DUMMYFUNCTION("""COMPUTED_VALUE"""),0.0)</f>
        <v>0</v>
      </c>
      <c r="F694" s="17">
        <f>IFERROR(__xludf.DUMMYFUNCTION("""COMPUTED_VALUE"""),1.0)</f>
        <v>1</v>
      </c>
      <c r="G694" s="17">
        <f>IFERROR(__xludf.DUMMYFUNCTION("""COMPUTED_VALUE"""),0.0)</f>
        <v>0</v>
      </c>
      <c r="H694" s="17">
        <f>IFERROR(__xludf.DUMMYFUNCTION("""COMPUTED_VALUE"""),0.246)</f>
        <v>0.246</v>
      </c>
      <c r="I694" s="17">
        <f>IFERROR(__xludf.DUMMYFUNCTION("""COMPUTED_VALUE"""),0.352)</f>
        <v>0.352</v>
      </c>
      <c r="J694" s="17">
        <f>IFERROR(__xludf.DUMMYFUNCTION("""COMPUTED_VALUE"""),2.0)</f>
        <v>2</v>
      </c>
      <c r="K694" s="17">
        <f>IFERROR(__xludf.DUMMYFUNCTION("""COMPUTED_VALUE"""),1.0)</f>
        <v>1</v>
      </c>
      <c r="L694" s="17">
        <f>IFERROR(__xludf.DUMMYFUNCTION("""COMPUTED_VALUE"""),0.0)</f>
        <v>0</v>
      </c>
      <c r="M694" s="17">
        <f>IFERROR(__xludf.DUMMYFUNCTION("""COMPUTED_VALUE"""),1.0)</f>
        <v>1</v>
      </c>
      <c r="N694" s="17">
        <f>IFERROR(__xludf.DUMMYFUNCTION("""COMPUTED_VALUE"""),2.0)</f>
        <v>2</v>
      </c>
      <c r="O694" s="17">
        <f>IFERROR(__xludf.DUMMYFUNCTION("""COMPUTED_VALUE"""),0.327)</f>
        <v>0.327</v>
      </c>
      <c r="P694" s="17">
        <f>IFERROR(__xludf.DUMMYFUNCTION("""COMPUTED_VALUE"""),0.68)</f>
        <v>0.68</v>
      </c>
      <c r="Q694" s="34">
        <f>IFERROR(__xludf.DUMMYFUNCTION("""COMPUTED_VALUE"""),0.0)</f>
        <v>0</v>
      </c>
      <c r="R694" s="34">
        <f>IFERROR(__xludf.DUMMYFUNCTION("""COMPUTED_VALUE"""),0.0)</f>
        <v>0</v>
      </c>
      <c r="S694" s="34">
        <f>IFERROR(__xludf.DUMMYFUNCTION("""COMPUTED_VALUE"""),0.0)</f>
        <v>0</v>
      </c>
    </row>
    <row r="695">
      <c r="A695" s="17">
        <f>IFERROR(__xludf.DUMMYFUNCTION("""COMPUTED_VALUE"""),695.0)</f>
        <v>695</v>
      </c>
      <c r="B695" s="17" t="str">
        <f>IFERROR(__xludf.DUMMYFUNCTION("""COMPUTED_VALUE"""),"Alika Williams (PIT - 2B,SS) MiLB")</f>
        <v>Alika Williams (PIT - 2B,SS) MiLB</v>
      </c>
      <c r="C695" s="17">
        <f>IFERROR(__xludf.DUMMYFUNCTION("""COMPUTED_VALUE"""),7.0)</f>
        <v>7</v>
      </c>
      <c r="D695" s="17">
        <f>IFERROR(__xludf.DUMMYFUNCTION("""COMPUTED_VALUE"""),1.0)</f>
        <v>1</v>
      </c>
      <c r="E695" s="17">
        <f>IFERROR(__xludf.DUMMYFUNCTION("""COMPUTED_VALUE"""),0.0)</f>
        <v>0</v>
      </c>
      <c r="F695" s="17">
        <f>IFERROR(__xludf.DUMMYFUNCTION("""COMPUTED_VALUE"""),1.0)</f>
        <v>1</v>
      </c>
      <c r="G695" s="17">
        <f>IFERROR(__xludf.DUMMYFUNCTION("""COMPUTED_VALUE"""),0.0)</f>
        <v>0</v>
      </c>
      <c r="H695" s="17">
        <f>IFERROR(__xludf.DUMMYFUNCTION("""COMPUTED_VALUE"""),0.213)</f>
        <v>0.213</v>
      </c>
      <c r="I695" s="17">
        <f>IFERROR(__xludf.DUMMYFUNCTION("""COMPUTED_VALUE"""),0.243)</f>
        <v>0.243</v>
      </c>
      <c r="J695" s="17">
        <f>IFERROR(__xludf.DUMMYFUNCTION("""COMPUTED_VALUE"""),2.0)</f>
        <v>2</v>
      </c>
      <c r="K695" s="17">
        <f>IFERROR(__xludf.DUMMYFUNCTION("""COMPUTED_VALUE"""),0.0)</f>
        <v>0</v>
      </c>
      <c r="L695" s="17">
        <f>IFERROR(__xludf.DUMMYFUNCTION("""COMPUTED_VALUE"""),0.0)</f>
        <v>0</v>
      </c>
      <c r="M695" s="17">
        <f>IFERROR(__xludf.DUMMYFUNCTION("""COMPUTED_VALUE"""),0.0)</f>
        <v>0</v>
      </c>
      <c r="N695" s="17">
        <f>IFERROR(__xludf.DUMMYFUNCTION("""COMPUTED_VALUE"""),1.0)</f>
        <v>1</v>
      </c>
      <c r="O695" s="17">
        <f>IFERROR(__xludf.DUMMYFUNCTION("""COMPUTED_VALUE"""),0.26)</f>
        <v>0.26</v>
      </c>
      <c r="P695" s="17">
        <f>IFERROR(__xludf.DUMMYFUNCTION("""COMPUTED_VALUE"""),0.503)</f>
        <v>0.503</v>
      </c>
      <c r="Q695" s="34">
        <f>IFERROR(__xludf.DUMMYFUNCTION("""COMPUTED_VALUE"""),0.0)</f>
        <v>0</v>
      </c>
      <c r="R695" s="34">
        <f>IFERROR(__xludf.DUMMYFUNCTION("""COMPUTED_VALUE"""),0.0)</f>
        <v>0</v>
      </c>
      <c r="S695" s="34">
        <f>IFERROR(__xludf.DUMMYFUNCTION("""COMPUTED_VALUE"""),0.0)</f>
        <v>0</v>
      </c>
    </row>
    <row r="696">
      <c r="A696" s="17">
        <f>IFERROR(__xludf.DUMMYFUNCTION("""COMPUTED_VALUE"""),696.0)</f>
        <v>696</v>
      </c>
      <c r="B696" s="17" t="str">
        <f>IFERROR(__xludf.DUMMYFUNCTION("""COMPUTED_VALUE"""),"Nick Maton (3B,DH) FA")</f>
        <v>Nick Maton (3B,DH) FA</v>
      </c>
      <c r="C696" s="17">
        <f>IFERROR(__xludf.DUMMYFUNCTION("""COMPUTED_VALUE"""),7.0)</f>
        <v>7</v>
      </c>
      <c r="D696" s="17">
        <f>IFERROR(__xludf.DUMMYFUNCTION("""COMPUTED_VALUE"""),1.0)</f>
        <v>1</v>
      </c>
      <c r="E696" s="17">
        <f>IFERROR(__xludf.DUMMYFUNCTION("""COMPUTED_VALUE"""),0.0)</f>
        <v>0</v>
      </c>
      <c r="F696" s="17">
        <f>IFERROR(__xludf.DUMMYFUNCTION("""COMPUTED_VALUE"""),1.0)</f>
        <v>1</v>
      </c>
      <c r="G696" s="17">
        <f>IFERROR(__xludf.DUMMYFUNCTION("""COMPUTED_VALUE"""),0.0)</f>
        <v>0</v>
      </c>
      <c r="H696" s="17">
        <f>IFERROR(__xludf.DUMMYFUNCTION("""COMPUTED_VALUE"""),0.228)</f>
        <v>0.228</v>
      </c>
      <c r="I696" s="17">
        <f>IFERROR(__xludf.DUMMYFUNCTION("""COMPUTED_VALUE"""),0.33)</f>
        <v>0.33</v>
      </c>
      <c r="J696" s="17">
        <f>IFERROR(__xludf.DUMMYFUNCTION("""COMPUTED_VALUE"""),2.0)</f>
        <v>2</v>
      </c>
      <c r="K696" s="17">
        <f>IFERROR(__xludf.DUMMYFUNCTION("""COMPUTED_VALUE"""),1.0)</f>
        <v>1</v>
      </c>
      <c r="L696" s="17">
        <f>IFERROR(__xludf.DUMMYFUNCTION("""COMPUTED_VALUE"""),0.0)</f>
        <v>0</v>
      </c>
      <c r="M696" s="17">
        <f>IFERROR(__xludf.DUMMYFUNCTION("""COMPUTED_VALUE"""),1.0)</f>
        <v>1</v>
      </c>
      <c r="N696" s="17">
        <f>IFERROR(__xludf.DUMMYFUNCTION("""COMPUTED_VALUE"""),2.0)</f>
        <v>2</v>
      </c>
      <c r="O696" s="17">
        <f>IFERROR(__xludf.DUMMYFUNCTION("""COMPUTED_VALUE"""),0.31)</f>
        <v>0.31</v>
      </c>
      <c r="P696" s="17">
        <f>IFERROR(__xludf.DUMMYFUNCTION("""COMPUTED_VALUE"""),0.641)</f>
        <v>0.641</v>
      </c>
      <c r="Q696" s="34">
        <f>IFERROR(__xludf.DUMMYFUNCTION("""COMPUTED_VALUE"""),0.0)</f>
        <v>0</v>
      </c>
      <c r="R696" s="34">
        <f>IFERROR(__xludf.DUMMYFUNCTION("""COMPUTED_VALUE"""),0.0)</f>
        <v>0</v>
      </c>
      <c r="S696" s="34">
        <f>IFERROR(__xludf.DUMMYFUNCTION("""COMPUTED_VALUE"""),0.0)</f>
        <v>0</v>
      </c>
    </row>
    <row r="697">
      <c r="A697" s="17">
        <f>IFERROR(__xludf.DUMMYFUNCTION("""COMPUTED_VALUE"""),697.0)</f>
        <v>697</v>
      </c>
      <c r="B697" s="17" t="str">
        <f>IFERROR(__xludf.DUMMYFUNCTION("""COMPUTED_VALUE"""),"David Hensley (2B,RF) FA")</f>
        <v>David Hensley (2B,RF) FA</v>
      </c>
      <c r="C697" s="17">
        <f>IFERROR(__xludf.DUMMYFUNCTION("""COMPUTED_VALUE"""),7.0)</f>
        <v>7</v>
      </c>
      <c r="D697" s="17">
        <f>IFERROR(__xludf.DUMMYFUNCTION("""COMPUTED_VALUE"""),1.0)</f>
        <v>1</v>
      </c>
      <c r="E697" s="17">
        <f>IFERROR(__xludf.DUMMYFUNCTION("""COMPUTED_VALUE"""),0.0)</f>
        <v>0</v>
      </c>
      <c r="F697" s="17">
        <f>IFERROR(__xludf.DUMMYFUNCTION("""COMPUTED_VALUE"""),1.0)</f>
        <v>1</v>
      </c>
      <c r="G697" s="17">
        <f>IFERROR(__xludf.DUMMYFUNCTION("""COMPUTED_VALUE"""),0.0)</f>
        <v>0</v>
      </c>
      <c r="H697" s="17">
        <f>IFERROR(__xludf.DUMMYFUNCTION("""COMPUTED_VALUE"""),0.228)</f>
        <v>0.228</v>
      </c>
      <c r="I697" s="17">
        <f>IFERROR(__xludf.DUMMYFUNCTION("""COMPUTED_VALUE"""),0.329)</f>
        <v>0.329</v>
      </c>
      <c r="J697" s="17">
        <f>IFERROR(__xludf.DUMMYFUNCTION("""COMPUTED_VALUE"""),2.0)</f>
        <v>2</v>
      </c>
      <c r="K697" s="17">
        <f>IFERROR(__xludf.DUMMYFUNCTION("""COMPUTED_VALUE"""),1.0)</f>
        <v>1</v>
      </c>
      <c r="L697" s="17">
        <f>IFERROR(__xludf.DUMMYFUNCTION("""COMPUTED_VALUE"""),0.0)</f>
        <v>0</v>
      </c>
      <c r="M697" s="17">
        <f>IFERROR(__xludf.DUMMYFUNCTION("""COMPUTED_VALUE"""),1.0)</f>
        <v>1</v>
      </c>
      <c r="N697" s="17">
        <f>IFERROR(__xludf.DUMMYFUNCTION("""COMPUTED_VALUE"""),3.0)</f>
        <v>3</v>
      </c>
      <c r="O697" s="17">
        <f>IFERROR(__xludf.DUMMYFUNCTION("""COMPUTED_VALUE"""),0.309)</f>
        <v>0.309</v>
      </c>
      <c r="P697" s="17">
        <f>IFERROR(__xludf.DUMMYFUNCTION("""COMPUTED_VALUE"""),0.638)</f>
        <v>0.638</v>
      </c>
      <c r="Q697" s="34">
        <f>IFERROR(__xludf.DUMMYFUNCTION("""COMPUTED_VALUE"""),0.0)</f>
        <v>0</v>
      </c>
      <c r="R697" s="34">
        <f>IFERROR(__xludf.DUMMYFUNCTION("""COMPUTED_VALUE"""),0.0)</f>
        <v>0</v>
      </c>
      <c r="S697" s="34">
        <f>IFERROR(__xludf.DUMMYFUNCTION("""COMPUTED_VALUE"""),0.0)</f>
        <v>0</v>
      </c>
    </row>
    <row r="698">
      <c r="A698" s="17">
        <f>IFERROR(__xludf.DUMMYFUNCTION("""COMPUTED_VALUE"""),698.0)</f>
        <v>698</v>
      </c>
      <c r="B698" s="17" t="str">
        <f>IFERROR(__xludf.DUMMYFUNCTION("""COMPUTED_VALUE"""),"Sean Bouchard (LF,RF) FA")</f>
        <v>Sean Bouchard (LF,RF) FA</v>
      </c>
      <c r="C698" s="17">
        <f>IFERROR(__xludf.DUMMYFUNCTION("""COMPUTED_VALUE"""),7.0)</f>
        <v>7</v>
      </c>
      <c r="D698" s="17">
        <f>IFERROR(__xludf.DUMMYFUNCTION("""COMPUTED_VALUE"""),1.0)</f>
        <v>1</v>
      </c>
      <c r="E698" s="17">
        <f>IFERROR(__xludf.DUMMYFUNCTION("""COMPUTED_VALUE"""),0.0)</f>
        <v>0</v>
      </c>
      <c r="F698" s="17">
        <f>IFERROR(__xludf.DUMMYFUNCTION("""COMPUTED_VALUE"""),1.0)</f>
        <v>1</v>
      </c>
      <c r="G698" s="17">
        <f>IFERROR(__xludf.DUMMYFUNCTION("""COMPUTED_VALUE"""),0.0)</f>
        <v>0</v>
      </c>
      <c r="H698" s="17">
        <f>IFERROR(__xludf.DUMMYFUNCTION("""COMPUTED_VALUE"""),0.228)</f>
        <v>0.228</v>
      </c>
      <c r="I698" s="17">
        <f>IFERROR(__xludf.DUMMYFUNCTION("""COMPUTED_VALUE"""),0.331)</f>
        <v>0.331</v>
      </c>
      <c r="J698" s="17">
        <f>IFERROR(__xludf.DUMMYFUNCTION("""COMPUTED_VALUE"""),2.0)</f>
        <v>2</v>
      </c>
      <c r="K698" s="17">
        <f>IFERROR(__xludf.DUMMYFUNCTION("""COMPUTED_VALUE"""),1.0)</f>
        <v>1</v>
      </c>
      <c r="L698" s="17">
        <f>IFERROR(__xludf.DUMMYFUNCTION("""COMPUTED_VALUE"""),0.0)</f>
        <v>0</v>
      </c>
      <c r="M698" s="17">
        <f>IFERROR(__xludf.DUMMYFUNCTION("""COMPUTED_VALUE"""),1.0)</f>
        <v>1</v>
      </c>
      <c r="N698" s="17">
        <f>IFERROR(__xludf.DUMMYFUNCTION("""COMPUTED_VALUE"""),3.0)</f>
        <v>3</v>
      </c>
      <c r="O698" s="17">
        <f>IFERROR(__xludf.DUMMYFUNCTION("""COMPUTED_VALUE"""),0.312)</f>
        <v>0.312</v>
      </c>
      <c r="P698" s="17">
        <f>IFERROR(__xludf.DUMMYFUNCTION("""COMPUTED_VALUE"""),0.642)</f>
        <v>0.642</v>
      </c>
      <c r="Q698" s="34">
        <f>IFERROR(__xludf.DUMMYFUNCTION("""COMPUTED_VALUE"""),0.0)</f>
        <v>0</v>
      </c>
      <c r="R698" s="34">
        <f>IFERROR(__xludf.DUMMYFUNCTION("""COMPUTED_VALUE"""),0.0)</f>
        <v>0</v>
      </c>
      <c r="S698" s="34">
        <f>IFERROR(__xludf.DUMMYFUNCTION("""COMPUTED_VALUE"""),0.0)</f>
        <v>0</v>
      </c>
    </row>
    <row r="699">
      <c r="A699" s="17">
        <f>IFERROR(__xludf.DUMMYFUNCTION("""COMPUTED_VALUE"""),699.0)</f>
        <v>699</v>
      </c>
      <c r="B699" s="17" t="str">
        <f>IFERROR(__xludf.DUMMYFUNCTION("""COMPUTED_VALUE"""),"David Villar (1B) FA")</f>
        <v>David Villar (1B) FA</v>
      </c>
      <c r="C699" s="17">
        <f>IFERROR(__xludf.DUMMYFUNCTION("""COMPUTED_VALUE"""),7.0)</f>
        <v>7</v>
      </c>
      <c r="D699" s="17">
        <f>IFERROR(__xludf.DUMMYFUNCTION("""COMPUTED_VALUE"""),1.0)</f>
        <v>1</v>
      </c>
      <c r="E699" s="17">
        <f>IFERROR(__xludf.DUMMYFUNCTION("""COMPUTED_VALUE"""),0.0)</f>
        <v>0</v>
      </c>
      <c r="F699" s="17">
        <f>IFERROR(__xludf.DUMMYFUNCTION("""COMPUTED_VALUE"""),1.0)</f>
        <v>1</v>
      </c>
      <c r="G699" s="17">
        <f>IFERROR(__xludf.DUMMYFUNCTION("""COMPUTED_VALUE"""),0.0)</f>
        <v>0</v>
      </c>
      <c r="H699" s="17">
        <f>IFERROR(__xludf.DUMMYFUNCTION("""COMPUTED_VALUE"""),0.228)</f>
        <v>0.228</v>
      </c>
      <c r="I699" s="17">
        <f>IFERROR(__xludf.DUMMYFUNCTION("""COMPUTED_VALUE"""),0.328)</f>
        <v>0.328</v>
      </c>
      <c r="J699" s="17">
        <f>IFERROR(__xludf.DUMMYFUNCTION("""COMPUTED_VALUE"""),2.0)</f>
        <v>2</v>
      </c>
      <c r="K699" s="17">
        <f>IFERROR(__xludf.DUMMYFUNCTION("""COMPUTED_VALUE"""),1.0)</f>
        <v>1</v>
      </c>
      <c r="L699" s="17">
        <f>IFERROR(__xludf.DUMMYFUNCTION("""COMPUTED_VALUE"""),0.0)</f>
        <v>0</v>
      </c>
      <c r="M699" s="17">
        <f>IFERROR(__xludf.DUMMYFUNCTION("""COMPUTED_VALUE"""),1.0)</f>
        <v>1</v>
      </c>
      <c r="N699" s="17">
        <f>IFERROR(__xludf.DUMMYFUNCTION("""COMPUTED_VALUE"""),3.0)</f>
        <v>3</v>
      </c>
      <c r="O699" s="17">
        <f>IFERROR(__xludf.DUMMYFUNCTION("""COMPUTED_VALUE"""),0.312)</f>
        <v>0.312</v>
      </c>
      <c r="P699" s="17">
        <f>IFERROR(__xludf.DUMMYFUNCTION("""COMPUTED_VALUE"""),0.64)</f>
        <v>0.64</v>
      </c>
      <c r="Q699" s="34">
        <f>IFERROR(__xludf.DUMMYFUNCTION("""COMPUTED_VALUE"""),0.0)</f>
        <v>0</v>
      </c>
      <c r="R699" s="34">
        <f>IFERROR(__xludf.DUMMYFUNCTION("""COMPUTED_VALUE"""),0.0)</f>
        <v>0</v>
      </c>
      <c r="S699" s="34">
        <f>IFERROR(__xludf.DUMMYFUNCTION("""COMPUTED_VALUE"""),0.0)</f>
        <v>0</v>
      </c>
    </row>
    <row r="700">
      <c r="A700" s="17">
        <f>IFERROR(__xludf.DUMMYFUNCTION("""COMPUTED_VALUE"""),700.0)</f>
        <v>700</v>
      </c>
      <c r="B700" s="17" t="str">
        <f>IFERROR(__xludf.DUMMYFUNCTION("""COMPUTED_VALUE"""),"Cesar Prieto (STL - 2B,3B,SS) MiLB")</f>
        <v>Cesar Prieto (STL - 2B,3B,SS) MiLB</v>
      </c>
      <c r="C700" s="17">
        <f>IFERROR(__xludf.DUMMYFUNCTION("""COMPUTED_VALUE"""),7.0)</f>
        <v>7</v>
      </c>
      <c r="D700" s="17">
        <f>IFERROR(__xludf.DUMMYFUNCTION("""COMPUTED_VALUE"""),1.0)</f>
        <v>1</v>
      </c>
      <c r="E700" s="17">
        <f>IFERROR(__xludf.DUMMYFUNCTION("""COMPUTED_VALUE"""),0.0)</f>
        <v>0</v>
      </c>
      <c r="F700" s="17">
        <f>IFERROR(__xludf.DUMMYFUNCTION("""COMPUTED_VALUE"""),1.0)</f>
        <v>1</v>
      </c>
      <c r="G700" s="17">
        <f>IFERROR(__xludf.DUMMYFUNCTION("""COMPUTED_VALUE"""),0.0)</f>
        <v>0</v>
      </c>
      <c r="H700" s="17">
        <f>IFERROR(__xludf.DUMMYFUNCTION("""COMPUTED_VALUE"""),0.212)</f>
        <v>0.212</v>
      </c>
      <c r="I700" s="17">
        <f>IFERROR(__xludf.DUMMYFUNCTION("""COMPUTED_VALUE"""),0.238)</f>
        <v>0.238</v>
      </c>
      <c r="J700" s="17">
        <f>IFERROR(__xludf.DUMMYFUNCTION("""COMPUTED_VALUE"""),2.0)</f>
        <v>2</v>
      </c>
      <c r="K700" s="17">
        <f>IFERROR(__xludf.DUMMYFUNCTION("""COMPUTED_VALUE"""),0.0)</f>
        <v>0</v>
      </c>
      <c r="L700" s="17">
        <f>IFERROR(__xludf.DUMMYFUNCTION("""COMPUTED_VALUE"""),0.0)</f>
        <v>0</v>
      </c>
      <c r="M700" s="17">
        <f>IFERROR(__xludf.DUMMYFUNCTION("""COMPUTED_VALUE"""),0.0)</f>
        <v>0</v>
      </c>
      <c r="N700" s="17">
        <f>IFERROR(__xludf.DUMMYFUNCTION("""COMPUTED_VALUE"""),1.0)</f>
        <v>1</v>
      </c>
      <c r="O700" s="17">
        <f>IFERROR(__xludf.DUMMYFUNCTION("""COMPUTED_VALUE"""),0.262)</f>
        <v>0.262</v>
      </c>
      <c r="P700" s="17">
        <f>IFERROR(__xludf.DUMMYFUNCTION("""COMPUTED_VALUE"""),0.499)</f>
        <v>0.499</v>
      </c>
      <c r="Q700" s="34">
        <f>IFERROR(__xludf.DUMMYFUNCTION("""COMPUTED_VALUE"""),0.0)</f>
        <v>0</v>
      </c>
      <c r="R700" s="34">
        <f>IFERROR(__xludf.DUMMYFUNCTION("""COMPUTED_VALUE"""),0.0)</f>
        <v>0</v>
      </c>
      <c r="S700" s="34">
        <f>IFERROR(__xludf.DUMMYFUNCTION("""COMPUTED_VALUE"""),0.0)</f>
        <v>0</v>
      </c>
    </row>
    <row r="701">
      <c r="A701" s="17">
        <f>IFERROR(__xludf.DUMMYFUNCTION("""COMPUTED_VALUE"""),701.0)</f>
        <v>701</v>
      </c>
      <c r="B701" s="17" t="str">
        <f>IFERROR(__xludf.DUMMYFUNCTION("""COMPUTED_VALUE"""),"P.J. Higgins (CIN - C,1B) MiLB")</f>
        <v>P.J. Higgins (CIN - C,1B) MiLB</v>
      </c>
      <c r="C701" s="17">
        <f>IFERROR(__xludf.DUMMYFUNCTION("""COMPUTED_VALUE"""),11.0)</f>
        <v>11</v>
      </c>
      <c r="D701" s="17">
        <f>IFERROR(__xludf.DUMMYFUNCTION("""COMPUTED_VALUE"""),1.0)</f>
        <v>1</v>
      </c>
      <c r="E701" s="17">
        <f>IFERROR(__xludf.DUMMYFUNCTION("""COMPUTED_VALUE"""),0.0)</f>
        <v>0</v>
      </c>
      <c r="F701" s="17">
        <f>IFERROR(__xludf.DUMMYFUNCTION("""COMPUTED_VALUE"""),1.0)</f>
        <v>1</v>
      </c>
      <c r="G701" s="17">
        <f>IFERROR(__xludf.DUMMYFUNCTION("""COMPUTED_VALUE"""),0.0)</f>
        <v>0</v>
      </c>
      <c r="H701" s="17">
        <f>IFERROR(__xludf.DUMMYFUNCTION("""COMPUTED_VALUE"""),0.226)</f>
        <v>0.226</v>
      </c>
      <c r="I701" s="17">
        <f>IFERROR(__xludf.DUMMYFUNCTION("""COMPUTED_VALUE"""),0.282)</f>
        <v>0.282</v>
      </c>
      <c r="J701" s="17">
        <f>IFERROR(__xludf.DUMMYFUNCTION("""COMPUTED_VALUE"""),3.0)</f>
        <v>3</v>
      </c>
      <c r="K701" s="17">
        <f>IFERROR(__xludf.DUMMYFUNCTION("""COMPUTED_VALUE"""),0.0)</f>
        <v>0</v>
      </c>
      <c r="L701" s="17">
        <f>IFERROR(__xludf.DUMMYFUNCTION("""COMPUTED_VALUE"""),0.0)</f>
        <v>0</v>
      </c>
      <c r="M701" s="17">
        <f>IFERROR(__xludf.DUMMYFUNCTION("""COMPUTED_VALUE"""),1.0)</f>
        <v>1</v>
      </c>
      <c r="N701" s="17">
        <f>IFERROR(__xludf.DUMMYFUNCTION("""COMPUTED_VALUE"""),3.0)</f>
        <v>3</v>
      </c>
      <c r="O701" s="17">
        <f>IFERROR(__xludf.DUMMYFUNCTION("""COMPUTED_VALUE"""),0.307)</f>
        <v>0.307</v>
      </c>
      <c r="P701" s="17">
        <f>IFERROR(__xludf.DUMMYFUNCTION("""COMPUTED_VALUE"""),0.59)</f>
        <v>0.59</v>
      </c>
      <c r="Q701" s="34">
        <f>IFERROR(__xludf.DUMMYFUNCTION("""COMPUTED_VALUE"""),0.0)</f>
        <v>0</v>
      </c>
      <c r="R701" s="34">
        <f>IFERROR(__xludf.DUMMYFUNCTION("""COMPUTED_VALUE"""),0.0)</f>
        <v>0</v>
      </c>
      <c r="S701" s="34">
        <f>IFERROR(__xludf.DUMMYFUNCTION("""COMPUTED_VALUE"""),0.0)</f>
        <v>0</v>
      </c>
    </row>
    <row r="702">
      <c r="A702" s="17">
        <f>IFERROR(__xludf.DUMMYFUNCTION("""COMPUTED_VALUE"""),702.0)</f>
        <v>702</v>
      </c>
      <c r="B702" s="17" t="str">
        <f>IFERROR(__xludf.DUMMYFUNCTION("""COMPUTED_VALUE"""),"Dylan Carlson (CHC - LF,CF,RF) MiLB")</f>
        <v>Dylan Carlson (CHC - LF,CF,RF) MiLB</v>
      </c>
      <c r="C702" s="17">
        <f>IFERROR(__xludf.DUMMYFUNCTION("""COMPUTED_VALUE"""),16.0)</f>
        <v>16</v>
      </c>
      <c r="D702" s="17">
        <f>IFERROR(__xludf.DUMMYFUNCTION("""COMPUTED_VALUE"""),2.0)</f>
        <v>2</v>
      </c>
      <c r="E702" s="17">
        <f>IFERROR(__xludf.DUMMYFUNCTION("""COMPUTED_VALUE"""),0.0)</f>
        <v>0</v>
      </c>
      <c r="F702" s="17">
        <f>IFERROR(__xludf.DUMMYFUNCTION("""COMPUTED_VALUE"""),2.0)</f>
        <v>2</v>
      </c>
      <c r="G702" s="17">
        <f>IFERROR(__xludf.DUMMYFUNCTION("""COMPUTED_VALUE"""),0.0)</f>
        <v>0</v>
      </c>
      <c r="H702" s="17">
        <f>IFERROR(__xludf.DUMMYFUNCTION("""COMPUTED_VALUE"""),0.208)</f>
        <v>0.208</v>
      </c>
      <c r="I702" s="17">
        <f>IFERROR(__xludf.DUMMYFUNCTION("""COMPUTED_VALUE"""),0.306)</f>
        <v>0.306</v>
      </c>
      <c r="J702" s="17">
        <f>IFERROR(__xludf.DUMMYFUNCTION("""COMPUTED_VALUE"""),3.0)</f>
        <v>3</v>
      </c>
      <c r="K702" s="17">
        <f>IFERROR(__xludf.DUMMYFUNCTION("""COMPUTED_VALUE"""),1.0)</f>
        <v>1</v>
      </c>
      <c r="L702" s="17">
        <f>IFERROR(__xludf.DUMMYFUNCTION("""COMPUTED_VALUE"""),0.0)</f>
        <v>0</v>
      </c>
      <c r="M702" s="17">
        <f>IFERROR(__xludf.DUMMYFUNCTION("""COMPUTED_VALUE"""),2.0)</f>
        <v>2</v>
      </c>
      <c r="N702" s="17">
        <f>IFERROR(__xludf.DUMMYFUNCTION("""COMPUTED_VALUE"""),4.0)</f>
        <v>4</v>
      </c>
      <c r="O702" s="17">
        <f>IFERROR(__xludf.DUMMYFUNCTION("""COMPUTED_VALUE"""),0.303)</f>
        <v>0.303</v>
      </c>
      <c r="P702" s="17">
        <f>IFERROR(__xludf.DUMMYFUNCTION("""COMPUTED_VALUE"""),0.609)</f>
        <v>0.609</v>
      </c>
      <c r="Q702" s="34">
        <f>IFERROR(__xludf.DUMMYFUNCTION("""COMPUTED_VALUE"""),0.0)</f>
        <v>0</v>
      </c>
      <c r="R702" s="34">
        <f>IFERROR(__xludf.DUMMYFUNCTION("""COMPUTED_VALUE"""),0.0)</f>
        <v>0</v>
      </c>
      <c r="S702" s="34">
        <f>IFERROR(__xludf.DUMMYFUNCTION("""COMPUTED_VALUE"""),0.0)</f>
        <v>0</v>
      </c>
    </row>
    <row r="703">
      <c r="A703" s="17">
        <f>IFERROR(__xludf.DUMMYFUNCTION("""COMPUTED_VALUE"""),703.0)</f>
        <v>703</v>
      </c>
      <c r="B703" s="17" t="str">
        <f>IFERROR(__xludf.DUMMYFUNCTION("""COMPUTED_VALUE"""),"Trei Cruz (DET - SS,LF,CF) MiLB")</f>
        <v>Trei Cruz (DET - SS,LF,CF) MiLB</v>
      </c>
      <c r="C703" s="17">
        <f>IFERROR(__xludf.DUMMYFUNCTION("""COMPUTED_VALUE"""),16.0)</f>
        <v>16</v>
      </c>
      <c r="D703" s="17">
        <f>IFERROR(__xludf.DUMMYFUNCTION("""COMPUTED_VALUE"""),2.0)</f>
        <v>2</v>
      </c>
      <c r="E703" s="17">
        <f>IFERROR(__xludf.DUMMYFUNCTION("""COMPUTED_VALUE"""),0.0)</f>
        <v>0</v>
      </c>
      <c r="F703" s="17">
        <f>IFERROR(__xludf.DUMMYFUNCTION("""COMPUTED_VALUE"""),2.0)</f>
        <v>2</v>
      </c>
      <c r="G703" s="17">
        <f>IFERROR(__xludf.DUMMYFUNCTION("""COMPUTED_VALUE"""),0.0)</f>
        <v>0</v>
      </c>
      <c r="H703" s="17">
        <f>IFERROR(__xludf.DUMMYFUNCTION("""COMPUTED_VALUE"""),0.214)</f>
        <v>0.214</v>
      </c>
      <c r="I703" s="17">
        <f>IFERROR(__xludf.DUMMYFUNCTION("""COMPUTED_VALUE"""),0.309)</f>
        <v>0.309</v>
      </c>
      <c r="J703" s="17">
        <f>IFERROR(__xludf.DUMMYFUNCTION("""COMPUTED_VALUE"""),3.0)</f>
        <v>3</v>
      </c>
      <c r="K703" s="17">
        <f>IFERROR(__xludf.DUMMYFUNCTION("""COMPUTED_VALUE"""),1.0)</f>
        <v>1</v>
      </c>
      <c r="L703" s="17">
        <f>IFERROR(__xludf.DUMMYFUNCTION("""COMPUTED_VALUE"""),0.0)</f>
        <v>0</v>
      </c>
      <c r="M703" s="17">
        <f>IFERROR(__xludf.DUMMYFUNCTION("""COMPUTED_VALUE"""),2.0)</f>
        <v>2</v>
      </c>
      <c r="N703" s="17">
        <f>IFERROR(__xludf.DUMMYFUNCTION("""COMPUTED_VALUE"""),5.0)</f>
        <v>5</v>
      </c>
      <c r="O703" s="17">
        <f>IFERROR(__xludf.DUMMYFUNCTION("""COMPUTED_VALUE"""),0.316)</f>
        <v>0.316</v>
      </c>
      <c r="P703" s="17">
        <f>IFERROR(__xludf.DUMMYFUNCTION("""COMPUTED_VALUE"""),0.625)</f>
        <v>0.625</v>
      </c>
      <c r="Q703" s="34">
        <f>IFERROR(__xludf.DUMMYFUNCTION("""COMPUTED_VALUE"""),0.0)</f>
        <v>0</v>
      </c>
      <c r="R703" s="34">
        <f>IFERROR(__xludf.DUMMYFUNCTION("""COMPUTED_VALUE"""),0.0)</f>
        <v>0</v>
      </c>
      <c r="S703" s="34">
        <f>IFERROR(__xludf.DUMMYFUNCTION("""COMPUTED_VALUE"""),0.0)</f>
        <v>0</v>
      </c>
    </row>
    <row r="704">
      <c r="A704" s="17">
        <f>IFERROR(__xludf.DUMMYFUNCTION("""COMPUTED_VALUE"""),704.0)</f>
        <v>704</v>
      </c>
      <c r="B704" s="17" t="str">
        <f>IFERROR(__xludf.DUMMYFUNCTION("""COMPUTED_VALUE"""),"Oliver Dunn (CWS - 3B) MiLB")</f>
        <v>Oliver Dunn (CWS - 3B) MiLB</v>
      </c>
      <c r="C704" s="17">
        <f>IFERROR(__xludf.DUMMYFUNCTION("""COMPUTED_VALUE"""),16.0)</f>
        <v>16</v>
      </c>
      <c r="D704" s="17">
        <f>IFERROR(__xludf.DUMMYFUNCTION("""COMPUTED_VALUE"""),2.0)</f>
        <v>2</v>
      </c>
      <c r="E704" s="17">
        <f>IFERROR(__xludf.DUMMYFUNCTION("""COMPUTED_VALUE"""),0.0)</f>
        <v>0</v>
      </c>
      <c r="F704" s="17">
        <f>IFERROR(__xludf.DUMMYFUNCTION("""COMPUTED_VALUE"""),2.0)</f>
        <v>2</v>
      </c>
      <c r="G704" s="17">
        <f>IFERROR(__xludf.DUMMYFUNCTION("""COMPUTED_VALUE"""),0.0)</f>
        <v>0</v>
      </c>
      <c r="H704" s="17">
        <f>IFERROR(__xludf.DUMMYFUNCTION("""COMPUTED_VALUE"""),0.198)</f>
        <v>0.198</v>
      </c>
      <c r="I704" s="17">
        <f>IFERROR(__xludf.DUMMYFUNCTION("""COMPUTED_VALUE"""),0.273)</f>
        <v>0.273</v>
      </c>
      <c r="J704" s="17">
        <f>IFERROR(__xludf.DUMMYFUNCTION("""COMPUTED_VALUE"""),3.0)</f>
        <v>3</v>
      </c>
      <c r="K704" s="17">
        <f>IFERROR(__xludf.DUMMYFUNCTION("""COMPUTED_VALUE"""),1.0)</f>
        <v>1</v>
      </c>
      <c r="L704" s="17">
        <f>IFERROR(__xludf.DUMMYFUNCTION("""COMPUTED_VALUE"""),0.0)</f>
        <v>0</v>
      </c>
      <c r="M704" s="17">
        <f>IFERROR(__xludf.DUMMYFUNCTION("""COMPUTED_VALUE"""),2.0)</f>
        <v>2</v>
      </c>
      <c r="N704" s="17">
        <f>IFERROR(__xludf.DUMMYFUNCTION("""COMPUTED_VALUE"""),6.0)</f>
        <v>6</v>
      </c>
      <c r="O704" s="17">
        <f>IFERROR(__xludf.DUMMYFUNCTION("""COMPUTED_VALUE"""),0.279)</f>
        <v>0.279</v>
      </c>
      <c r="P704" s="17">
        <f>IFERROR(__xludf.DUMMYFUNCTION("""COMPUTED_VALUE"""),0.552)</f>
        <v>0.552</v>
      </c>
      <c r="Q704" s="34">
        <f>IFERROR(__xludf.DUMMYFUNCTION("""COMPUTED_VALUE"""),0.0)</f>
        <v>0</v>
      </c>
      <c r="R704" s="34">
        <f>IFERROR(__xludf.DUMMYFUNCTION("""COMPUTED_VALUE"""),0.0)</f>
        <v>0</v>
      </c>
      <c r="S704" s="34">
        <f>IFERROR(__xludf.DUMMYFUNCTION("""COMPUTED_VALUE"""),0.0)</f>
        <v>0</v>
      </c>
    </row>
    <row r="705">
      <c r="A705" s="17">
        <f>IFERROR(__xludf.DUMMYFUNCTION("""COMPUTED_VALUE"""),705.0)</f>
        <v>705</v>
      </c>
      <c r="B705" s="17" t="str">
        <f>IFERROR(__xludf.DUMMYFUNCTION("""COMPUTED_VALUE"""),"Cole Tucker (3B,OF) RET")</f>
        <v>Cole Tucker (3B,OF) RET</v>
      </c>
      <c r="C705" s="17">
        <f>IFERROR(__xludf.DUMMYFUNCTION("""COMPUTED_VALUE"""),14.0)</f>
        <v>14</v>
      </c>
      <c r="D705" s="17">
        <f>IFERROR(__xludf.DUMMYFUNCTION("""COMPUTED_VALUE"""),2.0)</f>
        <v>2</v>
      </c>
      <c r="E705" s="17">
        <f>IFERROR(__xludf.DUMMYFUNCTION("""COMPUTED_VALUE"""),0.0)</f>
        <v>0</v>
      </c>
      <c r="F705" s="17">
        <f>IFERROR(__xludf.DUMMYFUNCTION("""COMPUTED_VALUE"""),1.0)</f>
        <v>1</v>
      </c>
      <c r="G705" s="17">
        <f>IFERROR(__xludf.DUMMYFUNCTION("""COMPUTED_VALUE"""),0.0)</f>
        <v>0</v>
      </c>
      <c r="H705" s="17">
        <f>IFERROR(__xludf.DUMMYFUNCTION("""COMPUTED_VALUE"""),0.187)</f>
        <v>0.187</v>
      </c>
      <c r="I705" s="17">
        <f>IFERROR(__xludf.DUMMYFUNCTION("""COMPUTED_VALUE"""),0.268)</f>
        <v>0.268</v>
      </c>
      <c r="J705" s="17">
        <f>IFERROR(__xludf.DUMMYFUNCTION("""COMPUTED_VALUE"""),3.0)</f>
        <v>3</v>
      </c>
      <c r="K705" s="17">
        <f>IFERROR(__xludf.DUMMYFUNCTION("""COMPUTED_VALUE"""),1.0)</f>
        <v>1</v>
      </c>
      <c r="L705" s="17">
        <f>IFERROR(__xludf.DUMMYFUNCTION("""COMPUTED_VALUE"""),0.0)</f>
        <v>0</v>
      </c>
      <c r="M705" s="17">
        <f>IFERROR(__xludf.DUMMYFUNCTION("""COMPUTED_VALUE"""),2.0)</f>
        <v>2</v>
      </c>
      <c r="N705" s="17">
        <f>IFERROR(__xludf.DUMMYFUNCTION("""COMPUTED_VALUE"""),4.0)</f>
        <v>4</v>
      </c>
      <c r="O705" s="17">
        <f>IFERROR(__xludf.DUMMYFUNCTION("""COMPUTED_VALUE"""),0.227)</f>
        <v>0.227</v>
      </c>
      <c r="P705" s="17">
        <f>IFERROR(__xludf.DUMMYFUNCTION("""COMPUTED_VALUE"""),0.495)</f>
        <v>0.495</v>
      </c>
      <c r="Q705" s="34">
        <f>IFERROR(__xludf.DUMMYFUNCTION("""COMPUTED_VALUE"""),0.0)</f>
        <v>0</v>
      </c>
      <c r="R705" s="34">
        <f>IFERROR(__xludf.DUMMYFUNCTION("""COMPUTED_VALUE"""),0.0)</f>
        <v>0</v>
      </c>
      <c r="S705" s="34">
        <f>IFERROR(__xludf.DUMMYFUNCTION("""COMPUTED_VALUE"""),0.0)</f>
        <v>0</v>
      </c>
    </row>
    <row r="706">
      <c r="A706" s="17">
        <f>IFERROR(__xludf.DUMMYFUNCTION("""COMPUTED_VALUE"""),706.0)</f>
        <v>706</v>
      </c>
      <c r="B706" s="17" t="str">
        <f>IFERROR(__xludf.DUMMYFUNCTION("""COMPUTED_VALUE"""),"Anthony Seigler (BOS - 3B) MiLB")</f>
        <v>Anthony Seigler (BOS - 3B) MiLB</v>
      </c>
      <c r="C706" s="17">
        <f>IFERROR(__xludf.DUMMYFUNCTION("""COMPUTED_VALUE"""),14.0)</f>
        <v>14</v>
      </c>
      <c r="D706" s="17">
        <f>IFERROR(__xludf.DUMMYFUNCTION("""COMPUTED_VALUE"""),2.0)</f>
        <v>2</v>
      </c>
      <c r="E706" s="17">
        <f>IFERROR(__xludf.DUMMYFUNCTION("""COMPUTED_VALUE"""),0.0)</f>
        <v>0</v>
      </c>
      <c r="F706" s="17">
        <f>IFERROR(__xludf.DUMMYFUNCTION("""COMPUTED_VALUE"""),1.0)</f>
        <v>1</v>
      </c>
      <c r="G706" s="17">
        <f>IFERROR(__xludf.DUMMYFUNCTION("""COMPUTED_VALUE"""),0.0)</f>
        <v>0</v>
      </c>
      <c r="H706" s="17">
        <f>IFERROR(__xludf.DUMMYFUNCTION("""COMPUTED_VALUE"""),0.191)</f>
        <v>0.191</v>
      </c>
      <c r="I706" s="17">
        <f>IFERROR(__xludf.DUMMYFUNCTION("""COMPUTED_VALUE"""),0.286)</f>
        <v>0.286</v>
      </c>
      <c r="J706" s="17">
        <f>IFERROR(__xludf.DUMMYFUNCTION("""COMPUTED_VALUE"""),3.0)</f>
        <v>3</v>
      </c>
      <c r="K706" s="17">
        <f>IFERROR(__xludf.DUMMYFUNCTION("""COMPUTED_VALUE"""),1.0)</f>
        <v>1</v>
      </c>
      <c r="L706" s="17">
        <f>IFERROR(__xludf.DUMMYFUNCTION("""COMPUTED_VALUE"""),0.0)</f>
        <v>0</v>
      </c>
      <c r="M706" s="17">
        <f>IFERROR(__xludf.DUMMYFUNCTION("""COMPUTED_VALUE"""),2.0)</f>
        <v>2</v>
      </c>
      <c r="N706" s="17">
        <f>IFERROR(__xludf.DUMMYFUNCTION("""COMPUTED_VALUE"""),3.0)</f>
        <v>3</v>
      </c>
      <c r="O706" s="17">
        <f>IFERROR(__xludf.DUMMYFUNCTION("""COMPUTED_VALUE"""),0.281)</f>
        <v>0.281</v>
      </c>
      <c r="P706" s="17">
        <f>IFERROR(__xludf.DUMMYFUNCTION("""COMPUTED_VALUE"""),0.567)</f>
        <v>0.567</v>
      </c>
      <c r="Q706" s="34">
        <f>IFERROR(__xludf.DUMMYFUNCTION("""COMPUTED_VALUE"""),0.0)</f>
        <v>0</v>
      </c>
      <c r="R706" s="34">
        <f>IFERROR(__xludf.DUMMYFUNCTION("""COMPUTED_VALUE"""),0.0)</f>
        <v>0</v>
      </c>
      <c r="S706" s="34">
        <f>IFERROR(__xludf.DUMMYFUNCTION("""COMPUTED_VALUE"""),0.0)</f>
        <v>0</v>
      </c>
    </row>
    <row r="707">
      <c r="A707" s="17">
        <f>IFERROR(__xludf.DUMMYFUNCTION("""COMPUTED_VALUE"""),707.0)</f>
        <v>707</v>
      </c>
      <c r="B707" s="17" t="str">
        <f>IFERROR(__xludf.DUMMYFUNCTION("""COMPUTED_VALUE"""),"Trey Sweeney (DET - SS) IL60")</f>
        <v>Trey Sweeney (DET - SS) IL60</v>
      </c>
      <c r="C707" s="17">
        <f>IFERROR(__xludf.DUMMYFUNCTION("""COMPUTED_VALUE"""),23.0)</f>
        <v>23</v>
      </c>
      <c r="D707" s="17">
        <f>IFERROR(__xludf.DUMMYFUNCTION("""COMPUTED_VALUE"""),3.0)</f>
        <v>3</v>
      </c>
      <c r="E707" s="17">
        <f>IFERROR(__xludf.DUMMYFUNCTION("""COMPUTED_VALUE"""),0.0)</f>
        <v>0</v>
      </c>
      <c r="F707" s="17">
        <f>IFERROR(__xludf.DUMMYFUNCTION("""COMPUTED_VALUE"""),2.0)</f>
        <v>2</v>
      </c>
      <c r="G707" s="17">
        <f>IFERROR(__xludf.DUMMYFUNCTION("""COMPUTED_VALUE"""),0.0)</f>
        <v>0</v>
      </c>
      <c r="H707" s="17">
        <f>IFERROR(__xludf.DUMMYFUNCTION("""COMPUTED_VALUE"""),0.198)</f>
        <v>0.198</v>
      </c>
      <c r="I707" s="17">
        <f>IFERROR(__xludf.DUMMYFUNCTION("""COMPUTED_VALUE"""),0.272)</f>
        <v>0.272</v>
      </c>
      <c r="J707" s="17">
        <f>IFERROR(__xludf.DUMMYFUNCTION("""COMPUTED_VALUE"""),4.0)</f>
        <v>4</v>
      </c>
      <c r="K707" s="17">
        <f>IFERROR(__xludf.DUMMYFUNCTION("""COMPUTED_VALUE"""),1.0)</f>
        <v>1</v>
      </c>
      <c r="L707" s="17">
        <f>IFERROR(__xludf.DUMMYFUNCTION("""COMPUTED_VALUE"""),0.0)</f>
        <v>0</v>
      </c>
      <c r="M707" s="17">
        <f>IFERROR(__xludf.DUMMYFUNCTION("""COMPUTED_VALUE"""),2.0)</f>
        <v>2</v>
      </c>
      <c r="N707" s="17">
        <f>IFERROR(__xludf.DUMMYFUNCTION("""COMPUTED_VALUE"""),7.0)</f>
        <v>7</v>
      </c>
      <c r="O707" s="17">
        <f>IFERROR(__xludf.DUMMYFUNCTION("""COMPUTED_VALUE"""),0.299)</f>
        <v>0.299</v>
      </c>
      <c r="P707" s="17">
        <f>IFERROR(__xludf.DUMMYFUNCTION("""COMPUTED_VALUE"""),0.571)</f>
        <v>0.571</v>
      </c>
      <c r="Q707" s="34">
        <f>IFERROR(__xludf.DUMMYFUNCTION("""COMPUTED_VALUE"""),0.0)</f>
        <v>0</v>
      </c>
      <c r="R707" s="34">
        <f>IFERROR(__xludf.DUMMYFUNCTION("""COMPUTED_VALUE"""),0.0)</f>
        <v>0</v>
      </c>
      <c r="S707" s="34">
        <f>IFERROR(__xludf.DUMMYFUNCTION("""COMPUTED_VALUE"""),0.0)</f>
        <v>0</v>
      </c>
    </row>
    <row r="708">
      <c r="A708" s="17">
        <f>IFERROR(__xludf.DUMMYFUNCTION("""COMPUTED_VALUE"""),708.0)</f>
        <v>708</v>
      </c>
      <c r="B708" s="17" t="str">
        <f>IFERROR(__xludf.DUMMYFUNCTION("""COMPUTED_VALUE"""),"J.D. Martinez (DH) FA")</f>
        <v>J.D. Martinez (DH) FA</v>
      </c>
      <c r="C708" s="17">
        <f>IFERROR(__xludf.DUMMYFUNCTION("""COMPUTED_VALUE"""),8.0)</f>
        <v>8</v>
      </c>
      <c r="D708" s="17">
        <f>IFERROR(__xludf.DUMMYFUNCTION("""COMPUTED_VALUE"""),1.0)</f>
        <v>1</v>
      </c>
      <c r="E708" s="17">
        <f>IFERROR(__xludf.DUMMYFUNCTION("""COMPUTED_VALUE"""),0.0)</f>
        <v>0</v>
      </c>
      <c r="F708" s="17">
        <f>IFERROR(__xludf.DUMMYFUNCTION("""COMPUTED_VALUE"""),1.0)</f>
        <v>1</v>
      </c>
      <c r="G708" s="17">
        <f>IFERROR(__xludf.DUMMYFUNCTION("""COMPUTED_VALUE"""),0.0)</f>
        <v>0</v>
      </c>
      <c r="H708" s="17">
        <f>IFERROR(__xludf.DUMMYFUNCTION("""COMPUTED_VALUE"""),0.216)</f>
        <v>0.216</v>
      </c>
      <c r="I708" s="17">
        <f>IFERROR(__xludf.DUMMYFUNCTION("""COMPUTED_VALUE"""),0.271)</f>
        <v>0.271</v>
      </c>
      <c r="J708" s="17">
        <f>IFERROR(__xludf.DUMMYFUNCTION("""COMPUTED_VALUE"""),2.0)</f>
        <v>2</v>
      </c>
      <c r="K708" s="17">
        <f>IFERROR(__xludf.DUMMYFUNCTION("""COMPUTED_VALUE"""),1.0)</f>
        <v>1</v>
      </c>
      <c r="L708" s="17">
        <f>IFERROR(__xludf.DUMMYFUNCTION("""COMPUTED_VALUE"""),0.0)</f>
        <v>0</v>
      </c>
      <c r="M708" s="17">
        <f>IFERROR(__xludf.DUMMYFUNCTION("""COMPUTED_VALUE"""),1.0)</f>
        <v>1</v>
      </c>
      <c r="N708" s="17">
        <f>IFERROR(__xludf.DUMMYFUNCTION("""COMPUTED_VALUE"""),2.0)</f>
        <v>2</v>
      </c>
      <c r="O708" s="17">
        <f>IFERROR(__xludf.DUMMYFUNCTION("""COMPUTED_VALUE"""),0.297)</f>
        <v>0.297</v>
      </c>
      <c r="P708" s="17">
        <f>IFERROR(__xludf.DUMMYFUNCTION("""COMPUTED_VALUE"""),0.569)</f>
        <v>0.569</v>
      </c>
      <c r="Q708" s="34">
        <f>IFERROR(__xludf.DUMMYFUNCTION("""COMPUTED_VALUE"""),0.01)</f>
        <v>0.01</v>
      </c>
      <c r="R708" s="34">
        <f>IFERROR(__xludf.DUMMYFUNCTION("""COMPUTED_VALUE"""),0.01)</f>
        <v>0.01</v>
      </c>
      <c r="S708" s="34">
        <f>IFERROR(__xludf.DUMMYFUNCTION("""COMPUTED_VALUE"""),0.0)</f>
        <v>0</v>
      </c>
    </row>
    <row r="709">
      <c r="A709" s="17">
        <f>IFERROR(__xludf.DUMMYFUNCTION("""COMPUTED_VALUE"""),709.0)</f>
        <v>709</v>
      </c>
      <c r="B709" s="17" t="str">
        <f>IFERROR(__xludf.DUMMYFUNCTION("""COMPUTED_VALUE"""),"Eddie Rosario (LF,CF,RF,DH) FA")</f>
        <v>Eddie Rosario (LF,CF,RF,DH) FA</v>
      </c>
      <c r="C709" s="17">
        <f>IFERROR(__xludf.DUMMYFUNCTION("""COMPUTED_VALUE"""),8.0)</f>
        <v>8</v>
      </c>
      <c r="D709" s="17">
        <f>IFERROR(__xludf.DUMMYFUNCTION("""COMPUTED_VALUE"""),1.0)</f>
        <v>1</v>
      </c>
      <c r="E709" s="17">
        <f>IFERROR(__xludf.DUMMYFUNCTION("""COMPUTED_VALUE"""),0.0)</f>
        <v>0</v>
      </c>
      <c r="F709" s="17">
        <f>IFERROR(__xludf.DUMMYFUNCTION("""COMPUTED_VALUE"""),1.0)</f>
        <v>1</v>
      </c>
      <c r="G709" s="17">
        <f>IFERROR(__xludf.DUMMYFUNCTION("""COMPUTED_VALUE"""),0.0)</f>
        <v>0</v>
      </c>
      <c r="H709" s="17">
        <f>IFERROR(__xludf.DUMMYFUNCTION("""COMPUTED_VALUE"""),0.216)</f>
        <v>0.216</v>
      </c>
      <c r="I709" s="17">
        <f>IFERROR(__xludf.DUMMYFUNCTION("""COMPUTED_VALUE"""),0.269)</f>
        <v>0.269</v>
      </c>
      <c r="J709" s="17">
        <f>IFERROR(__xludf.DUMMYFUNCTION("""COMPUTED_VALUE"""),2.0)</f>
        <v>2</v>
      </c>
      <c r="K709" s="17">
        <f>IFERROR(__xludf.DUMMYFUNCTION("""COMPUTED_VALUE"""),1.0)</f>
        <v>1</v>
      </c>
      <c r="L709" s="17">
        <f>IFERROR(__xludf.DUMMYFUNCTION("""COMPUTED_VALUE"""),0.0)</f>
        <v>0</v>
      </c>
      <c r="M709" s="17">
        <f>IFERROR(__xludf.DUMMYFUNCTION("""COMPUTED_VALUE"""),1.0)</f>
        <v>1</v>
      </c>
      <c r="N709" s="17">
        <f>IFERROR(__xludf.DUMMYFUNCTION("""COMPUTED_VALUE"""),2.0)</f>
        <v>2</v>
      </c>
      <c r="O709" s="17">
        <f>IFERROR(__xludf.DUMMYFUNCTION("""COMPUTED_VALUE"""),0.295)</f>
        <v>0.295</v>
      </c>
      <c r="P709" s="17">
        <f>IFERROR(__xludf.DUMMYFUNCTION("""COMPUTED_VALUE"""),0.564)</f>
        <v>0.564</v>
      </c>
      <c r="Q709" s="34">
        <f>IFERROR(__xludf.DUMMYFUNCTION("""COMPUTED_VALUE"""),0.0)</f>
        <v>0</v>
      </c>
      <c r="R709" s="34">
        <f>IFERROR(__xludf.DUMMYFUNCTION("""COMPUTED_VALUE"""),0.0)</f>
        <v>0</v>
      </c>
      <c r="S709" s="34">
        <f>IFERROR(__xludf.DUMMYFUNCTION("""COMPUTED_VALUE"""),0.0)</f>
        <v>0</v>
      </c>
    </row>
    <row r="710">
      <c r="A710" s="17">
        <f>IFERROR(__xludf.DUMMYFUNCTION("""COMPUTED_VALUE"""),710.0)</f>
        <v>710</v>
      </c>
      <c r="B710" s="17" t="str">
        <f>IFERROR(__xludf.DUMMYFUNCTION("""COMPUTED_VALUE"""),"Donovan Solano (1B) FA")</f>
        <v>Donovan Solano (1B) FA</v>
      </c>
      <c r="C710" s="17">
        <f>IFERROR(__xludf.DUMMYFUNCTION("""COMPUTED_VALUE"""),8.0)</f>
        <v>8</v>
      </c>
      <c r="D710" s="17">
        <f>IFERROR(__xludf.DUMMYFUNCTION("""COMPUTED_VALUE"""),1.0)</f>
        <v>1</v>
      </c>
      <c r="E710" s="17">
        <f>IFERROR(__xludf.DUMMYFUNCTION("""COMPUTED_VALUE"""),0.0)</f>
        <v>0</v>
      </c>
      <c r="F710" s="17">
        <f>IFERROR(__xludf.DUMMYFUNCTION("""COMPUTED_VALUE"""),1.0)</f>
        <v>1</v>
      </c>
      <c r="G710" s="17">
        <f>IFERROR(__xludf.DUMMYFUNCTION("""COMPUTED_VALUE"""),0.0)</f>
        <v>0</v>
      </c>
      <c r="H710" s="17">
        <f>IFERROR(__xludf.DUMMYFUNCTION("""COMPUTED_VALUE"""),0.282)</f>
        <v>0.282</v>
      </c>
      <c r="I710" s="17">
        <f>IFERROR(__xludf.DUMMYFUNCTION("""COMPUTED_VALUE"""),0.331)</f>
        <v>0.331</v>
      </c>
      <c r="J710" s="17">
        <f>IFERROR(__xludf.DUMMYFUNCTION("""COMPUTED_VALUE"""),2.0)</f>
        <v>2</v>
      </c>
      <c r="K710" s="17">
        <f>IFERROR(__xludf.DUMMYFUNCTION("""COMPUTED_VALUE"""),1.0)</f>
        <v>1</v>
      </c>
      <c r="L710" s="17">
        <f>IFERROR(__xludf.DUMMYFUNCTION("""COMPUTED_VALUE"""),0.0)</f>
        <v>0</v>
      </c>
      <c r="M710" s="17">
        <f>IFERROR(__xludf.DUMMYFUNCTION("""COMPUTED_VALUE"""),1.0)</f>
        <v>1</v>
      </c>
      <c r="N710" s="17">
        <f>IFERROR(__xludf.DUMMYFUNCTION("""COMPUTED_VALUE"""),2.0)</f>
        <v>2</v>
      </c>
      <c r="O710" s="17">
        <f>IFERROR(__xludf.DUMMYFUNCTION("""COMPUTED_VALUE"""),0.356)</f>
        <v>0.356</v>
      </c>
      <c r="P710" s="17">
        <f>IFERROR(__xludf.DUMMYFUNCTION("""COMPUTED_VALUE"""),0.688)</f>
        <v>0.688</v>
      </c>
      <c r="Q710" s="34">
        <f>IFERROR(__xludf.DUMMYFUNCTION("""COMPUTED_VALUE"""),0.0)</f>
        <v>0</v>
      </c>
      <c r="R710" s="34">
        <f>IFERROR(__xludf.DUMMYFUNCTION("""COMPUTED_VALUE"""),0.0)</f>
        <v>0</v>
      </c>
      <c r="S710" s="34">
        <f>IFERROR(__xludf.DUMMYFUNCTION("""COMPUTED_VALUE"""),0.0)</f>
        <v>0</v>
      </c>
    </row>
    <row r="711">
      <c r="A711" s="17">
        <f>IFERROR(__xludf.DUMMYFUNCTION("""COMPUTED_VALUE"""),711.0)</f>
        <v>711</v>
      </c>
      <c r="B711" s="17" t="str">
        <f>IFERROR(__xludf.DUMMYFUNCTION("""COMPUTED_VALUE"""),"Albert Almora Jr. (LF,CF,RF) FA")</f>
        <v>Albert Almora Jr. (LF,CF,RF) FA</v>
      </c>
      <c r="C711" s="17">
        <f>IFERROR(__xludf.DUMMYFUNCTION("""COMPUTED_VALUE"""),8.0)</f>
        <v>8</v>
      </c>
      <c r="D711" s="17">
        <f>IFERROR(__xludf.DUMMYFUNCTION("""COMPUTED_VALUE"""),1.0)</f>
        <v>1</v>
      </c>
      <c r="E711" s="17">
        <f>IFERROR(__xludf.DUMMYFUNCTION("""COMPUTED_VALUE"""),0.0)</f>
        <v>0</v>
      </c>
      <c r="F711" s="17">
        <f>IFERROR(__xludf.DUMMYFUNCTION("""COMPUTED_VALUE"""),1.0)</f>
        <v>1</v>
      </c>
      <c r="G711" s="17">
        <f>IFERROR(__xludf.DUMMYFUNCTION("""COMPUTED_VALUE"""),0.0)</f>
        <v>0</v>
      </c>
      <c r="H711" s="17">
        <f>IFERROR(__xludf.DUMMYFUNCTION("""COMPUTED_VALUE"""),0.217)</f>
        <v>0.217</v>
      </c>
      <c r="I711" s="17">
        <f>IFERROR(__xludf.DUMMYFUNCTION("""COMPUTED_VALUE"""),0.269)</f>
        <v>0.269</v>
      </c>
      <c r="J711" s="17">
        <f>IFERROR(__xludf.DUMMYFUNCTION("""COMPUTED_VALUE"""),2.0)</f>
        <v>2</v>
      </c>
      <c r="K711" s="17">
        <f>IFERROR(__xludf.DUMMYFUNCTION("""COMPUTED_VALUE"""),1.0)</f>
        <v>1</v>
      </c>
      <c r="L711" s="17">
        <f>IFERROR(__xludf.DUMMYFUNCTION("""COMPUTED_VALUE"""),0.0)</f>
        <v>0</v>
      </c>
      <c r="M711" s="17">
        <f>IFERROR(__xludf.DUMMYFUNCTION("""COMPUTED_VALUE"""),1.0)</f>
        <v>1</v>
      </c>
      <c r="N711" s="17">
        <f>IFERROR(__xludf.DUMMYFUNCTION("""COMPUTED_VALUE"""),2.0)</f>
        <v>2</v>
      </c>
      <c r="O711" s="17">
        <f>IFERROR(__xludf.DUMMYFUNCTION("""COMPUTED_VALUE"""),0.293)</f>
        <v>0.293</v>
      </c>
      <c r="P711" s="17">
        <f>IFERROR(__xludf.DUMMYFUNCTION("""COMPUTED_VALUE"""),0.562)</f>
        <v>0.562</v>
      </c>
      <c r="Q711" s="34">
        <f>IFERROR(__xludf.DUMMYFUNCTION("""COMPUTED_VALUE"""),0.0)</f>
        <v>0</v>
      </c>
      <c r="R711" s="34">
        <f>IFERROR(__xludf.DUMMYFUNCTION("""COMPUTED_VALUE"""),0.0)</f>
        <v>0</v>
      </c>
      <c r="S711" s="34">
        <f>IFERROR(__xludf.DUMMYFUNCTION("""COMPUTED_VALUE"""),0.0)</f>
        <v>0</v>
      </c>
    </row>
    <row r="712">
      <c r="A712" s="17">
        <f>IFERROR(__xludf.DUMMYFUNCTION("""COMPUTED_VALUE"""),712.0)</f>
        <v>712</v>
      </c>
      <c r="B712" s="17" t="str">
        <f>IFERROR(__xludf.DUMMYFUNCTION("""COMPUTED_VALUE"""),"Sergio Alcantara (PHI - 2B,3B,SS) MiLB")</f>
        <v>Sergio Alcantara (PHI - 2B,3B,SS) MiLB</v>
      </c>
      <c r="C712" s="17">
        <f>IFERROR(__xludf.DUMMYFUNCTION("""COMPUTED_VALUE"""),8.0)</f>
        <v>8</v>
      </c>
      <c r="D712" s="17">
        <f>IFERROR(__xludf.DUMMYFUNCTION("""COMPUTED_VALUE"""),1.0)</f>
        <v>1</v>
      </c>
      <c r="E712" s="17">
        <f>IFERROR(__xludf.DUMMYFUNCTION("""COMPUTED_VALUE"""),0.0)</f>
        <v>0</v>
      </c>
      <c r="F712" s="17">
        <f>IFERROR(__xludf.DUMMYFUNCTION("""COMPUTED_VALUE"""),1.0)</f>
        <v>1</v>
      </c>
      <c r="G712" s="17">
        <f>IFERROR(__xludf.DUMMYFUNCTION("""COMPUTED_VALUE"""),0.0)</f>
        <v>0</v>
      </c>
      <c r="H712" s="17">
        <f>IFERROR(__xludf.DUMMYFUNCTION("""COMPUTED_VALUE"""),0.202)</f>
        <v>0.202</v>
      </c>
      <c r="I712" s="17">
        <f>IFERROR(__xludf.DUMMYFUNCTION("""COMPUTED_VALUE"""),0.296)</f>
        <v>0.296</v>
      </c>
      <c r="J712" s="17">
        <f>IFERROR(__xludf.DUMMYFUNCTION("""COMPUTED_VALUE"""),2.0)</f>
        <v>2</v>
      </c>
      <c r="K712" s="17">
        <f>IFERROR(__xludf.DUMMYFUNCTION("""COMPUTED_VALUE"""),1.0)</f>
        <v>1</v>
      </c>
      <c r="L712" s="17">
        <f>IFERROR(__xludf.DUMMYFUNCTION("""COMPUTED_VALUE"""),0.0)</f>
        <v>0</v>
      </c>
      <c r="M712" s="17">
        <f>IFERROR(__xludf.DUMMYFUNCTION("""COMPUTED_VALUE"""),1.0)</f>
        <v>1</v>
      </c>
      <c r="N712" s="17">
        <f>IFERROR(__xludf.DUMMYFUNCTION("""COMPUTED_VALUE"""),2.0)</f>
        <v>2</v>
      </c>
      <c r="O712" s="17">
        <f>IFERROR(__xludf.DUMMYFUNCTION("""COMPUTED_VALUE"""),0.271)</f>
        <v>0.271</v>
      </c>
      <c r="P712" s="17">
        <f>IFERROR(__xludf.DUMMYFUNCTION("""COMPUTED_VALUE"""),0.567)</f>
        <v>0.567</v>
      </c>
      <c r="Q712" s="34">
        <f>IFERROR(__xludf.DUMMYFUNCTION("""COMPUTED_VALUE"""),0.0)</f>
        <v>0</v>
      </c>
      <c r="R712" s="34">
        <f>IFERROR(__xludf.DUMMYFUNCTION("""COMPUTED_VALUE"""),0.0)</f>
        <v>0</v>
      </c>
      <c r="S712" s="34">
        <f>IFERROR(__xludf.DUMMYFUNCTION("""COMPUTED_VALUE"""),0.0)</f>
        <v>0</v>
      </c>
    </row>
    <row r="713">
      <c r="A713" s="17">
        <f>IFERROR(__xludf.DUMMYFUNCTION("""COMPUTED_VALUE"""),713.0)</f>
        <v>713</v>
      </c>
      <c r="B713" s="17" t="str">
        <f>IFERROR(__xludf.DUMMYFUNCTION("""COMPUTED_VALUE"""),"Harold Ramirez (LF,RF,DH) FA")</f>
        <v>Harold Ramirez (LF,RF,DH) FA</v>
      </c>
      <c r="C713" s="17">
        <f>IFERROR(__xludf.DUMMYFUNCTION("""COMPUTED_VALUE"""),8.0)</f>
        <v>8</v>
      </c>
      <c r="D713" s="17">
        <f>IFERROR(__xludf.DUMMYFUNCTION("""COMPUTED_VALUE"""),1.0)</f>
        <v>1</v>
      </c>
      <c r="E713" s="17">
        <f>IFERROR(__xludf.DUMMYFUNCTION("""COMPUTED_VALUE"""),0.0)</f>
        <v>0</v>
      </c>
      <c r="F713" s="17">
        <f>IFERROR(__xludf.DUMMYFUNCTION("""COMPUTED_VALUE"""),1.0)</f>
        <v>1</v>
      </c>
      <c r="G713" s="17">
        <f>IFERROR(__xludf.DUMMYFUNCTION("""COMPUTED_VALUE"""),0.0)</f>
        <v>0</v>
      </c>
      <c r="H713" s="17">
        <f>IFERROR(__xludf.DUMMYFUNCTION("""COMPUTED_VALUE"""),0.283)</f>
        <v>0.283</v>
      </c>
      <c r="I713" s="17">
        <f>IFERROR(__xludf.DUMMYFUNCTION("""COMPUTED_VALUE"""),0.33)</f>
        <v>0.33</v>
      </c>
      <c r="J713" s="17">
        <f>IFERROR(__xludf.DUMMYFUNCTION("""COMPUTED_VALUE"""),2.0)</f>
        <v>2</v>
      </c>
      <c r="K713" s="17">
        <f>IFERROR(__xludf.DUMMYFUNCTION("""COMPUTED_VALUE"""),1.0)</f>
        <v>1</v>
      </c>
      <c r="L713" s="17">
        <f>IFERROR(__xludf.DUMMYFUNCTION("""COMPUTED_VALUE"""),0.0)</f>
        <v>0</v>
      </c>
      <c r="M713" s="17">
        <f>IFERROR(__xludf.DUMMYFUNCTION("""COMPUTED_VALUE"""),1.0)</f>
        <v>1</v>
      </c>
      <c r="N713" s="17">
        <f>IFERROR(__xludf.DUMMYFUNCTION("""COMPUTED_VALUE"""),2.0)</f>
        <v>2</v>
      </c>
      <c r="O713" s="17">
        <f>IFERROR(__xludf.DUMMYFUNCTION("""COMPUTED_VALUE"""),0.359)</f>
        <v>0.359</v>
      </c>
      <c r="P713" s="17">
        <f>IFERROR(__xludf.DUMMYFUNCTION("""COMPUTED_VALUE"""),0.689)</f>
        <v>0.689</v>
      </c>
      <c r="Q713" s="34">
        <f>IFERROR(__xludf.DUMMYFUNCTION("""COMPUTED_VALUE"""),0.01)</f>
        <v>0.01</v>
      </c>
      <c r="R713" s="34">
        <f>IFERROR(__xludf.DUMMYFUNCTION("""COMPUTED_VALUE"""),0.01)</f>
        <v>0.01</v>
      </c>
      <c r="S713" s="34">
        <f>IFERROR(__xludf.DUMMYFUNCTION("""COMPUTED_VALUE"""),0.0)</f>
        <v>0</v>
      </c>
    </row>
    <row r="714">
      <c r="A714" s="17">
        <f>IFERROR(__xludf.DUMMYFUNCTION("""COMPUTED_VALUE"""),714.0)</f>
        <v>714</v>
      </c>
      <c r="B714" s="17" t="str">
        <f>IFERROR(__xludf.DUMMYFUNCTION("""COMPUTED_VALUE"""),"Nick Gordon (2B,LF,CF) FA")</f>
        <v>Nick Gordon (2B,LF,CF) FA</v>
      </c>
      <c r="C714" s="17">
        <f>IFERROR(__xludf.DUMMYFUNCTION("""COMPUTED_VALUE"""),8.0)</f>
        <v>8</v>
      </c>
      <c r="D714" s="17">
        <f>IFERROR(__xludf.DUMMYFUNCTION("""COMPUTED_VALUE"""),1.0)</f>
        <v>1</v>
      </c>
      <c r="E714" s="17">
        <f>IFERROR(__xludf.DUMMYFUNCTION("""COMPUTED_VALUE"""),0.0)</f>
        <v>0</v>
      </c>
      <c r="F714" s="17">
        <f>IFERROR(__xludf.DUMMYFUNCTION("""COMPUTED_VALUE"""),1.0)</f>
        <v>1</v>
      </c>
      <c r="G714" s="17">
        <f>IFERROR(__xludf.DUMMYFUNCTION("""COMPUTED_VALUE"""),0.0)</f>
        <v>0</v>
      </c>
      <c r="H714" s="17">
        <f>IFERROR(__xludf.DUMMYFUNCTION("""COMPUTED_VALUE"""),0.217)</f>
        <v>0.217</v>
      </c>
      <c r="I714" s="17">
        <f>IFERROR(__xludf.DUMMYFUNCTION("""COMPUTED_VALUE"""),0.268)</f>
        <v>0.268</v>
      </c>
      <c r="J714" s="17">
        <f>IFERROR(__xludf.DUMMYFUNCTION("""COMPUTED_VALUE"""),2.0)</f>
        <v>2</v>
      </c>
      <c r="K714" s="17">
        <f>IFERROR(__xludf.DUMMYFUNCTION("""COMPUTED_VALUE"""),1.0)</f>
        <v>1</v>
      </c>
      <c r="L714" s="17">
        <f>IFERROR(__xludf.DUMMYFUNCTION("""COMPUTED_VALUE"""),0.0)</f>
        <v>0</v>
      </c>
      <c r="M714" s="17">
        <f>IFERROR(__xludf.DUMMYFUNCTION("""COMPUTED_VALUE"""),1.0)</f>
        <v>1</v>
      </c>
      <c r="N714" s="17">
        <f>IFERROR(__xludf.DUMMYFUNCTION("""COMPUTED_VALUE"""),2.0)</f>
        <v>2</v>
      </c>
      <c r="O714" s="17">
        <f>IFERROR(__xludf.DUMMYFUNCTION("""COMPUTED_VALUE"""),0.294)</f>
        <v>0.294</v>
      </c>
      <c r="P714" s="17">
        <f>IFERROR(__xludf.DUMMYFUNCTION("""COMPUTED_VALUE"""),0.562)</f>
        <v>0.562</v>
      </c>
      <c r="Q714" s="34">
        <f>IFERROR(__xludf.DUMMYFUNCTION("""COMPUTED_VALUE"""),0.0)</f>
        <v>0</v>
      </c>
      <c r="R714" s="34">
        <f>IFERROR(__xludf.DUMMYFUNCTION("""COMPUTED_VALUE"""),0.0)</f>
        <v>0</v>
      </c>
      <c r="S714" s="34">
        <f>IFERROR(__xludf.DUMMYFUNCTION("""COMPUTED_VALUE"""),0.0)</f>
        <v>0</v>
      </c>
    </row>
    <row r="715">
      <c r="A715" s="17">
        <f>IFERROR(__xludf.DUMMYFUNCTION("""COMPUTED_VALUE"""),715.0)</f>
        <v>715</v>
      </c>
      <c r="B715" s="17" t="str">
        <f>IFERROR(__xludf.DUMMYFUNCTION("""COMPUTED_VALUE"""),"Jamie Westbrook (2B,RF) FA")</f>
        <v>Jamie Westbrook (2B,RF) FA</v>
      </c>
      <c r="C715" s="17">
        <f>IFERROR(__xludf.DUMMYFUNCTION("""COMPUTED_VALUE"""),8.0)</f>
        <v>8</v>
      </c>
      <c r="D715" s="17">
        <f>IFERROR(__xludf.DUMMYFUNCTION("""COMPUTED_VALUE"""),1.0)</f>
        <v>1</v>
      </c>
      <c r="E715" s="17">
        <f>IFERROR(__xludf.DUMMYFUNCTION("""COMPUTED_VALUE"""),0.0)</f>
        <v>0</v>
      </c>
      <c r="F715" s="17">
        <f>IFERROR(__xludf.DUMMYFUNCTION("""COMPUTED_VALUE"""),1.0)</f>
        <v>1</v>
      </c>
      <c r="G715" s="17">
        <f>IFERROR(__xludf.DUMMYFUNCTION("""COMPUTED_VALUE"""),0.0)</f>
        <v>0</v>
      </c>
      <c r="H715" s="17">
        <f>IFERROR(__xludf.DUMMYFUNCTION("""COMPUTED_VALUE"""),0.216)</f>
        <v>0.216</v>
      </c>
      <c r="I715" s="17">
        <f>IFERROR(__xludf.DUMMYFUNCTION("""COMPUTED_VALUE"""),0.27)</f>
        <v>0.27</v>
      </c>
      <c r="J715" s="17">
        <f>IFERROR(__xludf.DUMMYFUNCTION("""COMPUTED_VALUE"""),2.0)</f>
        <v>2</v>
      </c>
      <c r="K715" s="17">
        <f>IFERROR(__xludf.DUMMYFUNCTION("""COMPUTED_VALUE"""),1.0)</f>
        <v>1</v>
      </c>
      <c r="L715" s="17">
        <f>IFERROR(__xludf.DUMMYFUNCTION("""COMPUTED_VALUE"""),0.0)</f>
        <v>0</v>
      </c>
      <c r="M715" s="17">
        <f>IFERROR(__xludf.DUMMYFUNCTION("""COMPUTED_VALUE"""),1.0)</f>
        <v>1</v>
      </c>
      <c r="N715" s="17">
        <f>IFERROR(__xludf.DUMMYFUNCTION("""COMPUTED_VALUE"""),2.0)</f>
        <v>2</v>
      </c>
      <c r="O715" s="17">
        <f>IFERROR(__xludf.DUMMYFUNCTION("""COMPUTED_VALUE"""),0.291)</f>
        <v>0.291</v>
      </c>
      <c r="P715" s="17">
        <f>IFERROR(__xludf.DUMMYFUNCTION("""COMPUTED_VALUE"""),0.561)</f>
        <v>0.561</v>
      </c>
      <c r="Q715" s="34">
        <f>IFERROR(__xludf.DUMMYFUNCTION("""COMPUTED_VALUE"""),0.0)</f>
        <v>0</v>
      </c>
      <c r="R715" s="34">
        <f>IFERROR(__xludf.DUMMYFUNCTION("""COMPUTED_VALUE"""),0.0)</f>
        <v>0</v>
      </c>
      <c r="S715" s="34">
        <f>IFERROR(__xludf.DUMMYFUNCTION("""COMPUTED_VALUE"""),0.0)</f>
        <v>0</v>
      </c>
    </row>
    <row r="716">
      <c r="A716" s="17">
        <f>IFERROR(__xludf.DUMMYFUNCTION("""COMPUTED_VALUE"""),716.0)</f>
        <v>716</v>
      </c>
      <c r="B716" s="17" t="str">
        <f>IFERROR(__xludf.DUMMYFUNCTION("""COMPUTED_VALUE"""),"Daz Cameron (LF,CF,RF) FA")</f>
        <v>Daz Cameron (LF,CF,RF) FA</v>
      </c>
      <c r="C716" s="17">
        <f>IFERROR(__xludf.DUMMYFUNCTION("""COMPUTED_VALUE"""),8.0)</f>
        <v>8</v>
      </c>
      <c r="D716" s="17">
        <f>IFERROR(__xludf.DUMMYFUNCTION("""COMPUTED_VALUE"""),1.0)</f>
        <v>1</v>
      </c>
      <c r="E716" s="17">
        <f>IFERROR(__xludf.DUMMYFUNCTION("""COMPUTED_VALUE"""),0.0)</f>
        <v>0</v>
      </c>
      <c r="F716" s="17">
        <f>IFERROR(__xludf.DUMMYFUNCTION("""COMPUTED_VALUE"""),1.0)</f>
        <v>1</v>
      </c>
      <c r="G716" s="17">
        <f>IFERROR(__xludf.DUMMYFUNCTION("""COMPUTED_VALUE"""),0.0)</f>
        <v>0</v>
      </c>
      <c r="H716" s="17">
        <f>IFERROR(__xludf.DUMMYFUNCTION("""COMPUTED_VALUE"""),0.216)</f>
        <v>0.216</v>
      </c>
      <c r="I716" s="17">
        <f>IFERROR(__xludf.DUMMYFUNCTION("""COMPUTED_VALUE"""),0.269)</f>
        <v>0.269</v>
      </c>
      <c r="J716" s="17">
        <f>IFERROR(__xludf.DUMMYFUNCTION("""COMPUTED_VALUE"""),2.0)</f>
        <v>2</v>
      </c>
      <c r="K716" s="17">
        <f>IFERROR(__xludf.DUMMYFUNCTION("""COMPUTED_VALUE"""),1.0)</f>
        <v>1</v>
      </c>
      <c r="L716" s="17">
        <f>IFERROR(__xludf.DUMMYFUNCTION("""COMPUTED_VALUE"""),0.0)</f>
        <v>0</v>
      </c>
      <c r="M716" s="17">
        <f>IFERROR(__xludf.DUMMYFUNCTION("""COMPUTED_VALUE"""),1.0)</f>
        <v>1</v>
      </c>
      <c r="N716" s="17">
        <f>IFERROR(__xludf.DUMMYFUNCTION("""COMPUTED_VALUE"""),2.0)</f>
        <v>2</v>
      </c>
      <c r="O716" s="17">
        <f>IFERROR(__xludf.DUMMYFUNCTION("""COMPUTED_VALUE"""),0.297)</f>
        <v>0.297</v>
      </c>
      <c r="P716" s="17">
        <f>IFERROR(__xludf.DUMMYFUNCTION("""COMPUTED_VALUE"""),0.567)</f>
        <v>0.567</v>
      </c>
      <c r="Q716" s="34">
        <f>IFERROR(__xludf.DUMMYFUNCTION("""COMPUTED_VALUE"""),0.0)</f>
        <v>0</v>
      </c>
      <c r="R716" s="34">
        <f>IFERROR(__xludf.DUMMYFUNCTION("""COMPUTED_VALUE"""),0.0)</f>
        <v>0</v>
      </c>
      <c r="S716" s="34">
        <f>IFERROR(__xludf.DUMMYFUNCTION("""COMPUTED_VALUE"""),0.0)</f>
        <v>0</v>
      </c>
    </row>
    <row r="717">
      <c r="A717" s="17">
        <f>IFERROR(__xludf.DUMMYFUNCTION("""COMPUTED_VALUE"""),717.0)</f>
        <v>717</v>
      </c>
      <c r="B717" s="17" t="str">
        <f>IFERROR(__xludf.DUMMYFUNCTION("""COMPUTED_VALUE"""),"J.D. Davis (1B,3B) FA")</f>
        <v>J.D. Davis (1B,3B) FA</v>
      </c>
      <c r="C717" s="17">
        <f>IFERROR(__xludf.DUMMYFUNCTION("""COMPUTED_VALUE"""),8.0)</f>
        <v>8</v>
      </c>
      <c r="D717" s="17">
        <f>IFERROR(__xludf.DUMMYFUNCTION("""COMPUTED_VALUE"""),1.0)</f>
        <v>1</v>
      </c>
      <c r="E717" s="17">
        <f>IFERROR(__xludf.DUMMYFUNCTION("""COMPUTED_VALUE"""),0.0)</f>
        <v>0</v>
      </c>
      <c r="F717" s="17">
        <f>IFERROR(__xludf.DUMMYFUNCTION("""COMPUTED_VALUE"""),1.0)</f>
        <v>1</v>
      </c>
      <c r="G717" s="17">
        <f>IFERROR(__xludf.DUMMYFUNCTION("""COMPUTED_VALUE"""),0.0)</f>
        <v>0</v>
      </c>
      <c r="H717" s="17">
        <f>IFERROR(__xludf.DUMMYFUNCTION("""COMPUTED_VALUE"""),0.215)</f>
        <v>0.215</v>
      </c>
      <c r="I717" s="17">
        <f>IFERROR(__xludf.DUMMYFUNCTION("""COMPUTED_VALUE"""),0.27)</f>
        <v>0.27</v>
      </c>
      <c r="J717" s="17">
        <f>IFERROR(__xludf.DUMMYFUNCTION("""COMPUTED_VALUE"""),2.0)</f>
        <v>2</v>
      </c>
      <c r="K717" s="17">
        <f>IFERROR(__xludf.DUMMYFUNCTION("""COMPUTED_VALUE"""),1.0)</f>
        <v>1</v>
      </c>
      <c r="L717" s="17">
        <f>IFERROR(__xludf.DUMMYFUNCTION("""COMPUTED_VALUE"""),0.0)</f>
        <v>0</v>
      </c>
      <c r="M717" s="17">
        <f>IFERROR(__xludf.DUMMYFUNCTION("""COMPUTED_VALUE"""),1.0)</f>
        <v>1</v>
      </c>
      <c r="N717" s="17">
        <f>IFERROR(__xludf.DUMMYFUNCTION("""COMPUTED_VALUE"""),2.0)</f>
        <v>2</v>
      </c>
      <c r="O717" s="17">
        <f>IFERROR(__xludf.DUMMYFUNCTION("""COMPUTED_VALUE"""),0.294)</f>
        <v>0.294</v>
      </c>
      <c r="P717" s="17">
        <f>IFERROR(__xludf.DUMMYFUNCTION("""COMPUTED_VALUE"""),0.564)</f>
        <v>0.564</v>
      </c>
      <c r="Q717" s="34">
        <f>IFERROR(__xludf.DUMMYFUNCTION("""COMPUTED_VALUE"""),0.0)</f>
        <v>0</v>
      </c>
      <c r="R717" s="34">
        <f>IFERROR(__xludf.DUMMYFUNCTION("""COMPUTED_VALUE"""),0.0)</f>
        <v>0</v>
      </c>
      <c r="S717" s="34">
        <f>IFERROR(__xludf.DUMMYFUNCTION("""COMPUTED_VALUE"""),0.0)</f>
        <v>0</v>
      </c>
    </row>
    <row r="718">
      <c r="A718" s="17">
        <f>IFERROR(__xludf.DUMMYFUNCTION("""COMPUTED_VALUE"""),718.0)</f>
        <v>718</v>
      </c>
      <c r="B718" s="17" t="str">
        <f>IFERROR(__xludf.DUMMYFUNCTION("""COMPUTED_VALUE"""),"Matt Thaiss (BOS - C) MiLB")</f>
        <v>Matt Thaiss (BOS - C) MiLB</v>
      </c>
      <c r="C718" s="17">
        <f>IFERROR(__xludf.DUMMYFUNCTION("""COMPUTED_VALUE"""),8.0)</f>
        <v>8</v>
      </c>
      <c r="D718" s="17">
        <f>IFERROR(__xludf.DUMMYFUNCTION("""COMPUTED_VALUE"""),1.0)</f>
        <v>1</v>
      </c>
      <c r="E718" s="17">
        <f>IFERROR(__xludf.DUMMYFUNCTION("""COMPUTED_VALUE"""),0.0)</f>
        <v>0</v>
      </c>
      <c r="F718" s="17">
        <f>IFERROR(__xludf.DUMMYFUNCTION("""COMPUTED_VALUE"""),1.0)</f>
        <v>1</v>
      </c>
      <c r="G718" s="17">
        <f>IFERROR(__xludf.DUMMYFUNCTION("""COMPUTED_VALUE"""),0.0)</f>
        <v>0</v>
      </c>
      <c r="H718" s="17">
        <f>IFERROR(__xludf.DUMMYFUNCTION("""COMPUTED_VALUE"""),0.218)</f>
        <v>0.218</v>
      </c>
      <c r="I718" s="17">
        <f>IFERROR(__xludf.DUMMYFUNCTION("""COMPUTED_VALUE"""),0.331)</f>
        <v>0.331</v>
      </c>
      <c r="J718" s="17">
        <f>IFERROR(__xludf.DUMMYFUNCTION("""COMPUTED_VALUE"""),2.0)</f>
        <v>2</v>
      </c>
      <c r="K718" s="17">
        <f>IFERROR(__xludf.DUMMYFUNCTION("""COMPUTED_VALUE"""),0.0)</f>
        <v>0</v>
      </c>
      <c r="L718" s="17">
        <f>IFERROR(__xludf.DUMMYFUNCTION("""COMPUTED_VALUE"""),0.0)</f>
        <v>0</v>
      </c>
      <c r="M718" s="17">
        <f>IFERROR(__xludf.DUMMYFUNCTION("""COMPUTED_VALUE"""),1.0)</f>
        <v>1</v>
      </c>
      <c r="N718" s="17">
        <f>IFERROR(__xludf.DUMMYFUNCTION("""COMPUTED_VALUE"""),2.0)</f>
        <v>2</v>
      </c>
      <c r="O718" s="17">
        <f>IFERROR(__xludf.DUMMYFUNCTION("""COMPUTED_VALUE"""),0.311)</f>
        <v>0.311</v>
      </c>
      <c r="P718" s="17">
        <f>IFERROR(__xludf.DUMMYFUNCTION("""COMPUTED_VALUE"""),0.642)</f>
        <v>0.642</v>
      </c>
      <c r="Q718" s="34">
        <f>IFERROR(__xludf.DUMMYFUNCTION("""COMPUTED_VALUE"""),0.0)</f>
        <v>0</v>
      </c>
      <c r="R718" s="34">
        <f>IFERROR(__xludf.DUMMYFUNCTION("""COMPUTED_VALUE"""),0.0)</f>
        <v>0</v>
      </c>
      <c r="S718" s="34">
        <f>IFERROR(__xludf.DUMMYFUNCTION("""COMPUTED_VALUE"""),0.0)</f>
        <v>0</v>
      </c>
    </row>
    <row r="719">
      <c r="A719" s="17">
        <f>IFERROR(__xludf.DUMMYFUNCTION("""COMPUTED_VALUE"""),719.0)</f>
        <v>719</v>
      </c>
      <c r="B719" s="17" t="str">
        <f>IFERROR(__xludf.DUMMYFUNCTION("""COMPUTED_VALUE"""),"Willie Calhoun (RF,DH) FA")</f>
        <v>Willie Calhoun (RF,DH) FA</v>
      </c>
      <c r="C719" s="17">
        <f>IFERROR(__xludf.DUMMYFUNCTION("""COMPUTED_VALUE"""),8.0)</f>
        <v>8</v>
      </c>
      <c r="D719" s="17">
        <f>IFERROR(__xludf.DUMMYFUNCTION("""COMPUTED_VALUE"""),1.0)</f>
        <v>1</v>
      </c>
      <c r="E719" s="17">
        <f>IFERROR(__xludf.DUMMYFUNCTION("""COMPUTED_VALUE"""),0.0)</f>
        <v>0</v>
      </c>
      <c r="F719" s="17">
        <f>IFERROR(__xludf.DUMMYFUNCTION("""COMPUTED_VALUE"""),1.0)</f>
        <v>1</v>
      </c>
      <c r="G719" s="17">
        <f>IFERROR(__xludf.DUMMYFUNCTION("""COMPUTED_VALUE"""),0.0)</f>
        <v>0</v>
      </c>
      <c r="H719" s="17">
        <f>IFERROR(__xludf.DUMMYFUNCTION("""COMPUTED_VALUE"""),0.216)</f>
        <v>0.216</v>
      </c>
      <c r="I719" s="17">
        <f>IFERROR(__xludf.DUMMYFUNCTION("""COMPUTED_VALUE"""),0.272)</f>
        <v>0.272</v>
      </c>
      <c r="J719" s="17">
        <f>IFERROR(__xludf.DUMMYFUNCTION("""COMPUTED_VALUE"""),2.0)</f>
        <v>2</v>
      </c>
      <c r="K719" s="17">
        <f>IFERROR(__xludf.DUMMYFUNCTION("""COMPUTED_VALUE"""),1.0)</f>
        <v>1</v>
      </c>
      <c r="L719" s="17">
        <f>IFERROR(__xludf.DUMMYFUNCTION("""COMPUTED_VALUE"""),0.0)</f>
        <v>0</v>
      </c>
      <c r="M719" s="17">
        <f>IFERROR(__xludf.DUMMYFUNCTION("""COMPUTED_VALUE"""),1.0)</f>
        <v>1</v>
      </c>
      <c r="N719" s="17">
        <f>IFERROR(__xludf.DUMMYFUNCTION("""COMPUTED_VALUE"""),2.0)</f>
        <v>2</v>
      </c>
      <c r="O719" s="17">
        <f>IFERROR(__xludf.DUMMYFUNCTION("""COMPUTED_VALUE"""),0.293)</f>
        <v>0.293</v>
      </c>
      <c r="P719" s="17">
        <f>IFERROR(__xludf.DUMMYFUNCTION("""COMPUTED_VALUE"""),0.565)</f>
        <v>0.565</v>
      </c>
      <c r="Q719" s="34">
        <f>IFERROR(__xludf.DUMMYFUNCTION("""COMPUTED_VALUE"""),0.0)</f>
        <v>0</v>
      </c>
      <c r="R719" s="34">
        <f>IFERROR(__xludf.DUMMYFUNCTION("""COMPUTED_VALUE"""),0.0)</f>
        <v>0</v>
      </c>
      <c r="S719" s="34">
        <f>IFERROR(__xludf.DUMMYFUNCTION("""COMPUTED_VALUE"""),0.0)</f>
        <v>0</v>
      </c>
    </row>
    <row r="720">
      <c r="A720" s="17">
        <f>IFERROR(__xludf.DUMMYFUNCTION("""COMPUTED_VALUE"""),720.0)</f>
        <v>720</v>
      </c>
      <c r="B720" s="17" t="str">
        <f>IFERROR(__xludf.DUMMYFUNCTION("""COMPUTED_VALUE"""),"Jack Lopez (2B) FA")</f>
        <v>Jack Lopez (2B) FA</v>
      </c>
      <c r="C720" s="17">
        <f>IFERROR(__xludf.DUMMYFUNCTION("""COMPUTED_VALUE"""),8.0)</f>
        <v>8</v>
      </c>
      <c r="D720" s="17">
        <f>IFERROR(__xludf.DUMMYFUNCTION("""COMPUTED_VALUE"""),1.0)</f>
        <v>1</v>
      </c>
      <c r="E720" s="17">
        <f>IFERROR(__xludf.DUMMYFUNCTION("""COMPUTED_VALUE"""),0.0)</f>
        <v>0</v>
      </c>
      <c r="F720" s="17">
        <f>IFERROR(__xludf.DUMMYFUNCTION("""COMPUTED_VALUE"""),1.0)</f>
        <v>1</v>
      </c>
      <c r="G720" s="17">
        <f>IFERROR(__xludf.DUMMYFUNCTION("""COMPUTED_VALUE"""),0.0)</f>
        <v>0</v>
      </c>
      <c r="H720" s="17">
        <f>IFERROR(__xludf.DUMMYFUNCTION("""COMPUTED_VALUE"""),0.214)</f>
        <v>0.214</v>
      </c>
      <c r="I720" s="17">
        <f>IFERROR(__xludf.DUMMYFUNCTION("""COMPUTED_VALUE"""),0.264)</f>
        <v>0.264</v>
      </c>
      <c r="J720" s="17">
        <f>IFERROR(__xludf.DUMMYFUNCTION("""COMPUTED_VALUE"""),2.0)</f>
        <v>2</v>
      </c>
      <c r="K720" s="17">
        <f>IFERROR(__xludf.DUMMYFUNCTION("""COMPUTED_VALUE"""),1.0)</f>
        <v>1</v>
      </c>
      <c r="L720" s="17">
        <f>IFERROR(__xludf.DUMMYFUNCTION("""COMPUTED_VALUE"""),0.0)</f>
        <v>0</v>
      </c>
      <c r="M720" s="17">
        <f>IFERROR(__xludf.DUMMYFUNCTION("""COMPUTED_VALUE"""),1.0)</f>
        <v>1</v>
      </c>
      <c r="N720" s="17">
        <f>IFERROR(__xludf.DUMMYFUNCTION("""COMPUTED_VALUE"""),2.0)</f>
        <v>2</v>
      </c>
      <c r="O720" s="17">
        <f>IFERROR(__xludf.DUMMYFUNCTION("""COMPUTED_VALUE"""),0.287)</f>
        <v>0.287</v>
      </c>
      <c r="P720" s="17">
        <f>IFERROR(__xludf.DUMMYFUNCTION("""COMPUTED_VALUE"""),0.552)</f>
        <v>0.552</v>
      </c>
      <c r="Q720" s="34">
        <f>IFERROR(__xludf.DUMMYFUNCTION("""COMPUTED_VALUE"""),0.01)</f>
        <v>0.01</v>
      </c>
      <c r="R720" s="34">
        <f>IFERROR(__xludf.DUMMYFUNCTION("""COMPUTED_VALUE"""),0.01)</f>
        <v>0.01</v>
      </c>
      <c r="S720" s="34">
        <f>IFERROR(__xludf.DUMMYFUNCTION("""COMPUTED_VALUE"""),0.0)</f>
        <v>0</v>
      </c>
    </row>
    <row r="721">
      <c r="A721" s="17">
        <f>IFERROR(__xludf.DUMMYFUNCTION("""COMPUTED_VALUE"""),721.0)</f>
        <v>721</v>
      </c>
      <c r="B721" s="17" t="str">
        <f>IFERROR(__xludf.DUMMYFUNCTION("""COMPUTED_VALUE"""),"Yunior Severino (1B,2B,3B) FA")</f>
        <v>Yunior Severino (1B,2B,3B) FA</v>
      </c>
      <c r="C721" s="17">
        <f>IFERROR(__xludf.DUMMYFUNCTION("""COMPUTED_VALUE"""),8.0)</f>
        <v>8</v>
      </c>
      <c r="D721" s="17">
        <f>IFERROR(__xludf.DUMMYFUNCTION("""COMPUTED_VALUE"""),1.0)</f>
        <v>1</v>
      </c>
      <c r="E721" s="17">
        <f>IFERROR(__xludf.DUMMYFUNCTION("""COMPUTED_VALUE"""),0.0)</f>
        <v>0</v>
      </c>
      <c r="F721" s="17">
        <f>IFERROR(__xludf.DUMMYFUNCTION("""COMPUTED_VALUE"""),1.0)</f>
        <v>1</v>
      </c>
      <c r="G721" s="17">
        <f>IFERROR(__xludf.DUMMYFUNCTION("""COMPUTED_VALUE"""),0.0)</f>
        <v>0</v>
      </c>
      <c r="H721" s="17">
        <f>IFERROR(__xludf.DUMMYFUNCTION("""COMPUTED_VALUE"""),0.201)</f>
        <v>0.201</v>
      </c>
      <c r="I721" s="17">
        <f>IFERROR(__xludf.DUMMYFUNCTION("""COMPUTED_VALUE"""),0.253)</f>
        <v>0.253</v>
      </c>
      <c r="J721" s="17">
        <f>IFERROR(__xludf.DUMMYFUNCTION("""COMPUTED_VALUE"""),2.0)</f>
        <v>2</v>
      </c>
      <c r="K721" s="17">
        <f>IFERROR(__xludf.DUMMYFUNCTION("""COMPUTED_VALUE"""),1.0)</f>
        <v>1</v>
      </c>
      <c r="L721" s="17">
        <f>IFERROR(__xludf.DUMMYFUNCTION("""COMPUTED_VALUE"""),0.0)</f>
        <v>0</v>
      </c>
      <c r="M721" s="17">
        <f>IFERROR(__xludf.DUMMYFUNCTION("""COMPUTED_VALUE"""),1.0)</f>
        <v>1</v>
      </c>
      <c r="N721" s="17">
        <f>IFERROR(__xludf.DUMMYFUNCTION("""COMPUTED_VALUE"""),3.0)</f>
        <v>3</v>
      </c>
      <c r="O721" s="17">
        <f>IFERROR(__xludf.DUMMYFUNCTION("""COMPUTED_VALUE"""),0.275)</f>
        <v>0.275</v>
      </c>
      <c r="P721" s="17">
        <f>IFERROR(__xludf.DUMMYFUNCTION("""COMPUTED_VALUE"""),0.528)</f>
        <v>0.528</v>
      </c>
      <c r="Q721" s="34">
        <f>IFERROR(__xludf.DUMMYFUNCTION("""COMPUTED_VALUE"""),0.0)</f>
        <v>0</v>
      </c>
      <c r="R721" s="34">
        <f>IFERROR(__xludf.DUMMYFUNCTION("""COMPUTED_VALUE"""),0.0)</f>
        <v>0</v>
      </c>
      <c r="S721" s="34">
        <f>IFERROR(__xludf.DUMMYFUNCTION("""COMPUTED_VALUE"""),0.0)</f>
        <v>0</v>
      </c>
    </row>
    <row r="722">
      <c r="A722" s="17">
        <f>IFERROR(__xludf.DUMMYFUNCTION("""COMPUTED_VALUE"""),722.0)</f>
        <v>722</v>
      </c>
      <c r="B722" s="17" t="str">
        <f>IFERROR(__xludf.DUMMYFUNCTION("""COMPUTED_VALUE"""),"Tyler Nevin (1B,3B,LF,RF) FA")</f>
        <v>Tyler Nevin (1B,3B,LF,RF) FA</v>
      </c>
      <c r="C722" s="17">
        <f>IFERROR(__xludf.DUMMYFUNCTION("""COMPUTED_VALUE"""),8.0)</f>
        <v>8</v>
      </c>
      <c r="D722" s="17">
        <f>IFERROR(__xludf.DUMMYFUNCTION("""COMPUTED_VALUE"""),1.0)</f>
        <v>1</v>
      </c>
      <c r="E722" s="17">
        <f>IFERROR(__xludf.DUMMYFUNCTION("""COMPUTED_VALUE"""),0.0)</f>
        <v>0</v>
      </c>
      <c r="F722" s="17">
        <f>IFERROR(__xludf.DUMMYFUNCTION("""COMPUTED_VALUE"""),1.0)</f>
        <v>1</v>
      </c>
      <c r="G722" s="17">
        <f>IFERROR(__xludf.DUMMYFUNCTION("""COMPUTED_VALUE"""),0.0)</f>
        <v>0</v>
      </c>
      <c r="H722" s="17">
        <f>IFERROR(__xludf.DUMMYFUNCTION("""COMPUTED_VALUE"""),0.218)</f>
        <v>0.218</v>
      </c>
      <c r="I722" s="17">
        <f>IFERROR(__xludf.DUMMYFUNCTION("""COMPUTED_VALUE"""),0.273)</f>
        <v>0.273</v>
      </c>
      <c r="J722" s="17">
        <f>IFERROR(__xludf.DUMMYFUNCTION("""COMPUTED_VALUE"""),2.0)</f>
        <v>2</v>
      </c>
      <c r="K722" s="17">
        <f>IFERROR(__xludf.DUMMYFUNCTION("""COMPUTED_VALUE"""),1.0)</f>
        <v>1</v>
      </c>
      <c r="L722" s="17">
        <f>IFERROR(__xludf.DUMMYFUNCTION("""COMPUTED_VALUE"""),0.0)</f>
        <v>0</v>
      </c>
      <c r="M722" s="17">
        <f>IFERROR(__xludf.DUMMYFUNCTION("""COMPUTED_VALUE"""),1.0)</f>
        <v>1</v>
      </c>
      <c r="N722" s="17">
        <f>IFERROR(__xludf.DUMMYFUNCTION("""COMPUTED_VALUE"""),2.0)</f>
        <v>2</v>
      </c>
      <c r="O722" s="17">
        <f>IFERROR(__xludf.DUMMYFUNCTION("""COMPUTED_VALUE"""),0.298)</f>
        <v>0.298</v>
      </c>
      <c r="P722" s="17">
        <f>IFERROR(__xludf.DUMMYFUNCTION("""COMPUTED_VALUE"""),0.571)</f>
        <v>0.571</v>
      </c>
      <c r="Q722" s="34">
        <f>IFERROR(__xludf.DUMMYFUNCTION("""COMPUTED_VALUE"""),0.01)</f>
        <v>0.01</v>
      </c>
      <c r="R722" s="34">
        <f>IFERROR(__xludf.DUMMYFUNCTION("""COMPUTED_VALUE"""),0.01)</f>
        <v>0.01</v>
      </c>
      <c r="S722" s="34">
        <f>IFERROR(__xludf.DUMMYFUNCTION("""COMPUTED_VALUE"""),0.0)</f>
        <v>0</v>
      </c>
    </row>
    <row r="723">
      <c r="A723" s="17">
        <f>IFERROR(__xludf.DUMMYFUNCTION("""COMPUTED_VALUE"""),723.0)</f>
        <v>723</v>
      </c>
      <c r="B723" s="17" t="str">
        <f>IFERROR(__xludf.DUMMYFUNCTION("""COMPUTED_VALUE"""),"Zack Short (WSH - 3B,SS) MiLB")</f>
        <v>Zack Short (WSH - 3B,SS) MiLB</v>
      </c>
      <c r="C723" s="17">
        <f>IFERROR(__xludf.DUMMYFUNCTION("""COMPUTED_VALUE"""),8.0)</f>
        <v>8</v>
      </c>
      <c r="D723" s="17">
        <f>IFERROR(__xludf.DUMMYFUNCTION("""COMPUTED_VALUE"""),1.0)</f>
        <v>1</v>
      </c>
      <c r="E723" s="17">
        <f>IFERROR(__xludf.DUMMYFUNCTION("""COMPUTED_VALUE"""),0.0)</f>
        <v>0</v>
      </c>
      <c r="F723" s="17">
        <f>IFERROR(__xludf.DUMMYFUNCTION("""COMPUTED_VALUE"""),1.0)</f>
        <v>1</v>
      </c>
      <c r="G723" s="17">
        <f>IFERROR(__xludf.DUMMYFUNCTION("""COMPUTED_VALUE"""),0.0)</f>
        <v>0</v>
      </c>
      <c r="H723" s="17">
        <f>IFERROR(__xludf.DUMMYFUNCTION("""COMPUTED_VALUE"""),0.199)</f>
        <v>0.199</v>
      </c>
      <c r="I723" s="17">
        <f>IFERROR(__xludf.DUMMYFUNCTION("""COMPUTED_VALUE"""),0.293)</f>
        <v>0.293</v>
      </c>
      <c r="J723" s="17">
        <f>IFERROR(__xludf.DUMMYFUNCTION("""COMPUTED_VALUE"""),2.0)</f>
        <v>2</v>
      </c>
      <c r="K723" s="17">
        <f>IFERROR(__xludf.DUMMYFUNCTION("""COMPUTED_VALUE"""),1.0)</f>
        <v>1</v>
      </c>
      <c r="L723" s="17">
        <f>IFERROR(__xludf.DUMMYFUNCTION("""COMPUTED_VALUE"""),0.0)</f>
        <v>0</v>
      </c>
      <c r="M723" s="17">
        <f>IFERROR(__xludf.DUMMYFUNCTION("""COMPUTED_VALUE"""),1.0)</f>
        <v>1</v>
      </c>
      <c r="N723" s="17">
        <f>IFERROR(__xludf.DUMMYFUNCTION("""COMPUTED_VALUE"""),3.0)</f>
        <v>3</v>
      </c>
      <c r="O723" s="17">
        <f>IFERROR(__xludf.DUMMYFUNCTION("""COMPUTED_VALUE"""),0.269)</f>
        <v>0.269</v>
      </c>
      <c r="P723" s="17">
        <f>IFERROR(__xludf.DUMMYFUNCTION("""COMPUTED_VALUE"""),0.562)</f>
        <v>0.562</v>
      </c>
      <c r="Q723" s="34">
        <f>IFERROR(__xludf.DUMMYFUNCTION("""COMPUTED_VALUE"""),0.0)</f>
        <v>0</v>
      </c>
      <c r="R723" s="34">
        <f>IFERROR(__xludf.DUMMYFUNCTION("""COMPUTED_VALUE"""),0.0)</f>
        <v>0</v>
      </c>
      <c r="S723" s="34">
        <f>IFERROR(__xludf.DUMMYFUNCTION("""COMPUTED_VALUE"""),0.0)</f>
        <v>0</v>
      </c>
    </row>
    <row r="724">
      <c r="A724" s="17">
        <f>IFERROR(__xludf.DUMMYFUNCTION("""COMPUTED_VALUE"""),724.0)</f>
        <v>724</v>
      </c>
      <c r="B724" s="17" t="str">
        <f>IFERROR(__xludf.DUMMYFUNCTION("""COMPUTED_VALUE"""),"Brian Serven (ATH - C) MiLB")</f>
        <v>Brian Serven (ATH - C) MiLB</v>
      </c>
      <c r="C724" s="17">
        <f>IFERROR(__xludf.DUMMYFUNCTION("""COMPUTED_VALUE"""),8.0)</f>
        <v>8</v>
      </c>
      <c r="D724" s="17">
        <f>IFERROR(__xludf.DUMMYFUNCTION("""COMPUTED_VALUE"""),1.0)</f>
        <v>1</v>
      </c>
      <c r="E724" s="17">
        <f>IFERROR(__xludf.DUMMYFUNCTION("""COMPUTED_VALUE"""),0.0)</f>
        <v>0</v>
      </c>
      <c r="F724" s="17">
        <f>IFERROR(__xludf.DUMMYFUNCTION("""COMPUTED_VALUE"""),1.0)</f>
        <v>1</v>
      </c>
      <c r="G724" s="17">
        <f>IFERROR(__xludf.DUMMYFUNCTION("""COMPUTED_VALUE"""),0.0)</f>
        <v>0</v>
      </c>
      <c r="H724" s="17">
        <f>IFERROR(__xludf.DUMMYFUNCTION("""COMPUTED_VALUE"""),0.2)</f>
        <v>0.2</v>
      </c>
      <c r="I724" s="17">
        <f>IFERROR(__xludf.DUMMYFUNCTION("""COMPUTED_VALUE"""),0.292)</f>
        <v>0.292</v>
      </c>
      <c r="J724" s="17">
        <f>IFERROR(__xludf.DUMMYFUNCTION("""COMPUTED_VALUE"""),2.0)</f>
        <v>2</v>
      </c>
      <c r="K724" s="17">
        <f>IFERROR(__xludf.DUMMYFUNCTION("""COMPUTED_VALUE"""),1.0)</f>
        <v>1</v>
      </c>
      <c r="L724" s="17">
        <f>IFERROR(__xludf.DUMMYFUNCTION("""COMPUTED_VALUE"""),0.0)</f>
        <v>0</v>
      </c>
      <c r="M724" s="17">
        <f>IFERROR(__xludf.DUMMYFUNCTION("""COMPUTED_VALUE"""),1.0)</f>
        <v>1</v>
      </c>
      <c r="N724" s="17">
        <f>IFERROR(__xludf.DUMMYFUNCTION("""COMPUTED_VALUE"""),3.0)</f>
        <v>3</v>
      </c>
      <c r="O724" s="17">
        <f>IFERROR(__xludf.DUMMYFUNCTION("""COMPUTED_VALUE"""),0.27)</f>
        <v>0.27</v>
      </c>
      <c r="P724" s="17">
        <f>IFERROR(__xludf.DUMMYFUNCTION("""COMPUTED_VALUE"""),0.562)</f>
        <v>0.562</v>
      </c>
      <c r="Q724" s="34">
        <f>IFERROR(__xludf.DUMMYFUNCTION("""COMPUTED_VALUE"""),0.0)</f>
        <v>0</v>
      </c>
      <c r="R724" s="34">
        <f>IFERROR(__xludf.DUMMYFUNCTION("""COMPUTED_VALUE"""),0.0)</f>
        <v>0</v>
      </c>
      <c r="S724" s="34">
        <f>IFERROR(__xludf.DUMMYFUNCTION("""COMPUTED_VALUE"""),0.0)</f>
        <v>0</v>
      </c>
    </row>
    <row r="725">
      <c r="A725" s="17">
        <f>IFERROR(__xludf.DUMMYFUNCTION("""COMPUTED_VALUE"""),725.0)</f>
        <v>725</v>
      </c>
      <c r="B725" s="17" t="str">
        <f>IFERROR(__xludf.DUMMYFUNCTION("""COMPUTED_VALUE"""),"Ben Rortvedt (NYM - C) MiLB")</f>
        <v>Ben Rortvedt (NYM - C) MiLB</v>
      </c>
      <c r="C725" s="17">
        <f>IFERROR(__xludf.DUMMYFUNCTION("""COMPUTED_VALUE"""),8.0)</f>
        <v>8</v>
      </c>
      <c r="D725" s="17">
        <f>IFERROR(__xludf.DUMMYFUNCTION("""COMPUTED_VALUE"""),1.0)</f>
        <v>1</v>
      </c>
      <c r="E725" s="17">
        <f>IFERROR(__xludf.DUMMYFUNCTION("""COMPUTED_VALUE"""),0.0)</f>
        <v>0</v>
      </c>
      <c r="F725" s="17">
        <f>IFERROR(__xludf.DUMMYFUNCTION("""COMPUTED_VALUE"""),1.0)</f>
        <v>1</v>
      </c>
      <c r="G725" s="17">
        <f>IFERROR(__xludf.DUMMYFUNCTION("""COMPUTED_VALUE"""),0.0)</f>
        <v>0</v>
      </c>
      <c r="H725" s="17">
        <f>IFERROR(__xludf.DUMMYFUNCTION("""COMPUTED_VALUE"""),0.2)</f>
        <v>0.2</v>
      </c>
      <c r="I725" s="17">
        <f>IFERROR(__xludf.DUMMYFUNCTION("""COMPUTED_VALUE"""),0.265)</f>
        <v>0.265</v>
      </c>
      <c r="J725" s="17">
        <f>IFERROR(__xludf.DUMMYFUNCTION("""COMPUTED_VALUE"""),2.0)</f>
        <v>2</v>
      </c>
      <c r="K725" s="17">
        <f>IFERROR(__xludf.DUMMYFUNCTION("""COMPUTED_VALUE"""),0.0)</f>
        <v>0</v>
      </c>
      <c r="L725" s="17">
        <f>IFERROR(__xludf.DUMMYFUNCTION("""COMPUTED_VALUE"""),0.0)</f>
        <v>0</v>
      </c>
      <c r="M725" s="17">
        <f>IFERROR(__xludf.DUMMYFUNCTION("""COMPUTED_VALUE"""),1.0)</f>
        <v>1</v>
      </c>
      <c r="N725" s="17">
        <f>IFERROR(__xludf.DUMMYFUNCTION("""COMPUTED_VALUE"""),2.0)</f>
        <v>2</v>
      </c>
      <c r="O725" s="17">
        <f>IFERROR(__xludf.DUMMYFUNCTION("""COMPUTED_VALUE"""),0.283)</f>
        <v>0.283</v>
      </c>
      <c r="P725" s="17">
        <f>IFERROR(__xludf.DUMMYFUNCTION("""COMPUTED_VALUE"""),0.548)</f>
        <v>0.548</v>
      </c>
      <c r="Q725" s="34">
        <f>IFERROR(__xludf.DUMMYFUNCTION("""COMPUTED_VALUE"""),0.0)</f>
        <v>0</v>
      </c>
      <c r="R725" s="34">
        <f>IFERROR(__xludf.DUMMYFUNCTION("""COMPUTED_VALUE"""),0.0)</f>
        <v>0</v>
      </c>
      <c r="S725" s="34">
        <f>IFERROR(__xludf.DUMMYFUNCTION("""COMPUTED_VALUE"""),0.0)</f>
        <v>0</v>
      </c>
    </row>
    <row r="726">
      <c r="A726" s="17">
        <f>IFERROR(__xludf.DUMMYFUNCTION("""COMPUTED_VALUE"""),726.0)</f>
        <v>726</v>
      </c>
      <c r="B726" s="17" t="str">
        <f>IFERROR(__xludf.DUMMYFUNCTION("""COMPUTED_VALUE"""),"Alan Trejo (2B,SS) FA")</f>
        <v>Alan Trejo (2B,SS) FA</v>
      </c>
      <c r="C726" s="17">
        <f>IFERROR(__xludf.DUMMYFUNCTION("""COMPUTED_VALUE"""),8.0)</f>
        <v>8</v>
      </c>
      <c r="D726" s="17">
        <f>IFERROR(__xludf.DUMMYFUNCTION("""COMPUTED_VALUE"""),1.0)</f>
        <v>1</v>
      </c>
      <c r="E726" s="17">
        <f>IFERROR(__xludf.DUMMYFUNCTION("""COMPUTED_VALUE"""),0.0)</f>
        <v>0</v>
      </c>
      <c r="F726" s="17">
        <f>IFERROR(__xludf.DUMMYFUNCTION("""COMPUTED_VALUE"""),1.0)</f>
        <v>1</v>
      </c>
      <c r="G726" s="17">
        <f>IFERROR(__xludf.DUMMYFUNCTION("""COMPUTED_VALUE"""),0.0)</f>
        <v>0</v>
      </c>
      <c r="H726" s="17">
        <f>IFERROR(__xludf.DUMMYFUNCTION("""COMPUTED_VALUE"""),0.217)</f>
        <v>0.217</v>
      </c>
      <c r="I726" s="17">
        <f>IFERROR(__xludf.DUMMYFUNCTION("""COMPUTED_VALUE"""),0.269)</f>
        <v>0.269</v>
      </c>
      <c r="J726" s="17">
        <f>IFERROR(__xludf.DUMMYFUNCTION("""COMPUTED_VALUE"""),2.0)</f>
        <v>2</v>
      </c>
      <c r="K726" s="17">
        <f>IFERROR(__xludf.DUMMYFUNCTION("""COMPUTED_VALUE"""),1.0)</f>
        <v>1</v>
      </c>
      <c r="L726" s="17">
        <f>IFERROR(__xludf.DUMMYFUNCTION("""COMPUTED_VALUE"""),0.0)</f>
        <v>0</v>
      </c>
      <c r="M726" s="17">
        <f>IFERROR(__xludf.DUMMYFUNCTION("""COMPUTED_VALUE"""),1.0)</f>
        <v>1</v>
      </c>
      <c r="N726" s="17">
        <f>IFERROR(__xludf.DUMMYFUNCTION("""COMPUTED_VALUE"""),2.0)</f>
        <v>2</v>
      </c>
      <c r="O726" s="17">
        <f>IFERROR(__xludf.DUMMYFUNCTION("""COMPUTED_VALUE"""),0.296)</f>
        <v>0.296</v>
      </c>
      <c r="P726" s="17">
        <f>IFERROR(__xludf.DUMMYFUNCTION("""COMPUTED_VALUE"""),0.565)</f>
        <v>0.565</v>
      </c>
      <c r="Q726" s="34">
        <f>IFERROR(__xludf.DUMMYFUNCTION("""COMPUTED_VALUE"""),0.0)</f>
        <v>0</v>
      </c>
      <c r="R726" s="34">
        <f>IFERROR(__xludf.DUMMYFUNCTION("""COMPUTED_VALUE"""),0.0)</f>
        <v>0</v>
      </c>
      <c r="S726" s="34">
        <f>IFERROR(__xludf.DUMMYFUNCTION("""COMPUTED_VALUE"""),0.0)</f>
        <v>0</v>
      </c>
    </row>
    <row r="727">
      <c r="A727" s="17">
        <f>IFERROR(__xludf.DUMMYFUNCTION("""COMPUTED_VALUE"""),727.0)</f>
        <v>727</v>
      </c>
      <c r="B727" s="17" t="str">
        <f>IFERROR(__xludf.DUMMYFUNCTION("""COMPUTED_VALUE"""),"Diego Castillo (TEX - 2B,3B,SS,OF) MiLB")</f>
        <v>Diego Castillo (TEX - 2B,3B,SS,OF) MiLB</v>
      </c>
      <c r="C727" s="17">
        <f>IFERROR(__xludf.DUMMYFUNCTION("""COMPUTED_VALUE"""),8.0)</f>
        <v>8</v>
      </c>
      <c r="D727" s="17">
        <f>IFERROR(__xludf.DUMMYFUNCTION("""COMPUTED_VALUE"""),1.0)</f>
        <v>1</v>
      </c>
      <c r="E727" s="17">
        <f>IFERROR(__xludf.DUMMYFUNCTION("""COMPUTED_VALUE"""),0.0)</f>
        <v>0</v>
      </c>
      <c r="F727" s="17">
        <f>IFERROR(__xludf.DUMMYFUNCTION("""COMPUTED_VALUE"""),1.0)</f>
        <v>1</v>
      </c>
      <c r="G727" s="17">
        <f>IFERROR(__xludf.DUMMYFUNCTION("""COMPUTED_VALUE"""),0.0)</f>
        <v>0</v>
      </c>
      <c r="H727" s="17">
        <f>IFERROR(__xludf.DUMMYFUNCTION("""COMPUTED_VALUE"""),0.216)</f>
        <v>0.216</v>
      </c>
      <c r="I727" s="17">
        <f>IFERROR(__xludf.DUMMYFUNCTION("""COMPUTED_VALUE"""),0.312)</f>
        <v>0.312</v>
      </c>
      <c r="J727" s="17">
        <f>IFERROR(__xludf.DUMMYFUNCTION("""COMPUTED_VALUE"""),2.0)</f>
        <v>2</v>
      </c>
      <c r="K727" s="17">
        <f>IFERROR(__xludf.DUMMYFUNCTION("""COMPUTED_VALUE"""),1.0)</f>
        <v>1</v>
      </c>
      <c r="L727" s="17">
        <f>IFERROR(__xludf.DUMMYFUNCTION("""COMPUTED_VALUE"""),0.0)</f>
        <v>0</v>
      </c>
      <c r="M727" s="17">
        <f>IFERROR(__xludf.DUMMYFUNCTION("""COMPUTED_VALUE"""),1.0)</f>
        <v>1</v>
      </c>
      <c r="N727" s="17">
        <f>IFERROR(__xludf.DUMMYFUNCTION("""COMPUTED_VALUE"""),2.0)</f>
        <v>2</v>
      </c>
      <c r="O727" s="17">
        <f>IFERROR(__xludf.DUMMYFUNCTION("""COMPUTED_VALUE"""),0.291)</f>
        <v>0.291</v>
      </c>
      <c r="P727" s="17">
        <f>IFERROR(__xludf.DUMMYFUNCTION("""COMPUTED_VALUE"""),0.603)</f>
        <v>0.603</v>
      </c>
      <c r="Q727" s="34">
        <f>IFERROR(__xludf.DUMMYFUNCTION("""COMPUTED_VALUE"""),0.0)</f>
        <v>0</v>
      </c>
      <c r="R727" s="34">
        <f>IFERROR(__xludf.DUMMYFUNCTION("""COMPUTED_VALUE"""),0.0)</f>
        <v>0</v>
      </c>
      <c r="S727" s="34">
        <f>IFERROR(__xludf.DUMMYFUNCTION("""COMPUTED_VALUE"""),0.0)</f>
        <v>0</v>
      </c>
    </row>
    <row r="728">
      <c r="A728" s="17">
        <f>IFERROR(__xludf.DUMMYFUNCTION("""COMPUTED_VALUE"""),728.0)</f>
        <v>728</v>
      </c>
      <c r="B728" s="17" t="str">
        <f>IFERROR(__xludf.DUMMYFUNCTION("""COMPUTED_VALUE"""),"Eguy Rosario (3B) FA")</f>
        <v>Eguy Rosario (3B) FA</v>
      </c>
      <c r="C728" s="17">
        <f>IFERROR(__xludf.DUMMYFUNCTION("""COMPUTED_VALUE"""),8.0)</f>
        <v>8</v>
      </c>
      <c r="D728" s="17">
        <f>IFERROR(__xludf.DUMMYFUNCTION("""COMPUTED_VALUE"""),1.0)</f>
        <v>1</v>
      </c>
      <c r="E728" s="17">
        <f>IFERROR(__xludf.DUMMYFUNCTION("""COMPUTED_VALUE"""),0.0)</f>
        <v>0</v>
      </c>
      <c r="F728" s="17">
        <f>IFERROR(__xludf.DUMMYFUNCTION("""COMPUTED_VALUE"""),1.0)</f>
        <v>1</v>
      </c>
      <c r="G728" s="17">
        <f>IFERROR(__xludf.DUMMYFUNCTION("""COMPUTED_VALUE"""),0.0)</f>
        <v>0</v>
      </c>
      <c r="H728" s="17">
        <f>IFERROR(__xludf.DUMMYFUNCTION("""COMPUTED_VALUE"""),0.214)</f>
        <v>0.214</v>
      </c>
      <c r="I728" s="17">
        <f>IFERROR(__xludf.DUMMYFUNCTION("""COMPUTED_VALUE"""),0.268)</f>
        <v>0.268</v>
      </c>
      <c r="J728" s="17">
        <f>IFERROR(__xludf.DUMMYFUNCTION("""COMPUTED_VALUE"""),2.0)</f>
        <v>2</v>
      </c>
      <c r="K728" s="17">
        <f>IFERROR(__xludf.DUMMYFUNCTION("""COMPUTED_VALUE"""),1.0)</f>
        <v>1</v>
      </c>
      <c r="L728" s="17">
        <f>IFERROR(__xludf.DUMMYFUNCTION("""COMPUTED_VALUE"""),0.0)</f>
        <v>0</v>
      </c>
      <c r="M728" s="17">
        <f>IFERROR(__xludf.DUMMYFUNCTION("""COMPUTED_VALUE"""),1.0)</f>
        <v>1</v>
      </c>
      <c r="N728" s="17">
        <f>IFERROR(__xludf.DUMMYFUNCTION("""COMPUTED_VALUE"""),2.0)</f>
        <v>2</v>
      </c>
      <c r="O728" s="17">
        <f>IFERROR(__xludf.DUMMYFUNCTION("""COMPUTED_VALUE"""),0.296)</f>
        <v>0.296</v>
      </c>
      <c r="P728" s="17">
        <f>IFERROR(__xludf.DUMMYFUNCTION("""COMPUTED_VALUE"""),0.564)</f>
        <v>0.564</v>
      </c>
      <c r="Q728" s="34">
        <f>IFERROR(__xludf.DUMMYFUNCTION("""COMPUTED_VALUE"""),0.0)</f>
        <v>0</v>
      </c>
      <c r="R728" s="34">
        <f>IFERROR(__xludf.DUMMYFUNCTION("""COMPUTED_VALUE"""),0.0)</f>
        <v>0</v>
      </c>
      <c r="S728" s="34">
        <f>IFERROR(__xludf.DUMMYFUNCTION("""COMPUTED_VALUE"""),0.0)</f>
        <v>0</v>
      </c>
    </row>
    <row r="729">
      <c r="A729" s="17">
        <f>IFERROR(__xludf.DUMMYFUNCTION("""COMPUTED_VALUE"""),729.0)</f>
        <v>729</v>
      </c>
      <c r="B729" s="17" t="str">
        <f>IFERROR(__xludf.DUMMYFUNCTION("""COMPUTED_VALUE"""),"Luis De Los Santos (3B) FA")</f>
        <v>Luis De Los Santos (3B) FA</v>
      </c>
      <c r="C729" s="17">
        <f>IFERROR(__xludf.DUMMYFUNCTION("""COMPUTED_VALUE"""),8.0)</f>
        <v>8</v>
      </c>
      <c r="D729" s="17">
        <f>IFERROR(__xludf.DUMMYFUNCTION("""COMPUTED_VALUE"""),1.0)</f>
        <v>1</v>
      </c>
      <c r="E729" s="17">
        <f>IFERROR(__xludf.DUMMYFUNCTION("""COMPUTED_VALUE"""),0.0)</f>
        <v>0</v>
      </c>
      <c r="F729" s="17">
        <f>IFERROR(__xludf.DUMMYFUNCTION("""COMPUTED_VALUE"""),1.0)</f>
        <v>1</v>
      </c>
      <c r="G729" s="17">
        <f>IFERROR(__xludf.DUMMYFUNCTION("""COMPUTED_VALUE"""),0.0)</f>
        <v>0</v>
      </c>
      <c r="H729" s="17">
        <f>IFERROR(__xludf.DUMMYFUNCTION("""COMPUTED_VALUE"""),0.214)</f>
        <v>0.214</v>
      </c>
      <c r="I729" s="17">
        <f>IFERROR(__xludf.DUMMYFUNCTION("""COMPUTED_VALUE"""),0.266)</f>
        <v>0.266</v>
      </c>
      <c r="J729" s="17">
        <f>IFERROR(__xludf.DUMMYFUNCTION("""COMPUTED_VALUE"""),2.0)</f>
        <v>2</v>
      </c>
      <c r="K729" s="17">
        <f>IFERROR(__xludf.DUMMYFUNCTION("""COMPUTED_VALUE"""),1.0)</f>
        <v>1</v>
      </c>
      <c r="L729" s="17">
        <f>IFERROR(__xludf.DUMMYFUNCTION("""COMPUTED_VALUE"""),0.0)</f>
        <v>0</v>
      </c>
      <c r="M729" s="17">
        <f>IFERROR(__xludf.DUMMYFUNCTION("""COMPUTED_VALUE"""),1.0)</f>
        <v>1</v>
      </c>
      <c r="N729" s="17">
        <f>IFERROR(__xludf.DUMMYFUNCTION("""COMPUTED_VALUE"""),2.0)</f>
        <v>2</v>
      </c>
      <c r="O729" s="17">
        <f>IFERROR(__xludf.DUMMYFUNCTION("""COMPUTED_VALUE"""),0.289)</f>
        <v>0.289</v>
      </c>
      <c r="P729" s="17">
        <f>IFERROR(__xludf.DUMMYFUNCTION("""COMPUTED_VALUE"""),0.555)</f>
        <v>0.555</v>
      </c>
      <c r="Q729" s="34">
        <f>IFERROR(__xludf.DUMMYFUNCTION("""COMPUTED_VALUE"""),0.0)</f>
        <v>0</v>
      </c>
      <c r="R729" s="34">
        <f>IFERROR(__xludf.DUMMYFUNCTION("""COMPUTED_VALUE"""),0.0)</f>
        <v>0</v>
      </c>
      <c r="S729" s="34">
        <f>IFERROR(__xludf.DUMMYFUNCTION("""COMPUTED_VALUE"""),0.0)</f>
        <v>0</v>
      </c>
    </row>
    <row r="730">
      <c r="A730" s="17">
        <f>IFERROR(__xludf.DUMMYFUNCTION("""COMPUTED_VALUE"""),730.0)</f>
        <v>730</v>
      </c>
      <c r="B730" s="17" t="str">
        <f>IFERROR(__xludf.DUMMYFUNCTION("""COMPUTED_VALUE"""),"Joshua Palacios (LF,CF,RF) FA")</f>
        <v>Joshua Palacios (LF,CF,RF) FA</v>
      </c>
      <c r="C730" s="17">
        <f>IFERROR(__xludf.DUMMYFUNCTION("""COMPUTED_VALUE"""),8.0)</f>
        <v>8</v>
      </c>
      <c r="D730" s="17">
        <f>IFERROR(__xludf.DUMMYFUNCTION("""COMPUTED_VALUE"""),1.0)</f>
        <v>1</v>
      </c>
      <c r="E730" s="17">
        <f>IFERROR(__xludf.DUMMYFUNCTION("""COMPUTED_VALUE"""),0.0)</f>
        <v>0</v>
      </c>
      <c r="F730" s="17">
        <f>IFERROR(__xludf.DUMMYFUNCTION("""COMPUTED_VALUE"""),1.0)</f>
        <v>1</v>
      </c>
      <c r="G730" s="17">
        <f>IFERROR(__xludf.DUMMYFUNCTION("""COMPUTED_VALUE"""),0.0)</f>
        <v>0</v>
      </c>
      <c r="H730" s="17">
        <f>IFERROR(__xludf.DUMMYFUNCTION("""COMPUTED_VALUE"""),0.217)</f>
        <v>0.217</v>
      </c>
      <c r="I730" s="17">
        <f>IFERROR(__xludf.DUMMYFUNCTION("""COMPUTED_VALUE"""),0.271)</f>
        <v>0.271</v>
      </c>
      <c r="J730" s="17">
        <f>IFERROR(__xludf.DUMMYFUNCTION("""COMPUTED_VALUE"""),2.0)</f>
        <v>2</v>
      </c>
      <c r="K730" s="17">
        <f>IFERROR(__xludf.DUMMYFUNCTION("""COMPUTED_VALUE"""),1.0)</f>
        <v>1</v>
      </c>
      <c r="L730" s="17">
        <f>IFERROR(__xludf.DUMMYFUNCTION("""COMPUTED_VALUE"""),0.0)</f>
        <v>0</v>
      </c>
      <c r="M730" s="17">
        <f>IFERROR(__xludf.DUMMYFUNCTION("""COMPUTED_VALUE"""),1.0)</f>
        <v>1</v>
      </c>
      <c r="N730" s="17">
        <f>IFERROR(__xludf.DUMMYFUNCTION("""COMPUTED_VALUE"""),2.0)</f>
        <v>2</v>
      </c>
      <c r="O730" s="17">
        <f>IFERROR(__xludf.DUMMYFUNCTION("""COMPUTED_VALUE"""),0.295)</f>
        <v>0.295</v>
      </c>
      <c r="P730" s="17">
        <f>IFERROR(__xludf.DUMMYFUNCTION("""COMPUTED_VALUE"""),0.566)</f>
        <v>0.566</v>
      </c>
      <c r="Q730" s="34">
        <f>IFERROR(__xludf.DUMMYFUNCTION("""COMPUTED_VALUE"""),0.0)</f>
        <v>0</v>
      </c>
      <c r="R730" s="34">
        <f>IFERROR(__xludf.DUMMYFUNCTION("""COMPUTED_VALUE"""),0.0)</f>
        <v>0</v>
      </c>
      <c r="S730" s="34">
        <f>IFERROR(__xludf.DUMMYFUNCTION("""COMPUTED_VALUE"""),0.0)</f>
        <v>0</v>
      </c>
    </row>
    <row r="731">
      <c r="A731" s="17">
        <f>IFERROR(__xludf.DUMMYFUNCTION("""COMPUTED_VALUE"""),731.0)</f>
        <v>731</v>
      </c>
      <c r="B731" s="17" t="str">
        <f>IFERROR(__xludf.DUMMYFUNCTION("""COMPUTED_VALUE"""),"Oscar Colas (CF,RF) FA")</f>
        <v>Oscar Colas (CF,RF) FA</v>
      </c>
      <c r="C731" s="17">
        <f>IFERROR(__xludf.DUMMYFUNCTION("""COMPUTED_VALUE"""),8.0)</f>
        <v>8</v>
      </c>
      <c r="D731" s="17">
        <f>IFERROR(__xludf.DUMMYFUNCTION("""COMPUTED_VALUE"""),1.0)</f>
        <v>1</v>
      </c>
      <c r="E731" s="17">
        <f>IFERROR(__xludf.DUMMYFUNCTION("""COMPUTED_VALUE"""),0.0)</f>
        <v>0</v>
      </c>
      <c r="F731" s="17">
        <f>IFERROR(__xludf.DUMMYFUNCTION("""COMPUTED_VALUE"""),1.0)</f>
        <v>1</v>
      </c>
      <c r="G731" s="17">
        <f>IFERROR(__xludf.DUMMYFUNCTION("""COMPUTED_VALUE"""),0.0)</f>
        <v>0</v>
      </c>
      <c r="H731" s="17">
        <f>IFERROR(__xludf.DUMMYFUNCTION("""COMPUTED_VALUE"""),0.202)</f>
        <v>0.202</v>
      </c>
      <c r="I731" s="17">
        <f>IFERROR(__xludf.DUMMYFUNCTION("""COMPUTED_VALUE"""),0.254)</f>
        <v>0.254</v>
      </c>
      <c r="J731" s="17">
        <f>IFERROR(__xludf.DUMMYFUNCTION("""COMPUTED_VALUE"""),2.0)</f>
        <v>2</v>
      </c>
      <c r="K731" s="17">
        <f>IFERROR(__xludf.DUMMYFUNCTION("""COMPUTED_VALUE"""),1.0)</f>
        <v>1</v>
      </c>
      <c r="L731" s="17">
        <f>IFERROR(__xludf.DUMMYFUNCTION("""COMPUTED_VALUE"""),0.0)</f>
        <v>0</v>
      </c>
      <c r="M731" s="17">
        <f>IFERROR(__xludf.DUMMYFUNCTION("""COMPUTED_VALUE"""),1.0)</f>
        <v>1</v>
      </c>
      <c r="N731" s="17">
        <f>IFERROR(__xludf.DUMMYFUNCTION("""COMPUTED_VALUE"""),2.0)</f>
        <v>2</v>
      </c>
      <c r="O731" s="17">
        <f>IFERROR(__xludf.DUMMYFUNCTION("""COMPUTED_VALUE"""),0.275)</f>
        <v>0.275</v>
      </c>
      <c r="P731" s="17">
        <f>IFERROR(__xludf.DUMMYFUNCTION("""COMPUTED_VALUE"""),0.529)</f>
        <v>0.529</v>
      </c>
      <c r="Q731" s="34">
        <f>IFERROR(__xludf.DUMMYFUNCTION("""COMPUTED_VALUE"""),0.0)</f>
        <v>0</v>
      </c>
      <c r="R731" s="34">
        <f>IFERROR(__xludf.DUMMYFUNCTION("""COMPUTED_VALUE"""),0.0)</f>
        <v>0</v>
      </c>
      <c r="S731" s="34">
        <f>IFERROR(__xludf.DUMMYFUNCTION("""COMPUTED_VALUE"""),0.0)</f>
        <v>0</v>
      </c>
    </row>
    <row r="732">
      <c r="A732" s="17">
        <f>IFERROR(__xludf.DUMMYFUNCTION("""COMPUTED_VALUE"""),732.0)</f>
        <v>732</v>
      </c>
      <c r="B732" s="17" t="str">
        <f>IFERROR(__xludf.DUMMYFUNCTION("""COMPUTED_VALUE"""),"Tyler Gentry (DET - RF) MiLB")</f>
        <v>Tyler Gentry (DET - RF) MiLB</v>
      </c>
      <c r="C732" s="17">
        <f>IFERROR(__xludf.DUMMYFUNCTION("""COMPUTED_VALUE"""),8.0)</f>
        <v>8</v>
      </c>
      <c r="D732" s="17">
        <f>IFERROR(__xludf.DUMMYFUNCTION("""COMPUTED_VALUE"""),1.0)</f>
        <v>1</v>
      </c>
      <c r="E732" s="17">
        <f>IFERROR(__xludf.DUMMYFUNCTION("""COMPUTED_VALUE"""),0.0)</f>
        <v>0</v>
      </c>
      <c r="F732" s="17">
        <f>IFERROR(__xludf.DUMMYFUNCTION("""COMPUTED_VALUE"""),1.0)</f>
        <v>1</v>
      </c>
      <c r="G732" s="17">
        <f>IFERROR(__xludf.DUMMYFUNCTION("""COMPUTED_VALUE"""),0.0)</f>
        <v>0</v>
      </c>
      <c r="H732" s="17">
        <f>IFERROR(__xludf.DUMMYFUNCTION("""COMPUTED_VALUE"""),0.201)</f>
        <v>0.201</v>
      </c>
      <c r="I732" s="17">
        <f>IFERROR(__xludf.DUMMYFUNCTION("""COMPUTED_VALUE"""),0.293)</f>
        <v>0.293</v>
      </c>
      <c r="J732" s="17">
        <f>IFERROR(__xludf.DUMMYFUNCTION("""COMPUTED_VALUE"""),2.0)</f>
        <v>2</v>
      </c>
      <c r="K732" s="17">
        <f>IFERROR(__xludf.DUMMYFUNCTION("""COMPUTED_VALUE"""),1.0)</f>
        <v>1</v>
      </c>
      <c r="L732" s="17">
        <f>IFERROR(__xludf.DUMMYFUNCTION("""COMPUTED_VALUE"""),0.0)</f>
        <v>0</v>
      </c>
      <c r="M732" s="17">
        <f>IFERROR(__xludf.DUMMYFUNCTION("""COMPUTED_VALUE"""),1.0)</f>
        <v>1</v>
      </c>
      <c r="N732" s="17">
        <f>IFERROR(__xludf.DUMMYFUNCTION("""COMPUTED_VALUE"""),3.0)</f>
        <v>3</v>
      </c>
      <c r="O732" s="17">
        <f>IFERROR(__xludf.DUMMYFUNCTION("""COMPUTED_VALUE"""),0.273)</f>
        <v>0.273</v>
      </c>
      <c r="P732" s="17">
        <f>IFERROR(__xludf.DUMMYFUNCTION("""COMPUTED_VALUE"""),0.566)</f>
        <v>0.566</v>
      </c>
      <c r="Q732" s="34">
        <f>IFERROR(__xludf.DUMMYFUNCTION("""COMPUTED_VALUE"""),0.0)</f>
        <v>0</v>
      </c>
      <c r="R732" s="34">
        <f>IFERROR(__xludf.DUMMYFUNCTION("""COMPUTED_VALUE"""),0.0)</f>
        <v>0</v>
      </c>
      <c r="S732" s="34">
        <f>IFERROR(__xludf.DUMMYFUNCTION("""COMPUTED_VALUE"""),0.0)</f>
        <v>0</v>
      </c>
    </row>
    <row r="733">
      <c r="A733" s="17">
        <f>IFERROR(__xludf.DUMMYFUNCTION("""COMPUTED_VALUE"""),733.0)</f>
        <v>733</v>
      </c>
      <c r="B733" s="17" t="str">
        <f>IFERROR(__xludf.DUMMYFUNCTION("""COMPUTED_VALUE"""),"Jacob Amaya (ARI - SS) MiLB")</f>
        <v>Jacob Amaya (ARI - SS) MiLB</v>
      </c>
      <c r="C733" s="17">
        <f>IFERROR(__xludf.DUMMYFUNCTION("""COMPUTED_VALUE"""),8.0)</f>
        <v>8</v>
      </c>
      <c r="D733" s="17">
        <f>IFERROR(__xludf.DUMMYFUNCTION("""COMPUTED_VALUE"""),1.0)</f>
        <v>1</v>
      </c>
      <c r="E733" s="17">
        <f>IFERROR(__xludf.DUMMYFUNCTION("""COMPUTED_VALUE"""),0.0)</f>
        <v>0</v>
      </c>
      <c r="F733" s="17">
        <f>IFERROR(__xludf.DUMMYFUNCTION("""COMPUTED_VALUE"""),1.0)</f>
        <v>1</v>
      </c>
      <c r="G733" s="17">
        <f>IFERROR(__xludf.DUMMYFUNCTION("""COMPUTED_VALUE"""),0.0)</f>
        <v>0</v>
      </c>
      <c r="H733" s="17">
        <f>IFERROR(__xludf.DUMMYFUNCTION("""COMPUTED_VALUE"""),0.201)</f>
        <v>0.201</v>
      </c>
      <c r="I733" s="17">
        <f>IFERROR(__xludf.DUMMYFUNCTION("""COMPUTED_VALUE"""),0.293)</f>
        <v>0.293</v>
      </c>
      <c r="J733" s="17">
        <f>IFERROR(__xludf.DUMMYFUNCTION("""COMPUTED_VALUE"""),2.0)</f>
        <v>2</v>
      </c>
      <c r="K733" s="17">
        <f>IFERROR(__xludf.DUMMYFUNCTION("""COMPUTED_VALUE"""),1.0)</f>
        <v>1</v>
      </c>
      <c r="L733" s="17">
        <f>IFERROR(__xludf.DUMMYFUNCTION("""COMPUTED_VALUE"""),0.0)</f>
        <v>0</v>
      </c>
      <c r="M733" s="17">
        <f>IFERROR(__xludf.DUMMYFUNCTION("""COMPUTED_VALUE"""),1.0)</f>
        <v>1</v>
      </c>
      <c r="N733" s="17">
        <f>IFERROR(__xludf.DUMMYFUNCTION("""COMPUTED_VALUE"""),3.0)</f>
        <v>3</v>
      </c>
      <c r="O733" s="17">
        <f>IFERROR(__xludf.DUMMYFUNCTION("""COMPUTED_VALUE"""),0.272)</f>
        <v>0.272</v>
      </c>
      <c r="P733" s="17">
        <f>IFERROR(__xludf.DUMMYFUNCTION("""COMPUTED_VALUE"""),0.565)</f>
        <v>0.565</v>
      </c>
      <c r="Q733" s="34">
        <f>IFERROR(__xludf.DUMMYFUNCTION("""COMPUTED_VALUE"""),0.0)</f>
        <v>0</v>
      </c>
      <c r="R733" s="34">
        <f>IFERROR(__xludf.DUMMYFUNCTION("""COMPUTED_VALUE"""),0.0)</f>
        <v>0</v>
      </c>
      <c r="S733" s="34">
        <f>IFERROR(__xludf.DUMMYFUNCTION("""COMPUTED_VALUE"""),0.0)</f>
        <v>0</v>
      </c>
    </row>
    <row r="734">
      <c r="A734" s="17">
        <f>IFERROR(__xludf.DUMMYFUNCTION("""COMPUTED_VALUE"""),734.0)</f>
        <v>734</v>
      </c>
      <c r="B734" s="17" t="str">
        <f>IFERROR(__xludf.DUMMYFUNCTION("""COMPUTED_VALUE"""),"Emmanuel Rivera (1B,3B) FA")</f>
        <v>Emmanuel Rivera (1B,3B) FA</v>
      </c>
      <c r="C734" s="17">
        <f>IFERROR(__xludf.DUMMYFUNCTION("""COMPUTED_VALUE"""),8.0)</f>
        <v>8</v>
      </c>
      <c r="D734" s="17">
        <f>IFERROR(__xludf.DUMMYFUNCTION("""COMPUTED_VALUE"""),1.0)</f>
        <v>1</v>
      </c>
      <c r="E734" s="17">
        <f>IFERROR(__xludf.DUMMYFUNCTION("""COMPUTED_VALUE"""),0.0)</f>
        <v>0</v>
      </c>
      <c r="F734" s="17">
        <f>IFERROR(__xludf.DUMMYFUNCTION("""COMPUTED_VALUE"""),1.0)</f>
        <v>1</v>
      </c>
      <c r="G734" s="17">
        <f>IFERROR(__xludf.DUMMYFUNCTION("""COMPUTED_VALUE"""),0.0)</f>
        <v>0</v>
      </c>
      <c r="H734" s="17">
        <f>IFERROR(__xludf.DUMMYFUNCTION("""COMPUTED_VALUE"""),0.218)</f>
        <v>0.218</v>
      </c>
      <c r="I734" s="17">
        <f>IFERROR(__xludf.DUMMYFUNCTION("""COMPUTED_VALUE"""),0.271)</f>
        <v>0.271</v>
      </c>
      <c r="J734" s="17">
        <f>IFERROR(__xludf.DUMMYFUNCTION("""COMPUTED_VALUE"""),2.0)</f>
        <v>2</v>
      </c>
      <c r="K734" s="17">
        <f>IFERROR(__xludf.DUMMYFUNCTION("""COMPUTED_VALUE"""),1.0)</f>
        <v>1</v>
      </c>
      <c r="L734" s="17">
        <f>IFERROR(__xludf.DUMMYFUNCTION("""COMPUTED_VALUE"""),0.0)</f>
        <v>0</v>
      </c>
      <c r="M734" s="17">
        <f>IFERROR(__xludf.DUMMYFUNCTION("""COMPUTED_VALUE"""),1.0)</f>
        <v>1</v>
      </c>
      <c r="N734" s="17">
        <f>IFERROR(__xludf.DUMMYFUNCTION("""COMPUTED_VALUE"""),2.0)</f>
        <v>2</v>
      </c>
      <c r="O734" s="17">
        <f>IFERROR(__xludf.DUMMYFUNCTION("""COMPUTED_VALUE"""),0.295)</f>
        <v>0.295</v>
      </c>
      <c r="P734" s="17">
        <f>IFERROR(__xludf.DUMMYFUNCTION("""COMPUTED_VALUE"""),0.566)</f>
        <v>0.566</v>
      </c>
      <c r="Q734" s="34">
        <f>IFERROR(__xludf.DUMMYFUNCTION("""COMPUTED_VALUE"""),0.0)</f>
        <v>0</v>
      </c>
      <c r="R734" s="34">
        <f>IFERROR(__xludf.DUMMYFUNCTION("""COMPUTED_VALUE"""),0.0)</f>
        <v>0</v>
      </c>
      <c r="S734" s="34">
        <f>IFERROR(__xludf.DUMMYFUNCTION("""COMPUTED_VALUE"""),0.0)</f>
        <v>0</v>
      </c>
    </row>
    <row r="735">
      <c r="A735" s="17">
        <f>IFERROR(__xludf.DUMMYFUNCTION("""COMPUTED_VALUE"""),735.0)</f>
        <v>735</v>
      </c>
      <c r="B735" s="17" t="str">
        <f>IFERROR(__xludf.DUMMYFUNCTION("""COMPUTED_VALUE"""),"Clay Dungan (SD - SS) MiLB")</f>
        <v>Clay Dungan (SD - SS) MiLB</v>
      </c>
      <c r="C735" s="17">
        <f>IFERROR(__xludf.DUMMYFUNCTION("""COMPUTED_VALUE"""),8.0)</f>
        <v>8</v>
      </c>
      <c r="D735" s="17">
        <f>IFERROR(__xludf.DUMMYFUNCTION("""COMPUTED_VALUE"""),1.0)</f>
        <v>1</v>
      </c>
      <c r="E735" s="17">
        <f>IFERROR(__xludf.DUMMYFUNCTION("""COMPUTED_VALUE"""),0.0)</f>
        <v>0</v>
      </c>
      <c r="F735" s="17">
        <f>IFERROR(__xludf.DUMMYFUNCTION("""COMPUTED_VALUE"""),1.0)</f>
        <v>1</v>
      </c>
      <c r="G735" s="17">
        <f>IFERROR(__xludf.DUMMYFUNCTION("""COMPUTED_VALUE"""),0.0)</f>
        <v>0</v>
      </c>
      <c r="H735" s="17">
        <f>IFERROR(__xludf.DUMMYFUNCTION("""COMPUTED_VALUE"""),0.201)</f>
        <v>0.201</v>
      </c>
      <c r="I735" s="17">
        <f>IFERROR(__xludf.DUMMYFUNCTION("""COMPUTED_VALUE"""),0.294)</f>
        <v>0.294</v>
      </c>
      <c r="J735" s="17">
        <f>IFERROR(__xludf.DUMMYFUNCTION("""COMPUTED_VALUE"""),2.0)</f>
        <v>2</v>
      </c>
      <c r="K735" s="17">
        <f>IFERROR(__xludf.DUMMYFUNCTION("""COMPUTED_VALUE"""),1.0)</f>
        <v>1</v>
      </c>
      <c r="L735" s="17">
        <f>IFERROR(__xludf.DUMMYFUNCTION("""COMPUTED_VALUE"""),0.0)</f>
        <v>0</v>
      </c>
      <c r="M735" s="17">
        <f>IFERROR(__xludf.DUMMYFUNCTION("""COMPUTED_VALUE"""),1.0)</f>
        <v>1</v>
      </c>
      <c r="N735" s="17">
        <f>IFERROR(__xludf.DUMMYFUNCTION("""COMPUTED_VALUE"""),3.0)</f>
        <v>3</v>
      </c>
      <c r="O735" s="17">
        <f>IFERROR(__xludf.DUMMYFUNCTION("""COMPUTED_VALUE"""),0.27)</f>
        <v>0.27</v>
      </c>
      <c r="P735" s="17">
        <f>IFERROR(__xludf.DUMMYFUNCTION("""COMPUTED_VALUE"""),0.564)</f>
        <v>0.564</v>
      </c>
      <c r="Q735" s="34">
        <f>IFERROR(__xludf.DUMMYFUNCTION("""COMPUTED_VALUE"""),0.0)</f>
        <v>0</v>
      </c>
      <c r="R735" s="34">
        <f>IFERROR(__xludf.DUMMYFUNCTION("""COMPUTED_VALUE"""),0.0)</f>
        <v>0</v>
      </c>
      <c r="S735" s="34">
        <f>IFERROR(__xludf.DUMMYFUNCTION("""COMPUTED_VALUE"""),0.0)</f>
        <v>0</v>
      </c>
    </row>
    <row r="736">
      <c r="A736" s="17">
        <f>IFERROR(__xludf.DUMMYFUNCTION("""COMPUTED_VALUE"""),736.0)</f>
        <v>736</v>
      </c>
      <c r="B736" s="17" t="str">
        <f>IFERROR(__xludf.DUMMYFUNCTION("""COMPUTED_VALUE"""),"Grae Kessinger (NYM - 2B,3B) MiLB")</f>
        <v>Grae Kessinger (NYM - 2B,3B) MiLB</v>
      </c>
      <c r="C736" s="17">
        <f>IFERROR(__xludf.DUMMYFUNCTION("""COMPUTED_VALUE"""),8.0)</f>
        <v>8</v>
      </c>
      <c r="D736" s="17">
        <f>IFERROR(__xludf.DUMMYFUNCTION("""COMPUTED_VALUE"""),1.0)</f>
        <v>1</v>
      </c>
      <c r="E736" s="17">
        <f>IFERROR(__xludf.DUMMYFUNCTION("""COMPUTED_VALUE"""),0.0)</f>
        <v>0</v>
      </c>
      <c r="F736" s="17">
        <f>IFERROR(__xludf.DUMMYFUNCTION("""COMPUTED_VALUE"""),1.0)</f>
        <v>1</v>
      </c>
      <c r="G736" s="17">
        <f>IFERROR(__xludf.DUMMYFUNCTION("""COMPUTED_VALUE"""),0.0)</f>
        <v>0</v>
      </c>
      <c r="H736" s="17">
        <f>IFERROR(__xludf.DUMMYFUNCTION("""COMPUTED_VALUE"""),0.2)</f>
        <v>0.2</v>
      </c>
      <c r="I736" s="17">
        <f>IFERROR(__xludf.DUMMYFUNCTION("""COMPUTED_VALUE"""),0.293)</f>
        <v>0.293</v>
      </c>
      <c r="J736" s="17">
        <f>IFERROR(__xludf.DUMMYFUNCTION("""COMPUTED_VALUE"""),2.0)</f>
        <v>2</v>
      </c>
      <c r="K736" s="17">
        <f>IFERROR(__xludf.DUMMYFUNCTION("""COMPUTED_VALUE"""),1.0)</f>
        <v>1</v>
      </c>
      <c r="L736" s="17">
        <f>IFERROR(__xludf.DUMMYFUNCTION("""COMPUTED_VALUE"""),0.0)</f>
        <v>0</v>
      </c>
      <c r="M736" s="17">
        <f>IFERROR(__xludf.DUMMYFUNCTION("""COMPUTED_VALUE"""),1.0)</f>
        <v>1</v>
      </c>
      <c r="N736" s="17">
        <f>IFERROR(__xludf.DUMMYFUNCTION("""COMPUTED_VALUE"""),3.0)</f>
        <v>3</v>
      </c>
      <c r="O736" s="17">
        <f>IFERROR(__xludf.DUMMYFUNCTION("""COMPUTED_VALUE"""),0.268)</f>
        <v>0.268</v>
      </c>
      <c r="P736" s="17">
        <f>IFERROR(__xludf.DUMMYFUNCTION("""COMPUTED_VALUE"""),0.562)</f>
        <v>0.562</v>
      </c>
      <c r="Q736" s="34">
        <f>IFERROR(__xludf.DUMMYFUNCTION("""COMPUTED_VALUE"""),0.0)</f>
        <v>0</v>
      </c>
      <c r="R736" s="34">
        <f>IFERROR(__xludf.DUMMYFUNCTION("""COMPUTED_VALUE"""),0.0)</f>
        <v>0</v>
      </c>
      <c r="S736" s="34">
        <f>IFERROR(__xludf.DUMMYFUNCTION("""COMPUTED_VALUE"""),0.0)</f>
        <v>0</v>
      </c>
    </row>
    <row r="737">
      <c r="A737" s="17">
        <f>IFERROR(__xludf.DUMMYFUNCTION("""COMPUTED_VALUE"""),737.0)</f>
        <v>737</v>
      </c>
      <c r="B737" s="17" t="str">
        <f>IFERROR(__xludf.DUMMYFUNCTION("""COMPUTED_VALUE"""),"Buddy Kennedy (SF - 3B) MiLB")</f>
        <v>Buddy Kennedy (SF - 3B) MiLB</v>
      </c>
      <c r="C737" s="17">
        <f>IFERROR(__xludf.DUMMYFUNCTION("""COMPUTED_VALUE"""),8.0)</f>
        <v>8</v>
      </c>
      <c r="D737" s="17">
        <f>IFERROR(__xludf.DUMMYFUNCTION("""COMPUTED_VALUE"""),1.0)</f>
        <v>1</v>
      </c>
      <c r="E737" s="17">
        <f>IFERROR(__xludf.DUMMYFUNCTION("""COMPUTED_VALUE"""),0.0)</f>
        <v>0</v>
      </c>
      <c r="F737" s="17">
        <f>IFERROR(__xludf.DUMMYFUNCTION("""COMPUTED_VALUE"""),1.0)</f>
        <v>1</v>
      </c>
      <c r="G737" s="17">
        <f>IFERROR(__xludf.DUMMYFUNCTION("""COMPUTED_VALUE"""),0.0)</f>
        <v>0</v>
      </c>
      <c r="H737" s="17">
        <f>IFERROR(__xludf.DUMMYFUNCTION("""COMPUTED_VALUE"""),0.264)</f>
        <v>0.264</v>
      </c>
      <c r="I737" s="17">
        <f>IFERROR(__xludf.DUMMYFUNCTION("""COMPUTED_VALUE"""),0.35)</f>
        <v>0.35</v>
      </c>
      <c r="J737" s="17">
        <f>IFERROR(__xludf.DUMMYFUNCTION("""COMPUTED_VALUE"""),2.0)</f>
        <v>2</v>
      </c>
      <c r="K737" s="17">
        <f>IFERROR(__xludf.DUMMYFUNCTION("""COMPUTED_VALUE"""),1.0)</f>
        <v>1</v>
      </c>
      <c r="L737" s="17">
        <f>IFERROR(__xludf.DUMMYFUNCTION("""COMPUTED_VALUE"""),0.0)</f>
        <v>0</v>
      </c>
      <c r="M737" s="17">
        <f>IFERROR(__xludf.DUMMYFUNCTION("""COMPUTED_VALUE"""),1.0)</f>
        <v>1</v>
      </c>
      <c r="N737" s="17">
        <f>IFERROR(__xludf.DUMMYFUNCTION("""COMPUTED_VALUE"""),2.0)</f>
        <v>2</v>
      </c>
      <c r="O737" s="17">
        <f>IFERROR(__xludf.DUMMYFUNCTION("""COMPUTED_VALUE"""),0.334)</f>
        <v>0.334</v>
      </c>
      <c r="P737" s="17">
        <f>IFERROR(__xludf.DUMMYFUNCTION("""COMPUTED_VALUE"""),0.684)</f>
        <v>0.684</v>
      </c>
      <c r="Q737" s="34">
        <f>IFERROR(__xludf.DUMMYFUNCTION("""COMPUTED_VALUE"""),0.0)</f>
        <v>0</v>
      </c>
      <c r="R737" s="34">
        <f>IFERROR(__xludf.DUMMYFUNCTION("""COMPUTED_VALUE"""),0.0)</f>
        <v>0</v>
      </c>
      <c r="S737" s="34">
        <f>IFERROR(__xludf.DUMMYFUNCTION("""COMPUTED_VALUE"""),0.0)</f>
        <v>0</v>
      </c>
    </row>
    <row r="738">
      <c r="A738" s="17">
        <f>IFERROR(__xludf.DUMMYFUNCTION("""COMPUTED_VALUE"""),738.0)</f>
        <v>738</v>
      </c>
      <c r="B738" s="17" t="str">
        <f>IFERROR(__xludf.DUMMYFUNCTION("""COMPUTED_VALUE"""),"Oscar Gonzalez (LF) FA")</f>
        <v>Oscar Gonzalez (LF) FA</v>
      </c>
      <c r="C738" s="17">
        <f>IFERROR(__xludf.DUMMYFUNCTION("""COMPUTED_VALUE"""),8.0)</f>
        <v>8</v>
      </c>
      <c r="D738" s="17">
        <f>IFERROR(__xludf.DUMMYFUNCTION("""COMPUTED_VALUE"""),1.0)</f>
        <v>1</v>
      </c>
      <c r="E738" s="17">
        <f>IFERROR(__xludf.DUMMYFUNCTION("""COMPUTED_VALUE"""),0.0)</f>
        <v>0</v>
      </c>
      <c r="F738" s="17">
        <f>IFERROR(__xludf.DUMMYFUNCTION("""COMPUTED_VALUE"""),1.0)</f>
        <v>1</v>
      </c>
      <c r="G738" s="17">
        <f>IFERROR(__xludf.DUMMYFUNCTION("""COMPUTED_VALUE"""),0.0)</f>
        <v>0</v>
      </c>
      <c r="H738" s="17">
        <f>IFERROR(__xludf.DUMMYFUNCTION("""COMPUTED_VALUE"""),0.265)</f>
        <v>0.265</v>
      </c>
      <c r="I738" s="17">
        <f>IFERROR(__xludf.DUMMYFUNCTION("""COMPUTED_VALUE"""),0.309)</f>
        <v>0.309</v>
      </c>
      <c r="J738" s="17">
        <f>IFERROR(__xludf.DUMMYFUNCTION("""COMPUTED_VALUE"""),2.0)</f>
        <v>2</v>
      </c>
      <c r="K738" s="17">
        <f>IFERROR(__xludf.DUMMYFUNCTION("""COMPUTED_VALUE"""),1.0)</f>
        <v>1</v>
      </c>
      <c r="L738" s="17">
        <f>IFERROR(__xludf.DUMMYFUNCTION("""COMPUTED_VALUE"""),0.0)</f>
        <v>0</v>
      </c>
      <c r="M738" s="17">
        <f>IFERROR(__xludf.DUMMYFUNCTION("""COMPUTED_VALUE"""),1.0)</f>
        <v>1</v>
      </c>
      <c r="N738" s="17">
        <f>IFERROR(__xludf.DUMMYFUNCTION("""COMPUTED_VALUE"""),2.0)</f>
        <v>2</v>
      </c>
      <c r="O738" s="17">
        <f>IFERROR(__xludf.DUMMYFUNCTION("""COMPUTED_VALUE"""),0.34)</f>
        <v>0.34</v>
      </c>
      <c r="P738" s="17">
        <f>IFERROR(__xludf.DUMMYFUNCTION("""COMPUTED_VALUE"""),0.649)</f>
        <v>0.649</v>
      </c>
      <c r="Q738" s="34">
        <f>IFERROR(__xludf.DUMMYFUNCTION("""COMPUTED_VALUE"""),0.0)</f>
        <v>0</v>
      </c>
      <c r="R738" s="34">
        <f>IFERROR(__xludf.DUMMYFUNCTION("""COMPUTED_VALUE"""),0.0)</f>
        <v>0</v>
      </c>
      <c r="S738" s="34">
        <f>IFERROR(__xludf.DUMMYFUNCTION("""COMPUTED_VALUE"""),0.0)</f>
        <v>0</v>
      </c>
    </row>
    <row r="739">
      <c r="A739" s="17">
        <f>IFERROR(__xludf.DUMMYFUNCTION("""COMPUTED_VALUE"""),739.0)</f>
        <v>739</v>
      </c>
      <c r="B739" s="17" t="str">
        <f>IFERROR(__xludf.DUMMYFUNCTION("""COMPUTED_VALUE"""),"Michael Stefanic (ATH - 2B) MiLB")</f>
        <v>Michael Stefanic (ATH - 2B) MiLB</v>
      </c>
      <c r="C739" s="17">
        <f>IFERROR(__xludf.DUMMYFUNCTION("""COMPUTED_VALUE"""),8.0)</f>
        <v>8</v>
      </c>
      <c r="D739" s="17">
        <f>IFERROR(__xludf.DUMMYFUNCTION("""COMPUTED_VALUE"""),1.0)</f>
        <v>1</v>
      </c>
      <c r="E739" s="17">
        <f>IFERROR(__xludf.DUMMYFUNCTION("""COMPUTED_VALUE"""),0.0)</f>
        <v>0</v>
      </c>
      <c r="F739" s="17">
        <f>IFERROR(__xludf.DUMMYFUNCTION("""COMPUTED_VALUE"""),1.0)</f>
        <v>1</v>
      </c>
      <c r="G739" s="17">
        <f>IFERROR(__xludf.DUMMYFUNCTION("""COMPUTED_VALUE"""),0.0)</f>
        <v>0</v>
      </c>
      <c r="H739" s="17">
        <f>IFERROR(__xludf.DUMMYFUNCTION("""COMPUTED_VALUE"""),0.283)</f>
        <v>0.283</v>
      </c>
      <c r="I739" s="17">
        <f>IFERROR(__xludf.DUMMYFUNCTION("""COMPUTED_VALUE"""),0.372)</f>
        <v>0.372</v>
      </c>
      <c r="J739" s="17">
        <f>IFERROR(__xludf.DUMMYFUNCTION("""COMPUTED_VALUE"""),2.0)</f>
        <v>2</v>
      </c>
      <c r="K739" s="17">
        <f>IFERROR(__xludf.DUMMYFUNCTION("""COMPUTED_VALUE"""),1.0)</f>
        <v>1</v>
      </c>
      <c r="L739" s="17">
        <f>IFERROR(__xludf.DUMMYFUNCTION("""COMPUTED_VALUE"""),0.0)</f>
        <v>0</v>
      </c>
      <c r="M739" s="17">
        <f>IFERROR(__xludf.DUMMYFUNCTION("""COMPUTED_VALUE"""),1.0)</f>
        <v>1</v>
      </c>
      <c r="N739" s="17">
        <f>IFERROR(__xludf.DUMMYFUNCTION("""COMPUTED_VALUE"""),1.0)</f>
        <v>1</v>
      </c>
      <c r="O739" s="17">
        <f>IFERROR(__xludf.DUMMYFUNCTION("""COMPUTED_VALUE"""),0.356)</f>
        <v>0.356</v>
      </c>
      <c r="P739" s="17">
        <f>IFERROR(__xludf.DUMMYFUNCTION("""COMPUTED_VALUE"""),0.728)</f>
        <v>0.728</v>
      </c>
      <c r="Q739" s="34">
        <f>IFERROR(__xludf.DUMMYFUNCTION("""COMPUTED_VALUE"""),0.0)</f>
        <v>0</v>
      </c>
      <c r="R739" s="34">
        <f>IFERROR(__xludf.DUMMYFUNCTION("""COMPUTED_VALUE"""),0.0)</f>
        <v>0</v>
      </c>
      <c r="S739" s="34">
        <f>IFERROR(__xludf.DUMMYFUNCTION("""COMPUTED_VALUE"""),0.0)</f>
        <v>0</v>
      </c>
    </row>
    <row r="740">
      <c r="A740" s="17">
        <f>IFERROR(__xludf.DUMMYFUNCTION("""COMPUTED_VALUE"""),740.0)</f>
        <v>740</v>
      </c>
      <c r="B740" s="17" t="str">
        <f>IFERROR(__xludf.DUMMYFUNCTION("""COMPUTED_VALUE"""),"Jonah Bride (TEX - 1B,3B) MiLB")</f>
        <v>Jonah Bride (TEX - 1B,3B) MiLB</v>
      </c>
      <c r="C740" s="17">
        <f>IFERROR(__xludf.DUMMYFUNCTION("""COMPUTED_VALUE"""),8.0)</f>
        <v>8</v>
      </c>
      <c r="D740" s="17">
        <f>IFERROR(__xludf.DUMMYFUNCTION("""COMPUTED_VALUE"""),1.0)</f>
        <v>1</v>
      </c>
      <c r="E740" s="17">
        <f>IFERROR(__xludf.DUMMYFUNCTION("""COMPUTED_VALUE"""),0.0)</f>
        <v>0</v>
      </c>
      <c r="F740" s="17">
        <f>IFERROR(__xludf.DUMMYFUNCTION("""COMPUTED_VALUE"""),1.0)</f>
        <v>1</v>
      </c>
      <c r="G740" s="17">
        <f>IFERROR(__xludf.DUMMYFUNCTION("""COMPUTED_VALUE"""),0.0)</f>
        <v>0</v>
      </c>
      <c r="H740" s="17">
        <f>IFERROR(__xludf.DUMMYFUNCTION("""COMPUTED_VALUE"""),0.206)</f>
        <v>0.206</v>
      </c>
      <c r="I740" s="17">
        <f>IFERROR(__xludf.DUMMYFUNCTION("""COMPUTED_VALUE"""),0.313)</f>
        <v>0.313</v>
      </c>
      <c r="J740" s="17">
        <f>IFERROR(__xludf.DUMMYFUNCTION("""COMPUTED_VALUE"""),2.0)</f>
        <v>2</v>
      </c>
      <c r="K740" s="17">
        <f>IFERROR(__xludf.DUMMYFUNCTION("""COMPUTED_VALUE"""),0.0)</f>
        <v>0</v>
      </c>
      <c r="L740" s="17">
        <f>IFERROR(__xludf.DUMMYFUNCTION("""COMPUTED_VALUE"""),0.0)</f>
        <v>0</v>
      </c>
      <c r="M740" s="17">
        <f>IFERROR(__xludf.DUMMYFUNCTION("""COMPUTED_VALUE"""),1.0)</f>
        <v>1</v>
      </c>
      <c r="N740" s="17">
        <f>IFERROR(__xludf.DUMMYFUNCTION("""COMPUTED_VALUE"""),2.0)</f>
        <v>2</v>
      </c>
      <c r="O740" s="17">
        <f>IFERROR(__xludf.DUMMYFUNCTION("""COMPUTED_VALUE"""),0.273)</f>
        <v>0.273</v>
      </c>
      <c r="P740" s="17">
        <f>IFERROR(__xludf.DUMMYFUNCTION("""COMPUTED_VALUE"""),0.585)</f>
        <v>0.585</v>
      </c>
      <c r="Q740" s="34">
        <f>IFERROR(__xludf.DUMMYFUNCTION("""COMPUTED_VALUE"""),0.0)</f>
        <v>0</v>
      </c>
      <c r="R740" s="34">
        <f>IFERROR(__xludf.DUMMYFUNCTION("""COMPUTED_VALUE"""),0.0)</f>
        <v>0</v>
      </c>
      <c r="S740" s="34">
        <f>IFERROR(__xludf.DUMMYFUNCTION("""COMPUTED_VALUE"""),0.0)</f>
        <v>0</v>
      </c>
    </row>
    <row r="741">
      <c r="A741" s="17">
        <f>IFERROR(__xludf.DUMMYFUNCTION("""COMPUTED_VALUE"""),741.0)</f>
        <v>741</v>
      </c>
      <c r="B741" s="17" t="str">
        <f>IFERROR(__xludf.DUMMYFUNCTION("""COMPUTED_VALUE"""),"Blake Sabol (TB - C) MiLB")</f>
        <v>Blake Sabol (TB - C) MiLB</v>
      </c>
      <c r="C741" s="17">
        <f>IFERROR(__xludf.DUMMYFUNCTION("""COMPUTED_VALUE"""),8.0)</f>
        <v>8</v>
      </c>
      <c r="D741" s="17">
        <f>IFERROR(__xludf.DUMMYFUNCTION("""COMPUTED_VALUE"""),1.0)</f>
        <v>1</v>
      </c>
      <c r="E741" s="17">
        <f>IFERROR(__xludf.DUMMYFUNCTION("""COMPUTED_VALUE"""),0.0)</f>
        <v>0</v>
      </c>
      <c r="F741" s="17">
        <f>IFERROR(__xludf.DUMMYFUNCTION("""COMPUTED_VALUE"""),1.0)</f>
        <v>1</v>
      </c>
      <c r="G741" s="17">
        <f>IFERROR(__xludf.DUMMYFUNCTION("""COMPUTED_VALUE"""),0.0)</f>
        <v>0</v>
      </c>
      <c r="H741" s="17">
        <f>IFERROR(__xludf.DUMMYFUNCTION("""COMPUTED_VALUE"""),0.2)</f>
        <v>0.2</v>
      </c>
      <c r="I741" s="17">
        <f>IFERROR(__xludf.DUMMYFUNCTION("""COMPUTED_VALUE"""),0.292)</f>
        <v>0.292</v>
      </c>
      <c r="J741" s="17">
        <f>IFERROR(__xludf.DUMMYFUNCTION("""COMPUTED_VALUE"""),2.0)</f>
        <v>2</v>
      </c>
      <c r="K741" s="17">
        <f>IFERROR(__xludf.DUMMYFUNCTION("""COMPUTED_VALUE"""),1.0)</f>
        <v>1</v>
      </c>
      <c r="L741" s="17">
        <f>IFERROR(__xludf.DUMMYFUNCTION("""COMPUTED_VALUE"""),0.0)</f>
        <v>0</v>
      </c>
      <c r="M741" s="17">
        <f>IFERROR(__xludf.DUMMYFUNCTION("""COMPUTED_VALUE"""),1.0)</f>
        <v>1</v>
      </c>
      <c r="N741" s="17">
        <f>IFERROR(__xludf.DUMMYFUNCTION("""COMPUTED_VALUE"""),3.0)</f>
        <v>3</v>
      </c>
      <c r="O741" s="17">
        <f>IFERROR(__xludf.DUMMYFUNCTION("""COMPUTED_VALUE"""),0.271)</f>
        <v>0.271</v>
      </c>
      <c r="P741" s="17">
        <f>IFERROR(__xludf.DUMMYFUNCTION("""COMPUTED_VALUE"""),0.563)</f>
        <v>0.563</v>
      </c>
      <c r="Q741" s="34">
        <f>IFERROR(__xludf.DUMMYFUNCTION("""COMPUTED_VALUE"""),0.0)</f>
        <v>0</v>
      </c>
      <c r="R741" s="34">
        <f>IFERROR(__xludf.DUMMYFUNCTION("""COMPUTED_VALUE"""),0.0)</f>
        <v>0</v>
      </c>
      <c r="S741" s="34">
        <f>IFERROR(__xludf.DUMMYFUNCTION("""COMPUTED_VALUE"""),0.0)</f>
        <v>0</v>
      </c>
    </row>
    <row r="742">
      <c r="A742" s="17">
        <f>IFERROR(__xludf.DUMMYFUNCTION("""COMPUTED_VALUE"""),742.0)</f>
        <v>742</v>
      </c>
      <c r="B742" s="17" t="str">
        <f>IFERROR(__xludf.DUMMYFUNCTION("""COMPUTED_VALUE"""),"Vinny Capra (BOS - 3B,SS) MiLB")</f>
        <v>Vinny Capra (BOS - 3B,SS) MiLB</v>
      </c>
      <c r="C742" s="17">
        <f>IFERROR(__xludf.DUMMYFUNCTION("""COMPUTED_VALUE"""),8.0)</f>
        <v>8</v>
      </c>
      <c r="D742" s="17">
        <f>IFERROR(__xludf.DUMMYFUNCTION("""COMPUTED_VALUE"""),1.0)</f>
        <v>1</v>
      </c>
      <c r="E742" s="17">
        <f>IFERROR(__xludf.DUMMYFUNCTION("""COMPUTED_VALUE"""),0.0)</f>
        <v>0</v>
      </c>
      <c r="F742" s="17">
        <f>IFERROR(__xludf.DUMMYFUNCTION("""COMPUTED_VALUE"""),1.0)</f>
        <v>1</v>
      </c>
      <c r="G742" s="17">
        <f>IFERROR(__xludf.DUMMYFUNCTION("""COMPUTED_VALUE"""),0.0)</f>
        <v>0</v>
      </c>
      <c r="H742" s="17">
        <f>IFERROR(__xludf.DUMMYFUNCTION("""COMPUTED_VALUE"""),0.203)</f>
        <v>0.203</v>
      </c>
      <c r="I742" s="17">
        <f>IFERROR(__xludf.DUMMYFUNCTION("""COMPUTED_VALUE"""),0.295)</f>
        <v>0.295</v>
      </c>
      <c r="J742" s="17">
        <f>IFERROR(__xludf.DUMMYFUNCTION("""COMPUTED_VALUE"""),2.0)</f>
        <v>2</v>
      </c>
      <c r="K742" s="17">
        <f>IFERROR(__xludf.DUMMYFUNCTION("""COMPUTED_VALUE"""),1.0)</f>
        <v>1</v>
      </c>
      <c r="L742" s="17">
        <f>IFERROR(__xludf.DUMMYFUNCTION("""COMPUTED_VALUE"""),0.0)</f>
        <v>0</v>
      </c>
      <c r="M742" s="17">
        <f>IFERROR(__xludf.DUMMYFUNCTION("""COMPUTED_VALUE"""),1.0)</f>
        <v>1</v>
      </c>
      <c r="N742" s="17">
        <f>IFERROR(__xludf.DUMMYFUNCTION("""COMPUTED_VALUE"""),2.0)</f>
        <v>2</v>
      </c>
      <c r="O742" s="17">
        <f>IFERROR(__xludf.DUMMYFUNCTION("""COMPUTED_VALUE"""),0.273)</f>
        <v>0.273</v>
      </c>
      <c r="P742" s="17">
        <f>IFERROR(__xludf.DUMMYFUNCTION("""COMPUTED_VALUE"""),0.569)</f>
        <v>0.569</v>
      </c>
      <c r="Q742" s="34">
        <f>IFERROR(__xludf.DUMMYFUNCTION("""COMPUTED_VALUE"""),0.0)</f>
        <v>0</v>
      </c>
      <c r="R742" s="34">
        <f>IFERROR(__xludf.DUMMYFUNCTION("""COMPUTED_VALUE"""),0.0)</f>
        <v>0</v>
      </c>
      <c r="S742" s="34">
        <f>IFERROR(__xludf.DUMMYFUNCTION("""COMPUTED_VALUE"""),0.0)</f>
        <v>0</v>
      </c>
    </row>
    <row r="743">
      <c r="A743" s="17">
        <f>IFERROR(__xludf.DUMMYFUNCTION("""COMPUTED_VALUE"""),743.0)</f>
        <v>743</v>
      </c>
      <c r="B743" s="17" t="str">
        <f>IFERROR(__xludf.DUMMYFUNCTION("""COMPUTED_VALUE"""),"Luke Ritter (DET - 3B) MiLB")</f>
        <v>Luke Ritter (DET - 3B) MiLB</v>
      </c>
      <c r="C743" s="17">
        <f>IFERROR(__xludf.DUMMYFUNCTION("""COMPUTED_VALUE"""),8.0)</f>
        <v>8</v>
      </c>
      <c r="D743" s="17">
        <f>IFERROR(__xludf.DUMMYFUNCTION("""COMPUTED_VALUE"""),1.0)</f>
        <v>1</v>
      </c>
      <c r="E743" s="17">
        <f>IFERROR(__xludf.DUMMYFUNCTION("""COMPUTED_VALUE"""),0.0)</f>
        <v>0</v>
      </c>
      <c r="F743" s="17">
        <f>IFERROR(__xludf.DUMMYFUNCTION("""COMPUTED_VALUE"""),1.0)</f>
        <v>1</v>
      </c>
      <c r="G743" s="17">
        <f>IFERROR(__xludf.DUMMYFUNCTION("""COMPUTED_VALUE"""),0.0)</f>
        <v>0</v>
      </c>
      <c r="H743" s="17">
        <f>IFERROR(__xludf.DUMMYFUNCTION("""COMPUTED_VALUE"""),0.199)</f>
        <v>0.199</v>
      </c>
      <c r="I743" s="17">
        <f>IFERROR(__xludf.DUMMYFUNCTION("""COMPUTED_VALUE"""),0.292)</f>
        <v>0.292</v>
      </c>
      <c r="J743" s="17">
        <f>IFERROR(__xludf.DUMMYFUNCTION("""COMPUTED_VALUE"""),2.0)</f>
        <v>2</v>
      </c>
      <c r="K743" s="17">
        <f>IFERROR(__xludf.DUMMYFUNCTION("""COMPUTED_VALUE"""),1.0)</f>
        <v>1</v>
      </c>
      <c r="L743" s="17">
        <f>IFERROR(__xludf.DUMMYFUNCTION("""COMPUTED_VALUE"""),0.0)</f>
        <v>0</v>
      </c>
      <c r="M743" s="17">
        <f>IFERROR(__xludf.DUMMYFUNCTION("""COMPUTED_VALUE"""),1.0)</f>
        <v>1</v>
      </c>
      <c r="N743" s="17">
        <f>IFERROR(__xludf.DUMMYFUNCTION("""COMPUTED_VALUE"""),3.0)</f>
        <v>3</v>
      </c>
      <c r="O743" s="17">
        <f>IFERROR(__xludf.DUMMYFUNCTION("""COMPUTED_VALUE"""),0.271)</f>
        <v>0.271</v>
      </c>
      <c r="P743" s="17">
        <f>IFERROR(__xludf.DUMMYFUNCTION("""COMPUTED_VALUE"""),0.563)</f>
        <v>0.563</v>
      </c>
      <c r="Q743" s="34">
        <f>IFERROR(__xludf.DUMMYFUNCTION("""COMPUTED_VALUE"""),0.0)</f>
        <v>0</v>
      </c>
      <c r="R743" s="34">
        <f>IFERROR(__xludf.DUMMYFUNCTION("""COMPUTED_VALUE"""),0.0)</f>
        <v>0</v>
      </c>
      <c r="S743" s="34">
        <f>IFERROR(__xludf.DUMMYFUNCTION("""COMPUTED_VALUE"""),0.0)</f>
        <v>0</v>
      </c>
    </row>
    <row r="744">
      <c r="A744" s="17">
        <f>IFERROR(__xludf.DUMMYFUNCTION("""COMPUTED_VALUE"""),744.0)</f>
        <v>744</v>
      </c>
      <c r="B744" s="17" t="str">
        <f>IFERROR(__xludf.DUMMYFUNCTION("""COMPUTED_VALUE"""),"Paul McIntosh (PHI - C) MiLB")</f>
        <v>Paul McIntosh (PHI - C) MiLB</v>
      </c>
      <c r="C744" s="17">
        <f>IFERROR(__xludf.DUMMYFUNCTION("""COMPUTED_VALUE"""),8.0)</f>
        <v>8</v>
      </c>
      <c r="D744" s="17">
        <f>IFERROR(__xludf.DUMMYFUNCTION("""COMPUTED_VALUE"""),1.0)</f>
        <v>1</v>
      </c>
      <c r="E744" s="17">
        <f>IFERROR(__xludf.DUMMYFUNCTION("""COMPUTED_VALUE"""),0.0)</f>
        <v>0</v>
      </c>
      <c r="F744" s="17">
        <f>IFERROR(__xludf.DUMMYFUNCTION("""COMPUTED_VALUE"""),1.0)</f>
        <v>1</v>
      </c>
      <c r="G744" s="17">
        <f>IFERROR(__xludf.DUMMYFUNCTION("""COMPUTED_VALUE"""),0.0)</f>
        <v>0</v>
      </c>
      <c r="H744" s="17">
        <f>IFERROR(__xludf.DUMMYFUNCTION("""COMPUTED_VALUE"""),0.201)</f>
        <v>0.201</v>
      </c>
      <c r="I744" s="17">
        <f>IFERROR(__xludf.DUMMYFUNCTION("""COMPUTED_VALUE"""),0.294)</f>
        <v>0.294</v>
      </c>
      <c r="J744" s="17">
        <f>IFERROR(__xludf.DUMMYFUNCTION("""COMPUTED_VALUE"""),2.0)</f>
        <v>2</v>
      </c>
      <c r="K744" s="17">
        <f>IFERROR(__xludf.DUMMYFUNCTION("""COMPUTED_VALUE"""),1.0)</f>
        <v>1</v>
      </c>
      <c r="L744" s="17">
        <f>IFERROR(__xludf.DUMMYFUNCTION("""COMPUTED_VALUE"""),0.0)</f>
        <v>0</v>
      </c>
      <c r="M744" s="17">
        <f>IFERROR(__xludf.DUMMYFUNCTION("""COMPUTED_VALUE"""),1.0)</f>
        <v>1</v>
      </c>
      <c r="N744" s="17">
        <f>IFERROR(__xludf.DUMMYFUNCTION("""COMPUTED_VALUE"""),2.0)</f>
        <v>2</v>
      </c>
      <c r="O744" s="17">
        <f>IFERROR(__xludf.DUMMYFUNCTION("""COMPUTED_VALUE"""),0.273)</f>
        <v>0.273</v>
      </c>
      <c r="P744" s="17">
        <f>IFERROR(__xludf.DUMMYFUNCTION("""COMPUTED_VALUE"""),0.567)</f>
        <v>0.567</v>
      </c>
      <c r="Q744" s="34">
        <f>IFERROR(__xludf.DUMMYFUNCTION("""COMPUTED_VALUE"""),0.0)</f>
        <v>0</v>
      </c>
      <c r="R744" s="34">
        <f>IFERROR(__xludf.DUMMYFUNCTION("""COMPUTED_VALUE"""),0.0)</f>
        <v>0</v>
      </c>
      <c r="S744" s="34">
        <f>IFERROR(__xludf.DUMMYFUNCTION("""COMPUTED_VALUE"""),0.0)</f>
        <v>0</v>
      </c>
    </row>
    <row r="745">
      <c r="A745" s="17">
        <f>IFERROR(__xludf.DUMMYFUNCTION("""COMPUTED_VALUE"""),745.0)</f>
        <v>745</v>
      </c>
      <c r="B745" s="17" t="str">
        <f>IFERROR(__xludf.DUMMYFUNCTION("""COMPUTED_VALUE"""),"Riley Tirotta (TOR - 3B) MiLB")</f>
        <v>Riley Tirotta (TOR - 3B) MiLB</v>
      </c>
      <c r="C745" s="17">
        <f>IFERROR(__xludf.DUMMYFUNCTION("""COMPUTED_VALUE"""),8.0)</f>
        <v>8</v>
      </c>
      <c r="D745" s="17">
        <f>IFERROR(__xludf.DUMMYFUNCTION("""COMPUTED_VALUE"""),1.0)</f>
        <v>1</v>
      </c>
      <c r="E745" s="17">
        <f>IFERROR(__xludf.DUMMYFUNCTION("""COMPUTED_VALUE"""),0.0)</f>
        <v>0</v>
      </c>
      <c r="F745" s="17">
        <f>IFERROR(__xludf.DUMMYFUNCTION("""COMPUTED_VALUE"""),1.0)</f>
        <v>1</v>
      </c>
      <c r="G745" s="17">
        <f>IFERROR(__xludf.DUMMYFUNCTION("""COMPUTED_VALUE"""),0.0)</f>
        <v>0</v>
      </c>
      <c r="H745" s="17">
        <f>IFERROR(__xludf.DUMMYFUNCTION("""COMPUTED_VALUE"""),0.2)</f>
        <v>0.2</v>
      </c>
      <c r="I745" s="17">
        <f>IFERROR(__xludf.DUMMYFUNCTION("""COMPUTED_VALUE"""),0.293)</f>
        <v>0.293</v>
      </c>
      <c r="J745" s="17">
        <f>IFERROR(__xludf.DUMMYFUNCTION("""COMPUTED_VALUE"""),2.0)</f>
        <v>2</v>
      </c>
      <c r="K745" s="17">
        <f>IFERROR(__xludf.DUMMYFUNCTION("""COMPUTED_VALUE"""),1.0)</f>
        <v>1</v>
      </c>
      <c r="L745" s="17">
        <f>IFERROR(__xludf.DUMMYFUNCTION("""COMPUTED_VALUE"""),0.0)</f>
        <v>0</v>
      </c>
      <c r="M745" s="17">
        <f>IFERROR(__xludf.DUMMYFUNCTION("""COMPUTED_VALUE"""),1.0)</f>
        <v>1</v>
      </c>
      <c r="N745" s="17">
        <f>IFERROR(__xludf.DUMMYFUNCTION("""COMPUTED_VALUE"""),3.0)</f>
        <v>3</v>
      </c>
      <c r="O745" s="17">
        <f>IFERROR(__xludf.DUMMYFUNCTION("""COMPUTED_VALUE"""),0.27)</f>
        <v>0.27</v>
      </c>
      <c r="P745" s="17">
        <f>IFERROR(__xludf.DUMMYFUNCTION("""COMPUTED_VALUE"""),0.563)</f>
        <v>0.563</v>
      </c>
      <c r="Q745" s="34">
        <f>IFERROR(__xludf.DUMMYFUNCTION("""COMPUTED_VALUE"""),0.0)</f>
        <v>0</v>
      </c>
      <c r="R745" s="34">
        <f>IFERROR(__xludf.DUMMYFUNCTION("""COMPUTED_VALUE"""),0.0)</f>
        <v>0</v>
      </c>
      <c r="S745" s="34">
        <f>IFERROR(__xludf.DUMMYFUNCTION("""COMPUTED_VALUE"""),0.0)</f>
        <v>0</v>
      </c>
    </row>
    <row r="746">
      <c r="A746" s="17">
        <f>IFERROR(__xludf.DUMMYFUNCTION("""COMPUTED_VALUE"""),746.0)</f>
        <v>746</v>
      </c>
      <c r="B746" s="17" t="str">
        <f>IFERROR(__xludf.DUMMYFUNCTION("""COMPUTED_VALUE"""),"Tucker Flint (LAA - RF) MiLB")</f>
        <v>Tucker Flint (LAA - RF) MiLB</v>
      </c>
      <c r="C746" s="17">
        <f>IFERROR(__xludf.DUMMYFUNCTION("""COMPUTED_VALUE"""),8.0)</f>
        <v>8</v>
      </c>
      <c r="D746" s="17">
        <f>IFERROR(__xludf.DUMMYFUNCTION("""COMPUTED_VALUE"""),1.0)</f>
        <v>1</v>
      </c>
      <c r="E746" s="17">
        <f>IFERROR(__xludf.DUMMYFUNCTION("""COMPUTED_VALUE"""),0.0)</f>
        <v>0</v>
      </c>
      <c r="F746" s="17">
        <f>IFERROR(__xludf.DUMMYFUNCTION("""COMPUTED_VALUE"""),1.0)</f>
        <v>1</v>
      </c>
      <c r="G746" s="17">
        <f>IFERROR(__xludf.DUMMYFUNCTION("""COMPUTED_VALUE"""),0.0)</f>
        <v>0</v>
      </c>
      <c r="H746" s="17">
        <f>IFERROR(__xludf.DUMMYFUNCTION("""COMPUTED_VALUE"""),0.199)</f>
        <v>0.199</v>
      </c>
      <c r="I746" s="17">
        <f>IFERROR(__xludf.DUMMYFUNCTION("""COMPUTED_VALUE"""),0.292)</f>
        <v>0.292</v>
      </c>
      <c r="J746" s="17">
        <f>IFERROR(__xludf.DUMMYFUNCTION("""COMPUTED_VALUE"""),2.0)</f>
        <v>2</v>
      </c>
      <c r="K746" s="17">
        <f>IFERROR(__xludf.DUMMYFUNCTION("""COMPUTED_VALUE"""),1.0)</f>
        <v>1</v>
      </c>
      <c r="L746" s="17">
        <f>IFERROR(__xludf.DUMMYFUNCTION("""COMPUTED_VALUE"""),0.0)</f>
        <v>0</v>
      </c>
      <c r="M746" s="17">
        <f>IFERROR(__xludf.DUMMYFUNCTION("""COMPUTED_VALUE"""),1.0)</f>
        <v>1</v>
      </c>
      <c r="N746" s="17">
        <f>IFERROR(__xludf.DUMMYFUNCTION("""COMPUTED_VALUE"""),3.0)</f>
        <v>3</v>
      </c>
      <c r="O746" s="17">
        <f>IFERROR(__xludf.DUMMYFUNCTION("""COMPUTED_VALUE"""),0.27)</f>
        <v>0.27</v>
      </c>
      <c r="P746" s="17">
        <f>IFERROR(__xludf.DUMMYFUNCTION("""COMPUTED_VALUE"""),0.561)</f>
        <v>0.561</v>
      </c>
      <c r="Q746" s="34">
        <f>IFERROR(__xludf.DUMMYFUNCTION("""COMPUTED_VALUE"""),0.0)</f>
        <v>0</v>
      </c>
      <c r="R746" s="34">
        <f>IFERROR(__xludf.DUMMYFUNCTION("""COMPUTED_VALUE"""),0.0)</f>
        <v>0</v>
      </c>
      <c r="S746" s="34">
        <f>IFERROR(__xludf.DUMMYFUNCTION("""COMPUTED_VALUE"""),0.0)</f>
        <v>0</v>
      </c>
    </row>
    <row r="747">
      <c r="A747" s="17">
        <f>IFERROR(__xludf.DUMMYFUNCTION("""COMPUTED_VALUE"""),747.0)</f>
        <v>747</v>
      </c>
      <c r="B747" s="17" t="str">
        <f>IFERROR(__xludf.DUMMYFUNCTION("""COMPUTED_VALUE"""),"Sam Brown (WSH - 1B) MiLB")</f>
        <v>Sam Brown (WSH - 1B) MiLB</v>
      </c>
      <c r="C747" s="17">
        <f>IFERROR(__xludf.DUMMYFUNCTION("""COMPUTED_VALUE"""),8.0)</f>
        <v>8</v>
      </c>
      <c r="D747" s="17">
        <f>IFERROR(__xludf.DUMMYFUNCTION("""COMPUTED_VALUE"""),1.0)</f>
        <v>1</v>
      </c>
      <c r="E747" s="17">
        <f>IFERROR(__xludf.DUMMYFUNCTION("""COMPUTED_VALUE"""),0.0)</f>
        <v>0</v>
      </c>
      <c r="F747" s="17">
        <f>IFERROR(__xludf.DUMMYFUNCTION("""COMPUTED_VALUE"""),1.0)</f>
        <v>1</v>
      </c>
      <c r="G747" s="17">
        <f>IFERROR(__xludf.DUMMYFUNCTION("""COMPUTED_VALUE"""),0.0)</f>
        <v>0</v>
      </c>
      <c r="H747" s="17">
        <f>IFERROR(__xludf.DUMMYFUNCTION("""COMPUTED_VALUE"""),0.202)</f>
        <v>0.202</v>
      </c>
      <c r="I747" s="17">
        <f>IFERROR(__xludf.DUMMYFUNCTION("""COMPUTED_VALUE"""),0.294)</f>
        <v>0.294</v>
      </c>
      <c r="J747" s="17">
        <f>IFERROR(__xludf.DUMMYFUNCTION("""COMPUTED_VALUE"""),2.0)</f>
        <v>2</v>
      </c>
      <c r="K747" s="17">
        <f>IFERROR(__xludf.DUMMYFUNCTION("""COMPUTED_VALUE"""),1.0)</f>
        <v>1</v>
      </c>
      <c r="L747" s="17">
        <f>IFERROR(__xludf.DUMMYFUNCTION("""COMPUTED_VALUE"""),0.0)</f>
        <v>0</v>
      </c>
      <c r="M747" s="17">
        <f>IFERROR(__xludf.DUMMYFUNCTION("""COMPUTED_VALUE"""),1.0)</f>
        <v>1</v>
      </c>
      <c r="N747" s="17">
        <f>IFERROR(__xludf.DUMMYFUNCTION("""COMPUTED_VALUE"""),2.0)</f>
        <v>2</v>
      </c>
      <c r="O747" s="17">
        <f>IFERROR(__xludf.DUMMYFUNCTION("""COMPUTED_VALUE"""),0.272)</f>
        <v>0.272</v>
      </c>
      <c r="P747" s="17">
        <f>IFERROR(__xludf.DUMMYFUNCTION("""COMPUTED_VALUE"""),0.567)</f>
        <v>0.567</v>
      </c>
      <c r="Q747" s="34">
        <f>IFERROR(__xludf.DUMMYFUNCTION("""COMPUTED_VALUE"""),0.0)</f>
        <v>0</v>
      </c>
      <c r="R747" s="34">
        <f>IFERROR(__xludf.DUMMYFUNCTION("""COMPUTED_VALUE"""),0.0)</f>
        <v>0</v>
      </c>
      <c r="S747" s="34">
        <f>IFERROR(__xludf.DUMMYFUNCTION("""COMPUTED_VALUE"""),0.0)</f>
        <v>0</v>
      </c>
    </row>
    <row r="748">
      <c r="A748" s="17">
        <f>IFERROR(__xludf.DUMMYFUNCTION("""COMPUTED_VALUE"""),748.0)</f>
        <v>748</v>
      </c>
      <c r="B748" s="17" t="str">
        <f>IFERROR(__xludf.DUMMYFUNCTION("""COMPUTED_VALUE"""),"Nate Furman (SF - 2B) MiLB")</f>
        <v>Nate Furman (SF - 2B) MiLB</v>
      </c>
      <c r="C748" s="17">
        <f>IFERROR(__xludf.DUMMYFUNCTION("""COMPUTED_VALUE"""),8.0)</f>
        <v>8</v>
      </c>
      <c r="D748" s="17">
        <f>IFERROR(__xludf.DUMMYFUNCTION("""COMPUTED_VALUE"""),1.0)</f>
        <v>1</v>
      </c>
      <c r="E748" s="17">
        <f>IFERROR(__xludf.DUMMYFUNCTION("""COMPUTED_VALUE"""),0.0)</f>
        <v>0</v>
      </c>
      <c r="F748" s="17">
        <f>IFERROR(__xludf.DUMMYFUNCTION("""COMPUTED_VALUE"""),1.0)</f>
        <v>1</v>
      </c>
      <c r="G748" s="17">
        <f>IFERROR(__xludf.DUMMYFUNCTION("""COMPUTED_VALUE"""),0.0)</f>
        <v>0</v>
      </c>
      <c r="H748" s="17">
        <f>IFERROR(__xludf.DUMMYFUNCTION("""COMPUTED_VALUE"""),0.266)</f>
        <v>0.266</v>
      </c>
      <c r="I748" s="17">
        <f>IFERROR(__xludf.DUMMYFUNCTION("""COMPUTED_VALUE"""),0.352)</f>
        <v>0.352</v>
      </c>
      <c r="J748" s="17">
        <f>IFERROR(__xludf.DUMMYFUNCTION("""COMPUTED_VALUE"""),2.0)</f>
        <v>2</v>
      </c>
      <c r="K748" s="17">
        <f>IFERROR(__xludf.DUMMYFUNCTION("""COMPUTED_VALUE"""),1.0)</f>
        <v>1</v>
      </c>
      <c r="L748" s="17">
        <f>IFERROR(__xludf.DUMMYFUNCTION("""COMPUTED_VALUE"""),0.0)</f>
        <v>0</v>
      </c>
      <c r="M748" s="17">
        <f>IFERROR(__xludf.DUMMYFUNCTION("""COMPUTED_VALUE"""),1.0)</f>
        <v>1</v>
      </c>
      <c r="N748" s="17">
        <f>IFERROR(__xludf.DUMMYFUNCTION("""COMPUTED_VALUE"""),2.0)</f>
        <v>2</v>
      </c>
      <c r="O748" s="17">
        <f>IFERROR(__xludf.DUMMYFUNCTION("""COMPUTED_VALUE"""),0.337)</f>
        <v>0.337</v>
      </c>
      <c r="P748" s="17">
        <f>IFERROR(__xludf.DUMMYFUNCTION("""COMPUTED_VALUE"""),0.689)</f>
        <v>0.689</v>
      </c>
      <c r="Q748" s="34">
        <f>IFERROR(__xludf.DUMMYFUNCTION("""COMPUTED_VALUE"""),0.0)</f>
        <v>0</v>
      </c>
      <c r="R748" s="34">
        <f>IFERROR(__xludf.DUMMYFUNCTION("""COMPUTED_VALUE"""),0.0)</f>
        <v>0</v>
      </c>
      <c r="S748" s="34">
        <f>IFERROR(__xludf.DUMMYFUNCTION("""COMPUTED_VALUE"""),0.0)</f>
        <v>0</v>
      </c>
    </row>
    <row r="749">
      <c r="A749" s="17">
        <f>IFERROR(__xludf.DUMMYFUNCTION("""COMPUTED_VALUE"""),749.0)</f>
        <v>749</v>
      </c>
      <c r="B749" s="17" t="str">
        <f>IFERROR(__xludf.DUMMYFUNCTION("""COMPUTED_VALUE"""),"Brennan Milone (ATH - 1B) MiLB")</f>
        <v>Brennan Milone (ATH - 1B) MiLB</v>
      </c>
      <c r="C749" s="17">
        <f>IFERROR(__xludf.DUMMYFUNCTION("""COMPUTED_VALUE"""),8.0)</f>
        <v>8</v>
      </c>
      <c r="D749" s="17">
        <f>IFERROR(__xludf.DUMMYFUNCTION("""COMPUTED_VALUE"""),1.0)</f>
        <v>1</v>
      </c>
      <c r="E749" s="17">
        <f>IFERROR(__xludf.DUMMYFUNCTION("""COMPUTED_VALUE"""),0.0)</f>
        <v>0</v>
      </c>
      <c r="F749" s="17">
        <f>IFERROR(__xludf.DUMMYFUNCTION("""COMPUTED_VALUE"""),1.0)</f>
        <v>1</v>
      </c>
      <c r="G749" s="17">
        <f>IFERROR(__xludf.DUMMYFUNCTION("""COMPUTED_VALUE"""),0.0)</f>
        <v>0</v>
      </c>
      <c r="H749" s="17">
        <f>IFERROR(__xludf.DUMMYFUNCTION("""COMPUTED_VALUE"""),0.203)</f>
        <v>0.203</v>
      </c>
      <c r="I749" s="17">
        <f>IFERROR(__xludf.DUMMYFUNCTION("""COMPUTED_VALUE"""),0.295)</f>
        <v>0.295</v>
      </c>
      <c r="J749" s="17">
        <f>IFERROR(__xludf.DUMMYFUNCTION("""COMPUTED_VALUE"""),2.0)</f>
        <v>2</v>
      </c>
      <c r="K749" s="17">
        <f>IFERROR(__xludf.DUMMYFUNCTION("""COMPUTED_VALUE"""),1.0)</f>
        <v>1</v>
      </c>
      <c r="L749" s="17">
        <f>IFERROR(__xludf.DUMMYFUNCTION("""COMPUTED_VALUE"""),0.0)</f>
        <v>0</v>
      </c>
      <c r="M749" s="17">
        <f>IFERROR(__xludf.DUMMYFUNCTION("""COMPUTED_VALUE"""),1.0)</f>
        <v>1</v>
      </c>
      <c r="N749" s="17">
        <f>IFERROR(__xludf.DUMMYFUNCTION("""COMPUTED_VALUE"""),3.0)</f>
        <v>3</v>
      </c>
      <c r="O749" s="17">
        <f>IFERROR(__xludf.DUMMYFUNCTION("""COMPUTED_VALUE"""),0.277)</f>
        <v>0.277</v>
      </c>
      <c r="P749" s="17">
        <f>IFERROR(__xludf.DUMMYFUNCTION("""COMPUTED_VALUE"""),0.572)</f>
        <v>0.572</v>
      </c>
      <c r="Q749" s="34">
        <f>IFERROR(__xludf.DUMMYFUNCTION("""COMPUTED_VALUE"""),0.0)</f>
        <v>0</v>
      </c>
      <c r="R749" s="34">
        <f>IFERROR(__xludf.DUMMYFUNCTION("""COMPUTED_VALUE"""),0.0)</f>
        <v>0</v>
      </c>
      <c r="S749" s="34">
        <f>IFERROR(__xludf.DUMMYFUNCTION("""COMPUTED_VALUE"""),0.0)</f>
        <v>0</v>
      </c>
    </row>
    <row r="750">
      <c r="A750" s="17">
        <f>IFERROR(__xludf.DUMMYFUNCTION("""COMPUTED_VALUE"""),750.0)</f>
        <v>750</v>
      </c>
      <c r="B750" s="17" t="str">
        <f>IFERROR(__xludf.DUMMYFUNCTION("""COMPUTED_VALUE"""),"Mickey Gasper (BOS - IF,C) MiLB")</f>
        <v>Mickey Gasper (BOS - IF,C) MiLB</v>
      </c>
      <c r="C750" s="17">
        <f>IFERROR(__xludf.DUMMYFUNCTION("""COMPUTED_VALUE"""),8.0)</f>
        <v>8</v>
      </c>
      <c r="D750" s="17">
        <f>IFERROR(__xludf.DUMMYFUNCTION("""COMPUTED_VALUE"""),1.0)</f>
        <v>1</v>
      </c>
      <c r="E750" s="17">
        <f>IFERROR(__xludf.DUMMYFUNCTION("""COMPUTED_VALUE"""),0.0)</f>
        <v>0</v>
      </c>
      <c r="F750" s="17">
        <f>IFERROR(__xludf.DUMMYFUNCTION("""COMPUTED_VALUE"""),1.0)</f>
        <v>1</v>
      </c>
      <c r="G750" s="17">
        <f>IFERROR(__xludf.DUMMYFUNCTION("""COMPUTED_VALUE"""),0.0)</f>
        <v>0</v>
      </c>
      <c r="H750" s="17">
        <f>IFERROR(__xludf.DUMMYFUNCTION("""COMPUTED_VALUE"""),0.25)</f>
        <v>0.25</v>
      </c>
      <c r="I750" s="17">
        <f>IFERROR(__xludf.DUMMYFUNCTION("""COMPUTED_VALUE"""),0.355)</f>
        <v>0.355</v>
      </c>
      <c r="J750" s="17">
        <f>IFERROR(__xludf.DUMMYFUNCTION("""COMPUTED_VALUE"""),2.0)</f>
        <v>2</v>
      </c>
      <c r="K750" s="17">
        <f>IFERROR(__xludf.DUMMYFUNCTION("""COMPUTED_VALUE"""),0.0)</f>
        <v>0</v>
      </c>
      <c r="L750" s="17">
        <f>IFERROR(__xludf.DUMMYFUNCTION("""COMPUTED_VALUE"""),0.0)</f>
        <v>0</v>
      </c>
      <c r="M750" s="17">
        <f>IFERROR(__xludf.DUMMYFUNCTION("""COMPUTED_VALUE"""),1.0)</f>
        <v>1</v>
      </c>
      <c r="N750" s="17">
        <f>IFERROR(__xludf.DUMMYFUNCTION("""COMPUTED_VALUE"""),2.0)</f>
        <v>2</v>
      </c>
      <c r="O750" s="17">
        <f>IFERROR(__xludf.DUMMYFUNCTION("""COMPUTED_VALUE"""),0.362)</f>
        <v>0.362</v>
      </c>
      <c r="P750" s="17">
        <f>IFERROR(__xludf.DUMMYFUNCTION("""COMPUTED_VALUE"""),0.716)</f>
        <v>0.716</v>
      </c>
      <c r="Q750" s="34">
        <f>IFERROR(__xludf.DUMMYFUNCTION("""COMPUTED_VALUE"""),0.0)</f>
        <v>0</v>
      </c>
      <c r="R750" s="34">
        <f>IFERROR(__xludf.DUMMYFUNCTION("""COMPUTED_VALUE"""),0.0)</f>
        <v>0</v>
      </c>
      <c r="S750" s="34">
        <f>IFERROR(__xludf.DUMMYFUNCTION("""COMPUTED_VALUE"""),0.0)</f>
        <v>0</v>
      </c>
    </row>
    <row r="751">
      <c r="A751" s="17">
        <f>IFERROR(__xludf.DUMMYFUNCTION("""COMPUTED_VALUE"""),751.0)</f>
        <v>751</v>
      </c>
      <c r="B751" s="17" t="str">
        <f>IFERROR(__xludf.DUMMYFUNCTION("""COMPUTED_VALUE"""),"Shane McGuire (ATH - C) MiLB")</f>
        <v>Shane McGuire (ATH - C) MiLB</v>
      </c>
      <c r="C751" s="17">
        <f>IFERROR(__xludf.DUMMYFUNCTION("""COMPUTED_VALUE"""),8.0)</f>
        <v>8</v>
      </c>
      <c r="D751" s="17">
        <f>IFERROR(__xludf.DUMMYFUNCTION("""COMPUTED_VALUE"""),1.0)</f>
        <v>1</v>
      </c>
      <c r="E751" s="17">
        <f>IFERROR(__xludf.DUMMYFUNCTION("""COMPUTED_VALUE"""),0.0)</f>
        <v>0</v>
      </c>
      <c r="F751" s="17">
        <f>IFERROR(__xludf.DUMMYFUNCTION("""COMPUTED_VALUE"""),1.0)</f>
        <v>1</v>
      </c>
      <c r="G751" s="17">
        <f>IFERROR(__xludf.DUMMYFUNCTION("""COMPUTED_VALUE"""),0.0)</f>
        <v>0</v>
      </c>
      <c r="H751" s="17">
        <f>IFERROR(__xludf.DUMMYFUNCTION("""COMPUTED_VALUE"""),0.22)</f>
        <v>0.22</v>
      </c>
      <c r="I751" s="17">
        <f>IFERROR(__xludf.DUMMYFUNCTION("""COMPUTED_VALUE"""),0.322)</f>
        <v>0.322</v>
      </c>
      <c r="J751" s="17">
        <f>IFERROR(__xludf.DUMMYFUNCTION("""COMPUTED_VALUE"""),2.0)</f>
        <v>2</v>
      </c>
      <c r="K751" s="17">
        <f>IFERROR(__xludf.DUMMYFUNCTION("""COMPUTED_VALUE"""),0.0)</f>
        <v>0</v>
      </c>
      <c r="L751" s="17">
        <f>IFERROR(__xludf.DUMMYFUNCTION("""COMPUTED_VALUE"""),0.0)</f>
        <v>0</v>
      </c>
      <c r="M751" s="17">
        <f>IFERROR(__xludf.DUMMYFUNCTION("""COMPUTED_VALUE"""),1.0)</f>
        <v>1</v>
      </c>
      <c r="N751" s="17">
        <f>IFERROR(__xludf.DUMMYFUNCTION("""COMPUTED_VALUE"""),2.0)</f>
        <v>2</v>
      </c>
      <c r="O751" s="17">
        <f>IFERROR(__xludf.DUMMYFUNCTION("""COMPUTED_VALUE"""),0.305)</f>
        <v>0.305</v>
      </c>
      <c r="P751" s="17">
        <f>IFERROR(__xludf.DUMMYFUNCTION("""COMPUTED_VALUE"""),0.628)</f>
        <v>0.628</v>
      </c>
      <c r="Q751" s="34">
        <f>IFERROR(__xludf.DUMMYFUNCTION("""COMPUTED_VALUE"""),0.0)</f>
        <v>0</v>
      </c>
      <c r="R751" s="34">
        <f>IFERROR(__xludf.DUMMYFUNCTION("""COMPUTED_VALUE"""),0.0)</f>
        <v>0</v>
      </c>
      <c r="S751" s="34">
        <f>IFERROR(__xludf.DUMMYFUNCTION("""COMPUTED_VALUE"""),0.0)</f>
        <v>0</v>
      </c>
    </row>
    <row r="752">
      <c r="A752" s="17">
        <f>IFERROR(__xludf.DUMMYFUNCTION("""COMPUTED_VALUE"""),752.0)</f>
        <v>752</v>
      </c>
      <c r="B752" s="17" t="str">
        <f>IFERROR(__xludf.DUMMYFUNCTION("""COMPUTED_VALUE"""),"Alex Jackson (MIN - C) MiLB")</f>
        <v>Alex Jackson (MIN - C) MiLB</v>
      </c>
      <c r="C752" s="17">
        <f>IFERROR(__xludf.DUMMYFUNCTION("""COMPUTED_VALUE"""),13.0)</f>
        <v>13</v>
      </c>
      <c r="D752" s="17">
        <f>IFERROR(__xludf.DUMMYFUNCTION("""COMPUTED_VALUE"""),2.0)</f>
        <v>2</v>
      </c>
      <c r="E752" s="17">
        <f>IFERROR(__xludf.DUMMYFUNCTION("""COMPUTED_VALUE"""),0.0)</f>
        <v>0</v>
      </c>
      <c r="F752" s="17">
        <f>IFERROR(__xludf.DUMMYFUNCTION("""COMPUTED_VALUE"""),2.0)</f>
        <v>2</v>
      </c>
      <c r="G752" s="17">
        <f>IFERROR(__xludf.DUMMYFUNCTION("""COMPUTED_VALUE"""),0.0)</f>
        <v>0</v>
      </c>
      <c r="H752" s="17">
        <f>IFERROR(__xludf.DUMMYFUNCTION("""COMPUTED_VALUE"""),0.18)</f>
        <v>0.18</v>
      </c>
      <c r="I752" s="17">
        <f>IFERROR(__xludf.DUMMYFUNCTION("""COMPUTED_VALUE"""),0.24)</f>
        <v>0.24</v>
      </c>
      <c r="J752" s="17">
        <f>IFERROR(__xludf.DUMMYFUNCTION("""COMPUTED_VALUE"""),2.0)</f>
        <v>2</v>
      </c>
      <c r="K752" s="17">
        <f>IFERROR(__xludf.DUMMYFUNCTION("""COMPUTED_VALUE"""),0.0)</f>
        <v>0</v>
      </c>
      <c r="L752" s="17">
        <f>IFERROR(__xludf.DUMMYFUNCTION("""COMPUTED_VALUE"""),0.0)</f>
        <v>0</v>
      </c>
      <c r="M752" s="17">
        <f>IFERROR(__xludf.DUMMYFUNCTION("""COMPUTED_VALUE"""),1.0)</f>
        <v>1</v>
      </c>
      <c r="N752" s="17">
        <f>IFERROR(__xludf.DUMMYFUNCTION("""COMPUTED_VALUE"""),5.0)</f>
        <v>5</v>
      </c>
      <c r="O752" s="17">
        <f>IFERROR(__xludf.DUMMYFUNCTION("""COMPUTED_VALUE"""),0.317)</f>
        <v>0.317</v>
      </c>
      <c r="P752" s="17">
        <f>IFERROR(__xludf.DUMMYFUNCTION("""COMPUTED_VALUE"""),0.557)</f>
        <v>0.557</v>
      </c>
      <c r="Q752" s="34">
        <f>IFERROR(__xludf.DUMMYFUNCTION("""COMPUTED_VALUE"""),0.0)</f>
        <v>0</v>
      </c>
      <c r="R752" s="34">
        <f>IFERROR(__xludf.DUMMYFUNCTION("""COMPUTED_VALUE"""),0.0)</f>
        <v>0</v>
      </c>
      <c r="S752" s="34">
        <f>IFERROR(__xludf.DUMMYFUNCTION("""COMPUTED_VALUE"""),0.0)</f>
        <v>0</v>
      </c>
    </row>
    <row r="753">
      <c r="A753" s="17">
        <f>IFERROR(__xludf.DUMMYFUNCTION("""COMPUTED_VALUE"""),753.0)</f>
        <v>753</v>
      </c>
      <c r="B753" s="17" t="str">
        <f>IFERROR(__xludf.DUMMYFUNCTION("""COMPUTED_VALUE"""),"Paul DeJong (NYY - 2B,3B,SS) FA")</f>
        <v>Paul DeJong (NYY - 2B,3B,SS) FA</v>
      </c>
      <c r="C753" s="17">
        <f>IFERROR(__xludf.DUMMYFUNCTION("""COMPUTED_VALUE"""),13.0)</f>
        <v>13</v>
      </c>
      <c r="D753" s="17">
        <f>IFERROR(__xludf.DUMMYFUNCTION("""COMPUTED_VALUE"""),2.0)</f>
        <v>2</v>
      </c>
      <c r="E753" s="17">
        <f>IFERROR(__xludf.DUMMYFUNCTION("""COMPUTED_VALUE"""),0.0)</f>
        <v>0</v>
      </c>
      <c r="F753" s="17">
        <f>IFERROR(__xludf.DUMMYFUNCTION("""COMPUTED_VALUE"""),2.0)</f>
        <v>2</v>
      </c>
      <c r="G753" s="17">
        <f>IFERROR(__xludf.DUMMYFUNCTION("""COMPUTED_VALUE"""),0.0)</f>
        <v>0</v>
      </c>
      <c r="H753" s="17">
        <f>IFERROR(__xludf.DUMMYFUNCTION("""COMPUTED_VALUE"""),0.194)</f>
        <v>0.194</v>
      </c>
      <c r="I753" s="17">
        <f>IFERROR(__xludf.DUMMYFUNCTION("""COMPUTED_VALUE"""),0.25)</f>
        <v>0.25</v>
      </c>
      <c r="J753" s="17">
        <f>IFERROR(__xludf.DUMMYFUNCTION("""COMPUTED_VALUE"""),2.0)</f>
        <v>2</v>
      </c>
      <c r="K753" s="17">
        <f>IFERROR(__xludf.DUMMYFUNCTION("""COMPUTED_VALUE"""),0.0)</f>
        <v>0</v>
      </c>
      <c r="L753" s="17">
        <f>IFERROR(__xludf.DUMMYFUNCTION("""COMPUTED_VALUE"""),0.0)</f>
        <v>0</v>
      </c>
      <c r="M753" s="17">
        <f>IFERROR(__xludf.DUMMYFUNCTION("""COMPUTED_VALUE"""),1.0)</f>
        <v>1</v>
      </c>
      <c r="N753" s="17">
        <f>IFERROR(__xludf.DUMMYFUNCTION("""COMPUTED_VALUE"""),4.0)</f>
        <v>4</v>
      </c>
      <c r="O753" s="17">
        <f>IFERROR(__xludf.DUMMYFUNCTION("""COMPUTED_VALUE"""),0.304)</f>
        <v>0.304</v>
      </c>
      <c r="P753" s="17">
        <f>IFERROR(__xludf.DUMMYFUNCTION("""COMPUTED_VALUE"""),0.554)</f>
        <v>0.554</v>
      </c>
      <c r="Q753" s="34">
        <f>IFERROR(__xludf.DUMMYFUNCTION("""COMPUTED_VALUE"""),0.0)</f>
        <v>0</v>
      </c>
      <c r="R753" s="34">
        <f>IFERROR(__xludf.DUMMYFUNCTION("""COMPUTED_VALUE"""),0.0)</f>
        <v>0</v>
      </c>
      <c r="S753" s="34">
        <f>IFERROR(__xludf.DUMMYFUNCTION("""COMPUTED_VALUE"""),0.0)</f>
        <v>0</v>
      </c>
    </row>
    <row r="754">
      <c r="A754" s="17">
        <f>IFERROR(__xludf.DUMMYFUNCTION("""COMPUTED_VALUE"""),754.0)</f>
        <v>754</v>
      </c>
      <c r="B754" s="17" t="str">
        <f>IFERROR(__xludf.DUMMYFUNCTION("""COMPUTED_VALUE"""),"RJ Schreck (TOR - RF) MiLB")</f>
        <v>RJ Schreck (TOR - RF) MiLB</v>
      </c>
      <c r="C754" s="17">
        <f>IFERROR(__xludf.DUMMYFUNCTION("""COMPUTED_VALUE"""),13.0)</f>
        <v>13</v>
      </c>
      <c r="D754" s="17">
        <f>IFERROR(__xludf.DUMMYFUNCTION("""COMPUTED_VALUE"""),2.0)</f>
        <v>2</v>
      </c>
      <c r="E754" s="17">
        <f>IFERROR(__xludf.DUMMYFUNCTION("""COMPUTED_VALUE"""),0.0)</f>
        <v>0</v>
      </c>
      <c r="F754" s="17">
        <f>IFERROR(__xludf.DUMMYFUNCTION("""COMPUTED_VALUE"""),2.0)</f>
        <v>2</v>
      </c>
      <c r="G754" s="17">
        <f>IFERROR(__xludf.DUMMYFUNCTION("""COMPUTED_VALUE"""),0.0)</f>
        <v>0</v>
      </c>
      <c r="H754" s="17">
        <f>IFERROR(__xludf.DUMMYFUNCTION("""COMPUTED_VALUE"""),0.176)</f>
        <v>0.176</v>
      </c>
      <c r="I754" s="17">
        <f>IFERROR(__xludf.DUMMYFUNCTION("""COMPUTED_VALUE"""),0.274)</f>
        <v>0.274</v>
      </c>
      <c r="J754" s="17">
        <f>IFERROR(__xludf.DUMMYFUNCTION("""COMPUTED_VALUE"""),2.0)</f>
        <v>2</v>
      </c>
      <c r="K754" s="17">
        <f>IFERROR(__xludf.DUMMYFUNCTION("""COMPUTED_VALUE"""),0.0)</f>
        <v>0</v>
      </c>
      <c r="L754" s="17">
        <f>IFERROR(__xludf.DUMMYFUNCTION("""COMPUTED_VALUE"""),0.0)</f>
        <v>0</v>
      </c>
      <c r="M754" s="17">
        <f>IFERROR(__xludf.DUMMYFUNCTION("""COMPUTED_VALUE"""),2.0)</f>
        <v>2</v>
      </c>
      <c r="N754" s="17">
        <f>IFERROR(__xludf.DUMMYFUNCTION("""COMPUTED_VALUE"""),4.0)</f>
        <v>4</v>
      </c>
      <c r="O754" s="17">
        <f>IFERROR(__xludf.DUMMYFUNCTION("""COMPUTED_VALUE"""),0.262)</f>
        <v>0.262</v>
      </c>
      <c r="P754" s="17">
        <f>IFERROR(__xludf.DUMMYFUNCTION("""COMPUTED_VALUE"""),0.536)</f>
        <v>0.536</v>
      </c>
      <c r="Q754" s="34">
        <f>IFERROR(__xludf.DUMMYFUNCTION("""COMPUTED_VALUE"""),0.0)</f>
        <v>0</v>
      </c>
      <c r="R754" s="34">
        <f>IFERROR(__xludf.DUMMYFUNCTION("""COMPUTED_VALUE"""),0.0)</f>
        <v>0</v>
      </c>
      <c r="S754" s="34">
        <f>IFERROR(__xludf.DUMMYFUNCTION("""COMPUTED_VALUE"""),0.0)</f>
        <v>0</v>
      </c>
    </row>
    <row r="755">
      <c r="A755" s="17">
        <f>IFERROR(__xludf.DUMMYFUNCTION("""COMPUTED_VALUE"""),755.0)</f>
        <v>755</v>
      </c>
      <c r="B755" s="17" t="str">
        <f>IFERROR(__xludf.DUMMYFUNCTION("""COMPUTED_VALUE"""),"Korey Lee (CWS - C) MiLB")</f>
        <v>Korey Lee (CWS - C) MiLB</v>
      </c>
      <c r="C755" s="17">
        <f>IFERROR(__xludf.DUMMYFUNCTION("""COMPUTED_VALUE"""),21.0)</f>
        <v>21</v>
      </c>
      <c r="D755" s="17">
        <f>IFERROR(__xludf.DUMMYFUNCTION("""COMPUTED_VALUE"""),2.0)</f>
        <v>2</v>
      </c>
      <c r="E755" s="17">
        <f>IFERROR(__xludf.DUMMYFUNCTION("""COMPUTED_VALUE"""),0.0)</f>
        <v>0</v>
      </c>
      <c r="F755" s="17">
        <f>IFERROR(__xludf.DUMMYFUNCTION("""COMPUTED_VALUE"""),2.0)</f>
        <v>2</v>
      </c>
      <c r="G755" s="17">
        <f>IFERROR(__xludf.DUMMYFUNCTION("""COMPUTED_VALUE"""),0.0)</f>
        <v>0</v>
      </c>
      <c r="H755" s="17">
        <f>IFERROR(__xludf.DUMMYFUNCTION("""COMPUTED_VALUE"""),0.206)</f>
        <v>0.206</v>
      </c>
      <c r="I755" s="17">
        <f>IFERROR(__xludf.DUMMYFUNCTION("""COMPUTED_VALUE"""),0.26)</f>
        <v>0.26</v>
      </c>
      <c r="J755" s="17">
        <f>IFERROR(__xludf.DUMMYFUNCTION("""COMPUTED_VALUE"""),4.0)</f>
        <v>4</v>
      </c>
      <c r="K755" s="17">
        <f>IFERROR(__xludf.DUMMYFUNCTION("""COMPUTED_VALUE"""),1.0)</f>
        <v>1</v>
      </c>
      <c r="L755" s="17">
        <f>IFERROR(__xludf.DUMMYFUNCTION("""COMPUTED_VALUE"""),0.0)</f>
        <v>0</v>
      </c>
      <c r="M755" s="17">
        <f>IFERROR(__xludf.DUMMYFUNCTION("""COMPUTED_VALUE"""),1.0)</f>
        <v>1</v>
      </c>
      <c r="N755" s="17">
        <f>IFERROR(__xludf.DUMMYFUNCTION("""COMPUTED_VALUE"""),6.0)</f>
        <v>6</v>
      </c>
      <c r="O755" s="17">
        <f>IFERROR(__xludf.DUMMYFUNCTION("""COMPUTED_VALUE"""),0.314)</f>
        <v>0.314</v>
      </c>
      <c r="P755" s="17">
        <f>IFERROR(__xludf.DUMMYFUNCTION("""COMPUTED_VALUE"""),0.574)</f>
        <v>0.574</v>
      </c>
      <c r="Q755" s="34">
        <f>IFERROR(__xludf.DUMMYFUNCTION("""COMPUTED_VALUE"""),0.0)</f>
        <v>0</v>
      </c>
      <c r="R755" s="34">
        <f>IFERROR(__xludf.DUMMYFUNCTION("""COMPUTED_VALUE"""),0.0)</f>
        <v>0</v>
      </c>
      <c r="S755" s="34">
        <f>IFERROR(__xludf.DUMMYFUNCTION("""COMPUTED_VALUE"""),0.0)</f>
        <v>0</v>
      </c>
    </row>
    <row r="756">
      <c r="A756" s="17">
        <f>IFERROR(__xludf.DUMMYFUNCTION("""COMPUTED_VALUE"""),756.0)</f>
        <v>756</v>
      </c>
      <c r="B756" s="17" t="str">
        <f>IFERROR(__xludf.DUMMYFUNCTION("""COMPUTED_VALUE"""),"Gage Workman (DET - 3B,SS,LF,CF,RF) MiLB")</f>
        <v>Gage Workman (DET - 3B,SS,LF,CF,RF) MiLB</v>
      </c>
      <c r="C756" s="17">
        <f>IFERROR(__xludf.DUMMYFUNCTION("""COMPUTED_VALUE"""),11.0)</f>
        <v>11</v>
      </c>
      <c r="D756" s="17">
        <f>IFERROR(__xludf.DUMMYFUNCTION("""COMPUTED_VALUE"""),2.0)</f>
        <v>2</v>
      </c>
      <c r="E756" s="17">
        <f>IFERROR(__xludf.DUMMYFUNCTION("""COMPUTED_VALUE"""),0.0)</f>
        <v>0</v>
      </c>
      <c r="F756" s="17">
        <f>IFERROR(__xludf.DUMMYFUNCTION("""COMPUTED_VALUE"""),1.0)</f>
        <v>1</v>
      </c>
      <c r="G756" s="17">
        <f>IFERROR(__xludf.DUMMYFUNCTION("""COMPUTED_VALUE"""),0.0)</f>
        <v>0</v>
      </c>
      <c r="H756" s="17">
        <f>IFERROR(__xludf.DUMMYFUNCTION("""COMPUTED_VALUE"""),0.156)</f>
        <v>0.156</v>
      </c>
      <c r="I756" s="17">
        <f>IFERROR(__xludf.DUMMYFUNCTION("""COMPUTED_VALUE"""),0.226)</f>
        <v>0.226</v>
      </c>
      <c r="J756" s="17">
        <f>IFERROR(__xludf.DUMMYFUNCTION("""COMPUTED_VALUE"""),2.0)</f>
        <v>2</v>
      </c>
      <c r="K756" s="17">
        <f>IFERROR(__xludf.DUMMYFUNCTION("""COMPUTED_VALUE"""),0.0)</f>
        <v>0</v>
      </c>
      <c r="L756" s="17">
        <f>IFERROR(__xludf.DUMMYFUNCTION("""COMPUTED_VALUE"""),0.0)</f>
        <v>0</v>
      </c>
      <c r="M756" s="17">
        <f>IFERROR(__xludf.DUMMYFUNCTION("""COMPUTED_VALUE"""),1.0)</f>
        <v>1</v>
      </c>
      <c r="N756" s="17">
        <f>IFERROR(__xludf.DUMMYFUNCTION("""COMPUTED_VALUE"""),4.0)</f>
        <v>4</v>
      </c>
      <c r="O756" s="17">
        <f>IFERROR(__xludf.DUMMYFUNCTION("""COMPUTED_VALUE"""),0.196)</f>
        <v>0.196</v>
      </c>
      <c r="P756" s="17">
        <f>IFERROR(__xludf.DUMMYFUNCTION("""COMPUTED_VALUE"""),0.422)</f>
        <v>0.422</v>
      </c>
      <c r="Q756" s="34">
        <f>IFERROR(__xludf.DUMMYFUNCTION("""COMPUTED_VALUE"""),0.0)</f>
        <v>0</v>
      </c>
      <c r="R756" s="34">
        <f>IFERROR(__xludf.DUMMYFUNCTION("""COMPUTED_VALUE"""),0.0)</f>
        <v>0</v>
      </c>
      <c r="S756" s="34">
        <f>IFERROR(__xludf.DUMMYFUNCTION("""COMPUTED_VALUE"""),0.0)</f>
        <v>0</v>
      </c>
    </row>
    <row r="757">
      <c r="A757" s="17">
        <f>IFERROR(__xludf.DUMMYFUNCTION("""COMPUTED_VALUE"""),757.0)</f>
        <v>757</v>
      </c>
      <c r="B757" s="17" t="str">
        <f>IFERROR(__xludf.DUMMYFUNCTION("""COMPUTED_VALUE"""),"Miles Mastrobuoni (SEA - 2B,3B,LF,RF) IL60")</f>
        <v>Miles Mastrobuoni (SEA - 2B,3B,LF,RF) IL60</v>
      </c>
      <c r="C757" s="17">
        <f>IFERROR(__xludf.DUMMYFUNCTION("""COMPUTED_VALUE"""),15.0)</f>
        <v>15</v>
      </c>
      <c r="D757" s="17">
        <f>IFERROR(__xludf.DUMMYFUNCTION("""COMPUTED_VALUE"""),2.0)</f>
        <v>2</v>
      </c>
      <c r="E757" s="17">
        <f>IFERROR(__xludf.DUMMYFUNCTION("""COMPUTED_VALUE"""),0.0)</f>
        <v>0</v>
      </c>
      <c r="F757" s="17">
        <f>IFERROR(__xludf.DUMMYFUNCTION("""COMPUTED_VALUE"""),1.0)</f>
        <v>1</v>
      </c>
      <c r="G757" s="17">
        <f>IFERROR(__xludf.DUMMYFUNCTION("""COMPUTED_VALUE"""),0.0)</f>
        <v>0</v>
      </c>
      <c r="H757" s="17">
        <f>IFERROR(__xludf.DUMMYFUNCTION("""COMPUTED_VALUE"""),0.233)</f>
        <v>0.233</v>
      </c>
      <c r="I757" s="17">
        <f>IFERROR(__xludf.DUMMYFUNCTION("""COMPUTED_VALUE"""),0.306)</f>
        <v>0.306</v>
      </c>
      <c r="J757" s="17">
        <f>IFERROR(__xludf.DUMMYFUNCTION("""COMPUTED_VALUE"""),3.0)</f>
        <v>3</v>
      </c>
      <c r="K757" s="17">
        <f>IFERROR(__xludf.DUMMYFUNCTION("""COMPUTED_VALUE"""),1.0)</f>
        <v>1</v>
      </c>
      <c r="L757" s="17">
        <f>IFERROR(__xludf.DUMMYFUNCTION("""COMPUTED_VALUE"""),0.0)</f>
        <v>0</v>
      </c>
      <c r="M757" s="17">
        <f>IFERROR(__xludf.DUMMYFUNCTION("""COMPUTED_VALUE"""),2.0)</f>
        <v>2</v>
      </c>
      <c r="N757" s="17">
        <f>IFERROR(__xludf.DUMMYFUNCTION("""COMPUTED_VALUE"""),3.0)</f>
        <v>3</v>
      </c>
      <c r="O757" s="17">
        <f>IFERROR(__xludf.DUMMYFUNCTION("""COMPUTED_VALUE"""),0.307)</f>
        <v>0.307</v>
      </c>
      <c r="P757" s="17">
        <f>IFERROR(__xludf.DUMMYFUNCTION("""COMPUTED_VALUE"""),0.613)</f>
        <v>0.613</v>
      </c>
      <c r="Q757" s="34">
        <f>IFERROR(__xludf.DUMMYFUNCTION("""COMPUTED_VALUE"""),0.0)</f>
        <v>0</v>
      </c>
      <c r="R757" s="34">
        <f>IFERROR(__xludf.DUMMYFUNCTION("""COMPUTED_VALUE"""),0.0)</f>
        <v>0</v>
      </c>
      <c r="S757" s="34">
        <f>IFERROR(__xludf.DUMMYFUNCTION("""COMPUTED_VALUE"""),0.0)</f>
        <v>0</v>
      </c>
    </row>
    <row r="758">
      <c r="A758" s="17">
        <f>IFERROR(__xludf.DUMMYFUNCTION("""COMPUTED_VALUE"""),758.0)</f>
        <v>758</v>
      </c>
      <c r="B758" s="17" t="str">
        <f>IFERROR(__xludf.DUMMYFUNCTION("""COMPUTED_VALUE"""),"Christian Cairo (PHI - SS) MiLB")</f>
        <v>Christian Cairo (PHI - SS) MiLB</v>
      </c>
      <c r="C758" s="17">
        <f>IFERROR(__xludf.DUMMYFUNCTION("""COMPUTED_VALUE"""),15.0)</f>
        <v>15</v>
      </c>
      <c r="D758" s="17">
        <f>IFERROR(__xludf.DUMMYFUNCTION("""COMPUTED_VALUE"""),2.0)</f>
        <v>2</v>
      </c>
      <c r="E758" s="17">
        <f>IFERROR(__xludf.DUMMYFUNCTION("""COMPUTED_VALUE"""),0.0)</f>
        <v>0</v>
      </c>
      <c r="F758" s="17">
        <f>IFERROR(__xludf.DUMMYFUNCTION("""COMPUTED_VALUE"""),1.0)</f>
        <v>1</v>
      </c>
      <c r="G758" s="17">
        <f>IFERROR(__xludf.DUMMYFUNCTION("""COMPUTED_VALUE"""),0.0)</f>
        <v>0</v>
      </c>
      <c r="H758" s="17">
        <f>IFERROR(__xludf.DUMMYFUNCTION("""COMPUTED_VALUE"""),0.213)</f>
        <v>0.213</v>
      </c>
      <c r="I758" s="17">
        <f>IFERROR(__xludf.DUMMYFUNCTION("""COMPUTED_VALUE"""),0.296)</f>
        <v>0.296</v>
      </c>
      <c r="J758" s="17">
        <f>IFERROR(__xludf.DUMMYFUNCTION("""COMPUTED_VALUE"""),3.0)</f>
        <v>3</v>
      </c>
      <c r="K758" s="17">
        <f>IFERROR(__xludf.DUMMYFUNCTION("""COMPUTED_VALUE"""),0.0)</f>
        <v>0</v>
      </c>
      <c r="L758" s="17">
        <f>IFERROR(__xludf.DUMMYFUNCTION("""COMPUTED_VALUE"""),0.0)</f>
        <v>0</v>
      </c>
      <c r="M758" s="17">
        <f>IFERROR(__xludf.DUMMYFUNCTION("""COMPUTED_VALUE"""),2.0)</f>
        <v>2</v>
      </c>
      <c r="N758" s="17">
        <f>IFERROR(__xludf.DUMMYFUNCTION("""COMPUTED_VALUE"""),4.0)</f>
        <v>4</v>
      </c>
      <c r="O758" s="17">
        <f>IFERROR(__xludf.DUMMYFUNCTION("""COMPUTED_VALUE"""),0.279)</f>
        <v>0.279</v>
      </c>
      <c r="P758" s="17">
        <f>IFERROR(__xludf.DUMMYFUNCTION("""COMPUTED_VALUE"""),0.575)</f>
        <v>0.575</v>
      </c>
      <c r="Q758" s="34">
        <f>IFERROR(__xludf.DUMMYFUNCTION("""COMPUTED_VALUE"""),0.0)</f>
        <v>0</v>
      </c>
      <c r="R758" s="34">
        <f>IFERROR(__xludf.DUMMYFUNCTION("""COMPUTED_VALUE"""),0.0)</f>
        <v>0</v>
      </c>
      <c r="S758" s="34">
        <f>IFERROR(__xludf.DUMMYFUNCTION("""COMPUTED_VALUE"""),0.0)</f>
        <v>0</v>
      </c>
    </row>
    <row r="759">
      <c r="A759" s="17">
        <f>IFERROR(__xludf.DUMMYFUNCTION("""COMPUTED_VALUE"""),759.0)</f>
        <v>759</v>
      </c>
      <c r="B759" s="17" t="str">
        <f>IFERROR(__xludf.DUMMYFUNCTION("""COMPUTED_VALUE"""),"Steward Berroa (PHI - CF,RF) MiLB")</f>
        <v>Steward Berroa (PHI - CF,RF) MiLB</v>
      </c>
      <c r="C759" s="17">
        <f>IFERROR(__xludf.DUMMYFUNCTION("""COMPUTED_VALUE"""),5.0)</f>
        <v>5</v>
      </c>
      <c r="D759" s="17">
        <f>IFERROR(__xludf.DUMMYFUNCTION("""COMPUTED_VALUE"""),1.0)</f>
        <v>1</v>
      </c>
      <c r="E759" s="17">
        <f>IFERROR(__xludf.DUMMYFUNCTION("""COMPUTED_VALUE"""),0.0)</f>
        <v>0</v>
      </c>
      <c r="F759" s="17">
        <f>IFERROR(__xludf.DUMMYFUNCTION("""COMPUTED_VALUE"""),1.0)</f>
        <v>1</v>
      </c>
      <c r="G759" s="17">
        <f>IFERROR(__xludf.DUMMYFUNCTION("""COMPUTED_VALUE"""),0.0)</f>
        <v>0</v>
      </c>
      <c r="H759" s="17">
        <f>IFERROR(__xludf.DUMMYFUNCTION("""COMPUTED_VALUE"""),0.204)</f>
        <v>0.204</v>
      </c>
      <c r="I759" s="17">
        <f>IFERROR(__xludf.DUMMYFUNCTION("""COMPUTED_VALUE"""),0.312)</f>
        <v>0.312</v>
      </c>
      <c r="J759" s="17">
        <f>IFERROR(__xludf.DUMMYFUNCTION("""COMPUTED_VALUE"""),1.0)</f>
        <v>1</v>
      </c>
      <c r="K759" s="17">
        <f>IFERROR(__xludf.DUMMYFUNCTION("""COMPUTED_VALUE"""),0.0)</f>
        <v>0</v>
      </c>
      <c r="L759" s="17">
        <f>IFERROR(__xludf.DUMMYFUNCTION("""COMPUTED_VALUE"""),0.0)</f>
        <v>0</v>
      </c>
      <c r="M759" s="17">
        <f>IFERROR(__xludf.DUMMYFUNCTION("""COMPUTED_VALUE"""),1.0)</f>
        <v>1</v>
      </c>
      <c r="N759" s="17">
        <f>IFERROR(__xludf.DUMMYFUNCTION("""COMPUTED_VALUE"""),2.0)</f>
        <v>2</v>
      </c>
      <c r="O759" s="17">
        <f>IFERROR(__xludf.DUMMYFUNCTION("""COMPUTED_VALUE"""),0.251)</f>
        <v>0.251</v>
      </c>
      <c r="P759" s="17">
        <f>IFERROR(__xludf.DUMMYFUNCTION("""COMPUTED_VALUE"""),0.563)</f>
        <v>0.563</v>
      </c>
      <c r="Q759" s="34">
        <f>IFERROR(__xludf.DUMMYFUNCTION("""COMPUTED_VALUE"""),0.0)</f>
        <v>0</v>
      </c>
      <c r="R759" s="34">
        <f>IFERROR(__xludf.DUMMYFUNCTION("""COMPUTED_VALUE"""),0.0)</f>
        <v>0</v>
      </c>
      <c r="S759" s="34">
        <f>IFERROR(__xludf.DUMMYFUNCTION("""COMPUTED_VALUE"""),0.0)</f>
        <v>0</v>
      </c>
    </row>
    <row r="760">
      <c r="A760" s="17">
        <f>IFERROR(__xludf.DUMMYFUNCTION("""COMPUTED_VALUE"""),760.0)</f>
        <v>760</v>
      </c>
      <c r="B760" s="17" t="str">
        <f>IFERROR(__xludf.DUMMYFUNCTION("""COMPUTED_VALUE"""),"Cavan Biggio (HOU - 1B,2B,RF) MiLB")</f>
        <v>Cavan Biggio (HOU - 1B,2B,RF) MiLB</v>
      </c>
      <c r="C760" s="17">
        <f>IFERROR(__xludf.DUMMYFUNCTION("""COMPUTED_VALUE"""),9.0)</f>
        <v>9</v>
      </c>
      <c r="D760" s="17">
        <f>IFERROR(__xludf.DUMMYFUNCTION("""COMPUTED_VALUE"""),1.0)</f>
        <v>1</v>
      </c>
      <c r="E760" s="17">
        <f>IFERROR(__xludf.DUMMYFUNCTION("""COMPUTED_VALUE"""),0.0)</f>
        <v>0</v>
      </c>
      <c r="F760" s="17">
        <f>IFERROR(__xludf.DUMMYFUNCTION("""COMPUTED_VALUE"""),1.0)</f>
        <v>1</v>
      </c>
      <c r="G760" s="17">
        <f>IFERROR(__xludf.DUMMYFUNCTION("""COMPUTED_VALUE"""),0.0)</f>
        <v>0</v>
      </c>
      <c r="H760" s="17">
        <f>IFERROR(__xludf.DUMMYFUNCTION("""COMPUTED_VALUE"""),0.19)</f>
        <v>0.19</v>
      </c>
      <c r="I760" s="17">
        <f>IFERROR(__xludf.DUMMYFUNCTION("""COMPUTED_VALUE"""),0.281)</f>
        <v>0.281</v>
      </c>
      <c r="J760" s="17">
        <f>IFERROR(__xludf.DUMMYFUNCTION("""COMPUTED_VALUE"""),2.0)</f>
        <v>2</v>
      </c>
      <c r="K760" s="17">
        <f>IFERROR(__xludf.DUMMYFUNCTION("""COMPUTED_VALUE"""),1.0)</f>
        <v>1</v>
      </c>
      <c r="L760" s="17">
        <f>IFERROR(__xludf.DUMMYFUNCTION("""COMPUTED_VALUE"""),0.0)</f>
        <v>0</v>
      </c>
      <c r="M760" s="17">
        <f>IFERROR(__xludf.DUMMYFUNCTION("""COMPUTED_VALUE"""),1.0)</f>
        <v>1</v>
      </c>
      <c r="N760" s="17">
        <f>IFERROR(__xludf.DUMMYFUNCTION("""COMPUTED_VALUE"""),3.0)</f>
        <v>3</v>
      </c>
      <c r="O760" s="17">
        <f>IFERROR(__xludf.DUMMYFUNCTION("""COMPUTED_VALUE"""),0.256)</f>
        <v>0.256</v>
      </c>
      <c r="P760" s="17">
        <f>IFERROR(__xludf.DUMMYFUNCTION("""COMPUTED_VALUE"""),0.537)</f>
        <v>0.537</v>
      </c>
      <c r="Q760" s="34">
        <f>IFERROR(__xludf.DUMMYFUNCTION("""COMPUTED_VALUE"""),0.0)</f>
        <v>0</v>
      </c>
      <c r="R760" s="34">
        <f>IFERROR(__xludf.DUMMYFUNCTION("""COMPUTED_VALUE"""),0.0)</f>
        <v>0</v>
      </c>
      <c r="S760" s="34">
        <f>IFERROR(__xludf.DUMMYFUNCTION("""COMPUTED_VALUE"""),0.0)</f>
        <v>0</v>
      </c>
    </row>
    <row r="761">
      <c r="A761" s="17">
        <f>IFERROR(__xludf.DUMMYFUNCTION("""COMPUTED_VALUE"""),761.0)</f>
        <v>761</v>
      </c>
      <c r="B761" s="17" t="str">
        <f>IFERROR(__xludf.DUMMYFUNCTION("""COMPUTED_VALUE"""),"Trey Mancini (LAA - 1B,LF,RF) MiLB")</f>
        <v>Trey Mancini (LAA - 1B,LF,RF) MiLB</v>
      </c>
      <c r="C761" s="17">
        <f>IFERROR(__xludf.DUMMYFUNCTION("""COMPUTED_VALUE"""),9.0)</f>
        <v>9</v>
      </c>
      <c r="D761" s="17">
        <f>IFERROR(__xludf.DUMMYFUNCTION("""COMPUTED_VALUE"""),1.0)</f>
        <v>1</v>
      </c>
      <c r="E761" s="17">
        <f>IFERROR(__xludf.DUMMYFUNCTION("""COMPUTED_VALUE"""),0.0)</f>
        <v>0</v>
      </c>
      <c r="F761" s="17">
        <f>IFERROR(__xludf.DUMMYFUNCTION("""COMPUTED_VALUE"""),1.0)</f>
        <v>1</v>
      </c>
      <c r="G761" s="17">
        <f>IFERROR(__xludf.DUMMYFUNCTION("""COMPUTED_VALUE"""),0.0)</f>
        <v>0</v>
      </c>
      <c r="H761" s="17">
        <f>IFERROR(__xludf.DUMMYFUNCTION("""COMPUTED_VALUE"""),0.192)</f>
        <v>0.192</v>
      </c>
      <c r="I761" s="17">
        <f>IFERROR(__xludf.DUMMYFUNCTION("""COMPUTED_VALUE"""),0.242)</f>
        <v>0.242</v>
      </c>
      <c r="J761" s="17">
        <f>IFERROR(__xludf.DUMMYFUNCTION("""COMPUTED_VALUE"""),2.0)</f>
        <v>2</v>
      </c>
      <c r="K761" s="17">
        <f>IFERROR(__xludf.DUMMYFUNCTION("""COMPUTED_VALUE"""),0.0)</f>
        <v>0</v>
      </c>
      <c r="L761" s="17">
        <f>IFERROR(__xludf.DUMMYFUNCTION("""COMPUTED_VALUE"""),0.0)</f>
        <v>0</v>
      </c>
      <c r="M761" s="17">
        <f>IFERROR(__xludf.DUMMYFUNCTION("""COMPUTED_VALUE"""),1.0)</f>
        <v>1</v>
      </c>
      <c r="N761" s="17">
        <f>IFERROR(__xludf.DUMMYFUNCTION("""COMPUTED_VALUE"""),3.0)</f>
        <v>3</v>
      </c>
      <c r="O761" s="17">
        <f>IFERROR(__xludf.DUMMYFUNCTION("""COMPUTED_VALUE"""),0.278)</f>
        <v>0.278</v>
      </c>
      <c r="P761" s="17">
        <f>IFERROR(__xludf.DUMMYFUNCTION("""COMPUTED_VALUE"""),0.52)</f>
        <v>0.52</v>
      </c>
      <c r="Q761" s="34">
        <f>IFERROR(__xludf.DUMMYFUNCTION("""COMPUTED_VALUE"""),0.02)</f>
        <v>0.02</v>
      </c>
      <c r="R761" s="34">
        <f>IFERROR(__xludf.DUMMYFUNCTION("""COMPUTED_VALUE"""),0.03)</f>
        <v>0.03</v>
      </c>
      <c r="S761" s="34">
        <f>IFERROR(__xludf.DUMMYFUNCTION("""COMPUTED_VALUE"""),0.0)</f>
        <v>0</v>
      </c>
    </row>
    <row r="762">
      <c r="A762" s="17">
        <f>IFERROR(__xludf.DUMMYFUNCTION("""COMPUTED_VALUE"""),762.0)</f>
        <v>762</v>
      </c>
      <c r="B762" s="17" t="str">
        <f>IFERROR(__xludf.DUMMYFUNCTION("""COMPUTED_VALUE"""),"Kevin Newman (KC - 1B,2B,3B,SS) MiLB")</f>
        <v>Kevin Newman (KC - 1B,2B,3B,SS) MiLB</v>
      </c>
      <c r="C762" s="17">
        <f>IFERROR(__xludf.DUMMYFUNCTION("""COMPUTED_VALUE"""),9.0)</f>
        <v>9</v>
      </c>
      <c r="D762" s="17">
        <f>IFERROR(__xludf.DUMMYFUNCTION("""COMPUTED_VALUE"""),1.0)</f>
        <v>1</v>
      </c>
      <c r="E762" s="17">
        <f>IFERROR(__xludf.DUMMYFUNCTION("""COMPUTED_VALUE"""),0.0)</f>
        <v>0</v>
      </c>
      <c r="F762" s="17">
        <f>IFERROR(__xludf.DUMMYFUNCTION("""COMPUTED_VALUE"""),1.0)</f>
        <v>1</v>
      </c>
      <c r="G762" s="17">
        <f>IFERROR(__xludf.DUMMYFUNCTION("""COMPUTED_VALUE"""),0.0)</f>
        <v>0</v>
      </c>
      <c r="H762" s="17">
        <f>IFERROR(__xludf.DUMMYFUNCTION("""COMPUTED_VALUE"""),0.25)</f>
        <v>0.25</v>
      </c>
      <c r="I762" s="17">
        <f>IFERROR(__xludf.DUMMYFUNCTION("""COMPUTED_VALUE"""),0.294)</f>
        <v>0.294</v>
      </c>
      <c r="J762" s="17">
        <f>IFERROR(__xludf.DUMMYFUNCTION("""COMPUTED_VALUE"""),2.0)</f>
        <v>2</v>
      </c>
      <c r="K762" s="17">
        <f>IFERROR(__xludf.DUMMYFUNCTION("""COMPUTED_VALUE"""),1.0)</f>
        <v>1</v>
      </c>
      <c r="L762" s="17">
        <f>IFERROR(__xludf.DUMMYFUNCTION("""COMPUTED_VALUE"""),0.0)</f>
        <v>0</v>
      </c>
      <c r="M762" s="17">
        <f>IFERROR(__xludf.DUMMYFUNCTION("""COMPUTED_VALUE"""),1.0)</f>
        <v>1</v>
      </c>
      <c r="N762" s="17">
        <f>IFERROR(__xludf.DUMMYFUNCTION("""COMPUTED_VALUE"""),2.0)</f>
        <v>2</v>
      </c>
      <c r="O762" s="17">
        <f>IFERROR(__xludf.DUMMYFUNCTION("""COMPUTED_VALUE"""),0.316)</f>
        <v>0.316</v>
      </c>
      <c r="P762" s="17">
        <f>IFERROR(__xludf.DUMMYFUNCTION("""COMPUTED_VALUE"""),0.61)</f>
        <v>0.61</v>
      </c>
      <c r="Q762" s="34">
        <f>IFERROR(__xludf.DUMMYFUNCTION("""COMPUTED_VALUE"""),0.0)</f>
        <v>0</v>
      </c>
      <c r="R762" s="34">
        <f>IFERROR(__xludf.DUMMYFUNCTION("""COMPUTED_VALUE"""),0.0)</f>
        <v>0</v>
      </c>
      <c r="S762" s="34">
        <f>IFERROR(__xludf.DUMMYFUNCTION("""COMPUTED_VALUE"""),0.0)</f>
        <v>0</v>
      </c>
    </row>
    <row r="763">
      <c r="A763" s="17">
        <f>IFERROR(__xludf.DUMMYFUNCTION("""COMPUTED_VALUE"""),763.0)</f>
        <v>763</v>
      </c>
      <c r="B763" s="17" t="str">
        <f>IFERROR(__xludf.DUMMYFUNCTION("""COMPUTED_VALUE"""),"Nick Senzel (LAD - 3B,LF,CF,RF) MiLB")</f>
        <v>Nick Senzel (LAD - 3B,LF,CF,RF) MiLB</v>
      </c>
      <c r="C763" s="17">
        <f>IFERROR(__xludf.DUMMYFUNCTION("""COMPUTED_VALUE"""),9.0)</f>
        <v>9</v>
      </c>
      <c r="D763" s="17">
        <f>IFERROR(__xludf.DUMMYFUNCTION("""COMPUTED_VALUE"""),1.0)</f>
        <v>1</v>
      </c>
      <c r="E763" s="17">
        <f>IFERROR(__xludf.DUMMYFUNCTION("""COMPUTED_VALUE"""),0.0)</f>
        <v>0</v>
      </c>
      <c r="F763" s="17">
        <f>IFERROR(__xludf.DUMMYFUNCTION("""COMPUTED_VALUE"""),1.0)</f>
        <v>1</v>
      </c>
      <c r="G763" s="17">
        <f>IFERROR(__xludf.DUMMYFUNCTION("""COMPUTED_VALUE"""),0.0)</f>
        <v>0</v>
      </c>
      <c r="H763" s="17">
        <f>IFERROR(__xludf.DUMMYFUNCTION("""COMPUTED_VALUE"""),0.189)</f>
        <v>0.189</v>
      </c>
      <c r="I763" s="17">
        <f>IFERROR(__xludf.DUMMYFUNCTION("""COMPUTED_VALUE"""),0.278)</f>
        <v>0.278</v>
      </c>
      <c r="J763" s="17">
        <f>IFERROR(__xludf.DUMMYFUNCTION("""COMPUTED_VALUE"""),2.0)</f>
        <v>2</v>
      </c>
      <c r="K763" s="17">
        <f>IFERROR(__xludf.DUMMYFUNCTION("""COMPUTED_VALUE"""),1.0)</f>
        <v>1</v>
      </c>
      <c r="L763" s="17">
        <f>IFERROR(__xludf.DUMMYFUNCTION("""COMPUTED_VALUE"""),0.0)</f>
        <v>0</v>
      </c>
      <c r="M763" s="17">
        <f>IFERROR(__xludf.DUMMYFUNCTION("""COMPUTED_VALUE"""),1.0)</f>
        <v>1</v>
      </c>
      <c r="N763" s="17">
        <f>IFERROR(__xludf.DUMMYFUNCTION("""COMPUTED_VALUE"""),2.0)</f>
        <v>2</v>
      </c>
      <c r="O763" s="17">
        <f>IFERROR(__xludf.DUMMYFUNCTION("""COMPUTED_VALUE"""),0.256)</f>
        <v>0.256</v>
      </c>
      <c r="P763" s="17">
        <f>IFERROR(__xludf.DUMMYFUNCTION("""COMPUTED_VALUE"""),0.535)</f>
        <v>0.535</v>
      </c>
      <c r="Q763" s="34">
        <f>IFERROR(__xludf.DUMMYFUNCTION("""COMPUTED_VALUE"""),0.0)</f>
        <v>0</v>
      </c>
      <c r="R763" s="34">
        <f>IFERROR(__xludf.DUMMYFUNCTION("""COMPUTED_VALUE"""),0.0)</f>
        <v>0</v>
      </c>
      <c r="S763" s="34">
        <f>IFERROR(__xludf.DUMMYFUNCTION("""COMPUTED_VALUE"""),0.0)</f>
        <v>0</v>
      </c>
    </row>
    <row r="764">
      <c r="A764" s="17">
        <f>IFERROR(__xludf.DUMMYFUNCTION("""COMPUTED_VALUE"""),764.0)</f>
        <v>764</v>
      </c>
      <c r="B764" s="17" t="str">
        <f>IFERROR(__xludf.DUMMYFUNCTION("""COMPUTED_VALUE"""),"Victor Mesa Jr. (TB - RF) MiLB")</f>
        <v>Victor Mesa Jr. (TB - RF) MiLB</v>
      </c>
      <c r="C764" s="17">
        <f>IFERROR(__xludf.DUMMYFUNCTION("""COMPUTED_VALUE"""),9.0)</f>
        <v>9</v>
      </c>
      <c r="D764" s="17">
        <f>IFERROR(__xludf.DUMMYFUNCTION("""COMPUTED_VALUE"""),1.0)</f>
        <v>1</v>
      </c>
      <c r="E764" s="17">
        <f>IFERROR(__xludf.DUMMYFUNCTION("""COMPUTED_VALUE"""),0.0)</f>
        <v>0</v>
      </c>
      <c r="F764" s="17">
        <f>IFERROR(__xludf.DUMMYFUNCTION("""COMPUTED_VALUE"""),1.0)</f>
        <v>1</v>
      </c>
      <c r="G764" s="17">
        <f>IFERROR(__xludf.DUMMYFUNCTION("""COMPUTED_VALUE"""),0.0)</f>
        <v>0</v>
      </c>
      <c r="H764" s="17">
        <f>IFERROR(__xludf.DUMMYFUNCTION("""COMPUTED_VALUE"""),0.218)</f>
        <v>0.218</v>
      </c>
      <c r="I764" s="17">
        <f>IFERROR(__xludf.DUMMYFUNCTION("""COMPUTED_VALUE"""),0.263)</f>
        <v>0.263</v>
      </c>
      <c r="J764" s="17">
        <f>IFERROR(__xludf.DUMMYFUNCTION("""COMPUTED_VALUE"""),2.0)</f>
        <v>2</v>
      </c>
      <c r="K764" s="17">
        <f>IFERROR(__xludf.DUMMYFUNCTION("""COMPUTED_VALUE"""),0.0)</f>
        <v>0</v>
      </c>
      <c r="L764" s="17">
        <f>IFERROR(__xludf.DUMMYFUNCTION("""COMPUTED_VALUE"""),0.0)</f>
        <v>0</v>
      </c>
      <c r="M764" s="17">
        <f>IFERROR(__xludf.DUMMYFUNCTION("""COMPUTED_VALUE"""),1.0)</f>
        <v>1</v>
      </c>
      <c r="N764" s="17">
        <f>IFERROR(__xludf.DUMMYFUNCTION("""COMPUTED_VALUE"""),2.0)</f>
        <v>2</v>
      </c>
      <c r="O764" s="17">
        <f>IFERROR(__xludf.DUMMYFUNCTION("""COMPUTED_VALUE"""),0.318)</f>
        <v>0.318</v>
      </c>
      <c r="P764" s="17">
        <f>IFERROR(__xludf.DUMMYFUNCTION("""COMPUTED_VALUE"""),0.581)</f>
        <v>0.581</v>
      </c>
      <c r="Q764" s="34">
        <f>IFERROR(__xludf.DUMMYFUNCTION("""COMPUTED_VALUE"""),0.0)</f>
        <v>0</v>
      </c>
      <c r="R764" s="34">
        <f>IFERROR(__xludf.DUMMYFUNCTION("""COMPUTED_VALUE"""),0.0)</f>
        <v>0</v>
      </c>
      <c r="S764" s="34">
        <f>IFERROR(__xludf.DUMMYFUNCTION("""COMPUTED_VALUE"""),0.0)</f>
        <v>0</v>
      </c>
    </row>
    <row r="765">
      <c r="A765" s="17">
        <f>IFERROR(__xludf.DUMMYFUNCTION("""COMPUTED_VALUE"""),765.0)</f>
        <v>765</v>
      </c>
      <c r="B765" s="17" t="str">
        <f>IFERROR(__xludf.DUMMYFUNCTION("""COMPUTED_VALUE"""),"Jose Barrero (BAL - SS,CF) MiLB")</f>
        <v>Jose Barrero (BAL - SS,CF) MiLB</v>
      </c>
      <c r="C765" s="17">
        <f>IFERROR(__xludf.DUMMYFUNCTION("""COMPUTED_VALUE"""),9.0)</f>
        <v>9</v>
      </c>
      <c r="D765" s="17">
        <f>IFERROR(__xludf.DUMMYFUNCTION("""COMPUTED_VALUE"""),1.0)</f>
        <v>1</v>
      </c>
      <c r="E765" s="17">
        <f>IFERROR(__xludf.DUMMYFUNCTION("""COMPUTED_VALUE"""),0.0)</f>
        <v>0</v>
      </c>
      <c r="F765" s="17">
        <f>IFERROR(__xludf.DUMMYFUNCTION("""COMPUTED_VALUE"""),1.0)</f>
        <v>1</v>
      </c>
      <c r="G765" s="17">
        <f>IFERROR(__xludf.DUMMYFUNCTION("""COMPUTED_VALUE"""),0.0)</f>
        <v>0</v>
      </c>
      <c r="H765" s="17">
        <f>IFERROR(__xludf.DUMMYFUNCTION("""COMPUTED_VALUE"""),0.189)</f>
        <v>0.189</v>
      </c>
      <c r="I765" s="17">
        <f>IFERROR(__xludf.DUMMYFUNCTION("""COMPUTED_VALUE"""),0.238)</f>
        <v>0.238</v>
      </c>
      <c r="J765" s="17">
        <f>IFERROR(__xludf.DUMMYFUNCTION("""COMPUTED_VALUE"""),2.0)</f>
        <v>2</v>
      </c>
      <c r="K765" s="17">
        <f>IFERROR(__xludf.DUMMYFUNCTION("""COMPUTED_VALUE"""),1.0)</f>
        <v>1</v>
      </c>
      <c r="L765" s="17">
        <f>IFERROR(__xludf.DUMMYFUNCTION("""COMPUTED_VALUE"""),0.0)</f>
        <v>0</v>
      </c>
      <c r="M765" s="17">
        <f>IFERROR(__xludf.DUMMYFUNCTION("""COMPUTED_VALUE"""),1.0)</f>
        <v>1</v>
      </c>
      <c r="N765" s="17">
        <f>IFERROR(__xludf.DUMMYFUNCTION("""COMPUTED_VALUE"""),3.0)</f>
        <v>3</v>
      </c>
      <c r="O765" s="17">
        <f>IFERROR(__xludf.DUMMYFUNCTION("""COMPUTED_VALUE"""),0.258)</f>
        <v>0.258</v>
      </c>
      <c r="P765" s="17">
        <f>IFERROR(__xludf.DUMMYFUNCTION("""COMPUTED_VALUE"""),0.495)</f>
        <v>0.495</v>
      </c>
      <c r="Q765" s="34">
        <f>IFERROR(__xludf.DUMMYFUNCTION("""COMPUTED_VALUE"""),0.0)</f>
        <v>0</v>
      </c>
      <c r="R765" s="34">
        <f>IFERROR(__xludf.DUMMYFUNCTION("""COMPUTED_VALUE"""),0.0)</f>
        <v>0</v>
      </c>
      <c r="S765" s="34">
        <f>IFERROR(__xludf.DUMMYFUNCTION("""COMPUTED_VALUE"""),0.0)</f>
        <v>0</v>
      </c>
    </row>
    <row r="766">
      <c r="A766" s="17">
        <f>IFERROR(__xludf.DUMMYFUNCTION("""COMPUTED_VALUE"""),766.0)</f>
        <v>766</v>
      </c>
      <c r="B766" s="17" t="str">
        <f>IFERROR(__xludf.DUMMYFUNCTION("""COMPUTED_VALUE"""),"LaMonte Wade Jr. (CWS - 1B,RF) MiLB")</f>
        <v>LaMonte Wade Jr. (CWS - 1B,RF) MiLB</v>
      </c>
      <c r="C766" s="17">
        <f>IFERROR(__xludf.DUMMYFUNCTION("""COMPUTED_VALUE"""),9.0)</f>
        <v>9</v>
      </c>
      <c r="D766" s="17">
        <f>IFERROR(__xludf.DUMMYFUNCTION("""COMPUTED_VALUE"""),1.0)</f>
        <v>1</v>
      </c>
      <c r="E766" s="17">
        <f>IFERROR(__xludf.DUMMYFUNCTION("""COMPUTED_VALUE"""),0.0)</f>
        <v>0</v>
      </c>
      <c r="F766" s="17">
        <f>IFERROR(__xludf.DUMMYFUNCTION("""COMPUTED_VALUE"""),1.0)</f>
        <v>1</v>
      </c>
      <c r="G766" s="17">
        <f>IFERROR(__xludf.DUMMYFUNCTION("""COMPUTED_VALUE"""),0.0)</f>
        <v>0</v>
      </c>
      <c r="H766" s="17">
        <f>IFERROR(__xludf.DUMMYFUNCTION("""COMPUTED_VALUE"""),0.171)</f>
        <v>0.171</v>
      </c>
      <c r="I766" s="17">
        <f>IFERROR(__xludf.DUMMYFUNCTION("""COMPUTED_VALUE"""),0.291)</f>
        <v>0.291</v>
      </c>
      <c r="J766" s="17">
        <f>IFERROR(__xludf.DUMMYFUNCTION("""COMPUTED_VALUE"""),2.0)</f>
        <v>2</v>
      </c>
      <c r="K766" s="17">
        <f>IFERROR(__xludf.DUMMYFUNCTION("""COMPUTED_VALUE"""),0.0)</f>
        <v>0</v>
      </c>
      <c r="L766" s="17">
        <f>IFERROR(__xludf.DUMMYFUNCTION("""COMPUTED_VALUE"""),0.0)</f>
        <v>0</v>
      </c>
      <c r="M766" s="17">
        <f>IFERROR(__xludf.DUMMYFUNCTION("""COMPUTED_VALUE"""),2.0)</f>
        <v>2</v>
      </c>
      <c r="N766" s="17">
        <f>IFERROR(__xludf.DUMMYFUNCTION("""COMPUTED_VALUE"""),3.0)</f>
        <v>3</v>
      </c>
      <c r="O766" s="17">
        <f>IFERROR(__xludf.DUMMYFUNCTION("""COMPUTED_VALUE"""),0.264)</f>
        <v>0.264</v>
      </c>
      <c r="P766" s="17">
        <f>IFERROR(__xludf.DUMMYFUNCTION("""COMPUTED_VALUE"""),0.556)</f>
        <v>0.556</v>
      </c>
      <c r="Q766" s="34">
        <f>IFERROR(__xludf.DUMMYFUNCTION("""COMPUTED_VALUE"""),0.0)</f>
        <v>0</v>
      </c>
      <c r="R766" s="34">
        <f>IFERROR(__xludf.DUMMYFUNCTION("""COMPUTED_VALUE"""),0.0)</f>
        <v>0</v>
      </c>
      <c r="S766" s="34">
        <f>IFERROR(__xludf.DUMMYFUNCTION("""COMPUTED_VALUE"""),0.0)</f>
        <v>0</v>
      </c>
    </row>
    <row r="767">
      <c r="A767" s="17">
        <f>IFERROR(__xludf.DUMMYFUNCTION("""COMPUTED_VALUE"""),767.0)</f>
        <v>767</v>
      </c>
      <c r="B767" s="17" t="str">
        <f>IFERROR(__xludf.DUMMYFUNCTION("""COMPUTED_VALUE"""),"Pablo Reyes (SD - 2B,3B,RF) MiLB")</f>
        <v>Pablo Reyes (SD - 2B,3B,RF) MiLB</v>
      </c>
      <c r="C767" s="17">
        <f>IFERROR(__xludf.DUMMYFUNCTION("""COMPUTED_VALUE"""),9.0)</f>
        <v>9</v>
      </c>
      <c r="D767" s="17">
        <f>IFERROR(__xludf.DUMMYFUNCTION("""COMPUTED_VALUE"""),1.0)</f>
        <v>1</v>
      </c>
      <c r="E767" s="17">
        <f>IFERROR(__xludf.DUMMYFUNCTION("""COMPUTED_VALUE"""),0.0)</f>
        <v>0</v>
      </c>
      <c r="F767" s="17">
        <f>IFERROR(__xludf.DUMMYFUNCTION("""COMPUTED_VALUE"""),1.0)</f>
        <v>1</v>
      </c>
      <c r="G767" s="17">
        <f>IFERROR(__xludf.DUMMYFUNCTION("""COMPUTED_VALUE"""),0.0)</f>
        <v>0</v>
      </c>
      <c r="H767" s="17">
        <f>IFERROR(__xludf.DUMMYFUNCTION("""COMPUTED_VALUE"""),0.249)</f>
        <v>0.249</v>
      </c>
      <c r="I767" s="17">
        <f>IFERROR(__xludf.DUMMYFUNCTION("""COMPUTED_VALUE"""),0.331)</f>
        <v>0.331</v>
      </c>
      <c r="J767" s="17">
        <f>IFERROR(__xludf.DUMMYFUNCTION("""COMPUTED_VALUE"""),2.0)</f>
        <v>2</v>
      </c>
      <c r="K767" s="17">
        <f>IFERROR(__xludf.DUMMYFUNCTION("""COMPUTED_VALUE"""),1.0)</f>
        <v>1</v>
      </c>
      <c r="L767" s="17">
        <f>IFERROR(__xludf.DUMMYFUNCTION("""COMPUTED_VALUE"""),0.0)</f>
        <v>0</v>
      </c>
      <c r="M767" s="17">
        <f>IFERROR(__xludf.DUMMYFUNCTION("""COMPUTED_VALUE"""),1.0)</f>
        <v>1</v>
      </c>
      <c r="N767" s="17">
        <f>IFERROR(__xludf.DUMMYFUNCTION("""COMPUTED_VALUE"""),2.0)</f>
        <v>2</v>
      </c>
      <c r="O767" s="17">
        <f>IFERROR(__xludf.DUMMYFUNCTION("""COMPUTED_VALUE"""),0.317)</f>
        <v>0.317</v>
      </c>
      <c r="P767" s="17">
        <f>IFERROR(__xludf.DUMMYFUNCTION("""COMPUTED_VALUE"""),0.648)</f>
        <v>0.648</v>
      </c>
      <c r="Q767" s="34">
        <f>IFERROR(__xludf.DUMMYFUNCTION("""COMPUTED_VALUE"""),0.0)</f>
        <v>0</v>
      </c>
      <c r="R767" s="34">
        <f>IFERROR(__xludf.DUMMYFUNCTION("""COMPUTED_VALUE"""),0.0)</f>
        <v>0</v>
      </c>
      <c r="S767" s="34">
        <f>IFERROR(__xludf.DUMMYFUNCTION("""COMPUTED_VALUE"""),0.0)</f>
        <v>0</v>
      </c>
    </row>
    <row r="768">
      <c r="A768" s="17">
        <f>IFERROR(__xludf.DUMMYFUNCTION("""COMPUTED_VALUE"""),768.0)</f>
        <v>768</v>
      </c>
      <c r="B768" s="17" t="str">
        <f>IFERROR(__xludf.DUMMYFUNCTION("""COMPUTED_VALUE"""),"Jason Delay (BOS - C) MiLB")</f>
        <v>Jason Delay (BOS - C) MiLB</v>
      </c>
      <c r="C768" s="17">
        <f>IFERROR(__xludf.DUMMYFUNCTION("""COMPUTED_VALUE"""),9.0)</f>
        <v>9</v>
      </c>
      <c r="D768" s="17">
        <f>IFERROR(__xludf.DUMMYFUNCTION("""COMPUTED_VALUE"""),1.0)</f>
        <v>1</v>
      </c>
      <c r="E768" s="17">
        <f>IFERROR(__xludf.DUMMYFUNCTION("""COMPUTED_VALUE"""),0.0)</f>
        <v>0</v>
      </c>
      <c r="F768" s="17">
        <f>IFERROR(__xludf.DUMMYFUNCTION("""COMPUTED_VALUE"""),1.0)</f>
        <v>1</v>
      </c>
      <c r="G768" s="17">
        <f>IFERROR(__xludf.DUMMYFUNCTION("""COMPUTED_VALUE"""),0.0)</f>
        <v>0</v>
      </c>
      <c r="H768" s="17">
        <f>IFERROR(__xludf.DUMMYFUNCTION("""COMPUTED_VALUE"""),0.19)</f>
        <v>0.19</v>
      </c>
      <c r="I768" s="17">
        <f>IFERROR(__xludf.DUMMYFUNCTION("""COMPUTED_VALUE"""),0.239)</f>
        <v>0.239</v>
      </c>
      <c r="J768" s="17">
        <f>IFERROR(__xludf.DUMMYFUNCTION("""COMPUTED_VALUE"""),2.0)</f>
        <v>2</v>
      </c>
      <c r="K768" s="17">
        <f>IFERROR(__xludf.DUMMYFUNCTION("""COMPUTED_VALUE"""),1.0)</f>
        <v>1</v>
      </c>
      <c r="L768" s="17">
        <f>IFERROR(__xludf.DUMMYFUNCTION("""COMPUTED_VALUE"""),0.0)</f>
        <v>0</v>
      </c>
      <c r="M768" s="17">
        <f>IFERROR(__xludf.DUMMYFUNCTION("""COMPUTED_VALUE"""),1.0)</f>
        <v>1</v>
      </c>
      <c r="N768" s="17">
        <f>IFERROR(__xludf.DUMMYFUNCTION("""COMPUTED_VALUE"""),2.0)</f>
        <v>2</v>
      </c>
      <c r="O768" s="17">
        <f>IFERROR(__xludf.DUMMYFUNCTION("""COMPUTED_VALUE"""),0.253)</f>
        <v>0.253</v>
      </c>
      <c r="P768" s="17">
        <f>IFERROR(__xludf.DUMMYFUNCTION("""COMPUTED_VALUE"""),0.491)</f>
        <v>0.491</v>
      </c>
      <c r="Q768" s="34">
        <f>IFERROR(__xludf.DUMMYFUNCTION("""COMPUTED_VALUE"""),0.0)</f>
        <v>0</v>
      </c>
      <c r="R768" s="34">
        <f>IFERROR(__xludf.DUMMYFUNCTION("""COMPUTED_VALUE"""),0.0)</f>
        <v>0</v>
      </c>
      <c r="S768" s="34">
        <f>IFERROR(__xludf.DUMMYFUNCTION("""COMPUTED_VALUE"""),0.0)</f>
        <v>0</v>
      </c>
    </row>
    <row r="769">
      <c r="A769" s="17">
        <f>IFERROR(__xludf.DUMMYFUNCTION("""COMPUTED_VALUE"""),769.0)</f>
        <v>769</v>
      </c>
      <c r="B769" s="17" t="str">
        <f>IFERROR(__xludf.DUMMYFUNCTION("""COMPUTED_VALUE"""),"Kristian Robinson (ARI - CF,RF) MiLB")</f>
        <v>Kristian Robinson (ARI - CF,RF) MiLB</v>
      </c>
      <c r="C769" s="17">
        <f>IFERROR(__xludf.DUMMYFUNCTION("""COMPUTED_VALUE"""),9.0)</f>
        <v>9</v>
      </c>
      <c r="D769" s="17">
        <f>IFERROR(__xludf.DUMMYFUNCTION("""COMPUTED_VALUE"""),1.0)</f>
        <v>1</v>
      </c>
      <c r="E769" s="17">
        <f>IFERROR(__xludf.DUMMYFUNCTION("""COMPUTED_VALUE"""),0.0)</f>
        <v>0</v>
      </c>
      <c r="F769" s="17">
        <f>IFERROR(__xludf.DUMMYFUNCTION("""COMPUTED_VALUE"""),1.0)</f>
        <v>1</v>
      </c>
      <c r="G769" s="17">
        <f>IFERROR(__xludf.DUMMYFUNCTION("""COMPUTED_VALUE"""),0.0)</f>
        <v>0</v>
      </c>
      <c r="H769" s="17">
        <f>IFERROR(__xludf.DUMMYFUNCTION("""COMPUTED_VALUE"""),0.208)</f>
        <v>0.208</v>
      </c>
      <c r="I769" s="17">
        <f>IFERROR(__xludf.DUMMYFUNCTION("""COMPUTED_VALUE"""),0.306)</f>
        <v>0.306</v>
      </c>
      <c r="J769" s="17">
        <f>IFERROR(__xludf.DUMMYFUNCTION("""COMPUTED_VALUE"""),2.0)</f>
        <v>2</v>
      </c>
      <c r="K769" s="17">
        <f>IFERROR(__xludf.DUMMYFUNCTION("""COMPUTED_VALUE"""),0.0)</f>
        <v>0</v>
      </c>
      <c r="L769" s="17">
        <f>IFERROR(__xludf.DUMMYFUNCTION("""COMPUTED_VALUE"""),0.0)</f>
        <v>0</v>
      </c>
      <c r="M769" s="17">
        <f>IFERROR(__xludf.DUMMYFUNCTION("""COMPUTED_VALUE"""),1.0)</f>
        <v>1</v>
      </c>
      <c r="N769" s="17">
        <f>IFERROR(__xludf.DUMMYFUNCTION("""COMPUTED_VALUE"""),3.0)</f>
        <v>3</v>
      </c>
      <c r="O769" s="17">
        <f>IFERROR(__xludf.DUMMYFUNCTION("""COMPUTED_VALUE"""),0.296)</f>
        <v>0.296</v>
      </c>
      <c r="P769" s="17">
        <f>IFERROR(__xludf.DUMMYFUNCTION("""COMPUTED_VALUE"""),0.601)</f>
        <v>0.601</v>
      </c>
      <c r="Q769" s="34">
        <f>IFERROR(__xludf.DUMMYFUNCTION("""COMPUTED_VALUE"""),0.0)</f>
        <v>0</v>
      </c>
      <c r="R769" s="34">
        <f>IFERROR(__xludf.DUMMYFUNCTION("""COMPUTED_VALUE"""),0.0)</f>
        <v>0</v>
      </c>
      <c r="S769" s="34">
        <f>IFERROR(__xludf.DUMMYFUNCTION("""COMPUTED_VALUE"""),0.0)</f>
        <v>0</v>
      </c>
    </row>
    <row r="770">
      <c r="A770" s="17">
        <f>IFERROR(__xludf.DUMMYFUNCTION("""COMPUTED_VALUE"""),770.0)</f>
        <v>770</v>
      </c>
      <c r="B770" s="17" t="str">
        <f>IFERROR(__xludf.DUMMYFUNCTION("""COMPUTED_VALUE"""),"Jonathan Ornelas (NYY - 3B,SS) MiLB")</f>
        <v>Jonathan Ornelas (NYY - 3B,SS) MiLB</v>
      </c>
      <c r="C770" s="17">
        <f>IFERROR(__xludf.DUMMYFUNCTION("""COMPUTED_VALUE"""),9.0)</f>
        <v>9</v>
      </c>
      <c r="D770" s="17">
        <f>IFERROR(__xludf.DUMMYFUNCTION("""COMPUTED_VALUE"""),1.0)</f>
        <v>1</v>
      </c>
      <c r="E770" s="17">
        <f>IFERROR(__xludf.DUMMYFUNCTION("""COMPUTED_VALUE"""),0.0)</f>
        <v>0</v>
      </c>
      <c r="F770" s="17">
        <f>IFERROR(__xludf.DUMMYFUNCTION("""COMPUTED_VALUE"""),1.0)</f>
        <v>1</v>
      </c>
      <c r="G770" s="17">
        <f>IFERROR(__xludf.DUMMYFUNCTION("""COMPUTED_VALUE"""),0.0)</f>
        <v>0</v>
      </c>
      <c r="H770" s="17">
        <f>IFERROR(__xludf.DUMMYFUNCTION("""COMPUTED_VALUE"""),0.19)</f>
        <v>0.19</v>
      </c>
      <c r="I770" s="17">
        <f>IFERROR(__xludf.DUMMYFUNCTION("""COMPUTED_VALUE"""),0.24)</f>
        <v>0.24</v>
      </c>
      <c r="J770" s="17">
        <f>IFERROR(__xludf.DUMMYFUNCTION("""COMPUTED_VALUE"""),2.0)</f>
        <v>2</v>
      </c>
      <c r="K770" s="17">
        <f>IFERROR(__xludf.DUMMYFUNCTION("""COMPUTED_VALUE"""),1.0)</f>
        <v>1</v>
      </c>
      <c r="L770" s="17">
        <f>IFERROR(__xludf.DUMMYFUNCTION("""COMPUTED_VALUE"""),0.0)</f>
        <v>0</v>
      </c>
      <c r="M770" s="17">
        <f>IFERROR(__xludf.DUMMYFUNCTION("""COMPUTED_VALUE"""),1.0)</f>
        <v>1</v>
      </c>
      <c r="N770" s="17">
        <f>IFERROR(__xludf.DUMMYFUNCTION("""COMPUTED_VALUE"""),3.0)</f>
        <v>3</v>
      </c>
      <c r="O770" s="17">
        <f>IFERROR(__xludf.DUMMYFUNCTION("""COMPUTED_VALUE"""),0.256)</f>
        <v>0.256</v>
      </c>
      <c r="P770" s="17">
        <f>IFERROR(__xludf.DUMMYFUNCTION("""COMPUTED_VALUE"""),0.496)</f>
        <v>0.496</v>
      </c>
      <c r="Q770" s="34">
        <f>IFERROR(__xludf.DUMMYFUNCTION("""COMPUTED_VALUE"""),0.0)</f>
        <v>0</v>
      </c>
      <c r="R770" s="34">
        <f>IFERROR(__xludf.DUMMYFUNCTION("""COMPUTED_VALUE"""),0.0)</f>
        <v>0</v>
      </c>
      <c r="S770" s="34">
        <f>IFERROR(__xludf.DUMMYFUNCTION("""COMPUTED_VALUE"""),0.0)</f>
        <v>0</v>
      </c>
    </row>
    <row r="771">
      <c r="A771" s="17">
        <f>IFERROR(__xludf.DUMMYFUNCTION("""COMPUTED_VALUE"""),771.0)</f>
        <v>771</v>
      </c>
      <c r="B771" s="17" t="str">
        <f>IFERROR(__xludf.DUMMYFUNCTION("""COMPUTED_VALUE"""),"Ali Sanchez (NYY - C) MiLB")</f>
        <v>Ali Sanchez (NYY - C) MiLB</v>
      </c>
      <c r="C771" s="17">
        <f>IFERROR(__xludf.DUMMYFUNCTION("""COMPUTED_VALUE"""),9.0)</f>
        <v>9</v>
      </c>
      <c r="D771" s="17">
        <f>IFERROR(__xludf.DUMMYFUNCTION("""COMPUTED_VALUE"""),1.0)</f>
        <v>1</v>
      </c>
      <c r="E771" s="17">
        <f>IFERROR(__xludf.DUMMYFUNCTION("""COMPUTED_VALUE"""),0.0)</f>
        <v>0</v>
      </c>
      <c r="F771" s="17">
        <f>IFERROR(__xludf.DUMMYFUNCTION("""COMPUTED_VALUE"""),1.0)</f>
        <v>1</v>
      </c>
      <c r="G771" s="17">
        <f>IFERROR(__xludf.DUMMYFUNCTION("""COMPUTED_VALUE"""),0.0)</f>
        <v>0</v>
      </c>
      <c r="H771" s="17">
        <f>IFERROR(__xludf.DUMMYFUNCTION("""COMPUTED_VALUE"""),0.191)</f>
        <v>0.191</v>
      </c>
      <c r="I771" s="17">
        <f>IFERROR(__xludf.DUMMYFUNCTION("""COMPUTED_VALUE"""),0.239)</f>
        <v>0.239</v>
      </c>
      <c r="J771" s="17">
        <f>IFERROR(__xludf.DUMMYFUNCTION("""COMPUTED_VALUE"""),2.0)</f>
        <v>2</v>
      </c>
      <c r="K771" s="17">
        <f>IFERROR(__xludf.DUMMYFUNCTION("""COMPUTED_VALUE"""),1.0)</f>
        <v>1</v>
      </c>
      <c r="L771" s="17">
        <f>IFERROR(__xludf.DUMMYFUNCTION("""COMPUTED_VALUE"""),0.0)</f>
        <v>0</v>
      </c>
      <c r="M771" s="17">
        <f>IFERROR(__xludf.DUMMYFUNCTION("""COMPUTED_VALUE"""),1.0)</f>
        <v>1</v>
      </c>
      <c r="N771" s="17">
        <f>IFERROR(__xludf.DUMMYFUNCTION("""COMPUTED_VALUE"""),2.0)</f>
        <v>2</v>
      </c>
      <c r="O771" s="17">
        <f>IFERROR(__xludf.DUMMYFUNCTION("""COMPUTED_VALUE"""),0.258)</f>
        <v>0.258</v>
      </c>
      <c r="P771" s="17">
        <f>IFERROR(__xludf.DUMMYFUNCTION("""COMPUTED_VALUE"""),0.497)</f>
        <v>0.497</v>
      </c>
      <c r="Q771" s="34">
        <f>IFERROR(__xludf.DUMMYFUNCTION("""COMPUTED_VALUE"""),0.0)</f>
        <v>0</v>
      </c>
      <c r="R771" s="34">
        <f>IFERROR(__xludf.DUMMYFUNCTION("""COMPUTED_VALUE"""),0.0)</f>
        <v>0</v>
      </c>
      <c r="S771" s="34">
        <f>IFERROR(__xludf.DUMMYFUNCTION("""COMPUTED_VALUE"""),0.0)</f>
        <v>0</v>
      </c>
    </row>
    <row r="772">
      <c r="A772" s="17">
        <f>IFERROR(__xludf.DUMMYFUNCTION("""COMPUTED_VALUE"""),772.0)</f>
        <v>772</v>
      </c>
      <c r="B772" s="17" t="str">
        <f>IFERROR(__xludf.DUMMYFUNCTION("""COMPUTED_VALUE"""),"Abraham Toro (KC - 1B,2B,3B) MiLB")</f>
        <v>Abraham Toro (KC - 1B,2B,3B) MiLB</v>
      </c>
      <c r="C772" s="17">
        <f>IFERROR(__xludf.DUMMYFUNCTION("""COMPUTED_VALUE"""),9.0)</f>
        <v>9</v>
      </c>
      <c r="D772" s="17">
        <f>IFERROR(__xludf.DUMMYFUNCTION("""COMPUTED_VALUE"""),1.0)</f>
        <v>1</v>
      </c>
      <c r="E772" s="17">
        <f>IFERROR(__xludf.DUMMYFUNCTION("""COMPUTED_VALUE"""),0.0)</f>
        <v>0</v>
      </c>
      <c r="F772" s="17">
        <f>IFERROR(__xludf.DUMMYFUNCTION("""COMPUTED_VALUE"""),1.0)</f>
        <v>1</v>
      </c>
      <c r="G772" s="17">
        <f>IFERROR(__xludf.DUMMYFUNCTION("""COMPUTED_VALUE"""),0.0)</f>
        <v>0</v>
      </c>
      <c r="H772" s="17">
        <f>IFERROR(__xludf.DUMMYFUNCTION("""COMPUTED_VALUE"""),0.194)</f>
        <v>0.194</v>
      </c>
      <c r="I772" s="17">
        <f>IFERROR(__xludf.DUMMYFUNCTION("""COMPUTED_VALUE"""),0.243)</f>
        <v>0.243</v>
      </c>
      <c r="J772" s="17">
        <f>IFERROR(__xludf.DUMMYFUNCTION("""COMPUTED_VALUE"""),2.0)</f>
        <v>2</v>
      </c>
      <c r="K772" s="17">
        <f>IFERROR(__xludf.DUMMYFUNCTION("""COMPUTED_VALUE"""),1.0)</f>
        <v>1</v>
      </c>
      <c r="L772" s="17">
        <f>IFERROR(__xludf.DUMMYFUNCTION("""COMPUTED_VALUE"""),0.0)</f>
        <v>0</v>
      </c>
      <c r="M772" s="17">
        <f>IFERROR(__xludf.DUMMYFUNCTION("""COMPUTED_VALUE"""),1.0)</f>
        <v>1</v>
      </c>
      <c r="N772" s="17">
        <f>IFERROR(__xludf.DUMMYFUNCTION("""COMPUTED_VALUE"""),2.0)</f>
        <v>2</v>
      </c>
      <c r="O772" s="17">
        <f>IFERROR(__xludf.DUMMYFUNCTION("""COMPUTED_VALUE"""),0.265)</f>
        <v>0.265</v>
      </c>
      <c r="P772" s="17">
        <f>IFERROR(__xludf.DUMMYFUNCTION("""COMPUTED_VALUE"""),0.507)</f>
        <v>0.507</v>
      </c>
      <c r="Q772" s="34">
        <f>IFERROR(__xludf.DUMMYFUNCTION("""COMPUTED_VALUE"""),0.01)</f>
        <v>0.01</v>
      </c>
      <c r="R772" s="34">
        <f>IFERROR(__xludf.DUMMYFUNCTION("""COMPUTED_VALUE"""),0.01)</f>
        <v>0.01</v>
      </c>
      <c r="S772" s="34">
        <f>IFERROR(__xludf.DUMMYFUNCTION("""COMPUTED_VALUE"""),0.0)</f>
        <v>0</v>
      </c>
    </row>
    <row r="773">
      <c r="A773" s="17">
        <f>IFERROR(__xludf.DUMMYFUNCTION("""COMPUTED_VALUE"""),773.0)</f>
        <v>773</v>
      </c>
      <c r="B773" s="17" t="str">
        <f>IFERROR(__xludf.DUMMYFUNCTION("""COMPUTED_VALUE"""),"Chuckie Robinson (LAD - C) MiLB")</f>
        <v>Chuckie Robinson (LAD - C) MiLB</v>
      </c>
      <c r="C773" s="17">
        <f>IFERROR(__xludf.DUMMYFUNCTION("""COMPUTED_VALUE"""),9.0)</f>
        <v>9</v>
      </c>
      <c r="D773" s="17">
        <f>IFERROR(__xludf.DUMMYFUNCTION("""COMPUTED_VALUE"""),1.0)</f>
        <v>1</v>
      </c>
      <c r="E773" s="17">
        <f>IFERROR(__xludf.DUMMYFUNCTION("""COMPUTED_VALUE"""),0.0)</f>
        <v>0</v>
      </c>
      <c r="F773" s="17">
        <f>IFERROR(__xludf.DUMMYFUNCTION("""COMPUTED_VALUE"""),1.0)</f>
        <v>1</v>
      </c>
      <c r="G773" s="17">
        <f>IFERROR(__xludf.DUMMYFUNCTION("""COMPUTED_VALUE"""),0.0)</f>
        <v>0</v>
      </c>
      <c r="H773" s="17">
        <f>IFERROR(__xludf.DUMMYFUNCTION("""COMPUTED_VALUE"""),0.189)</f>
        <v>0.189</v>
      </c>
      <c r="I773" s="17">
        <f>IFERROR(__xludf.DUMMYFUNCTION("""COMPUTED_VALUE"""),0.237)</f>
        <v>0.237</v>
      </c>
      <c r="J773" s="17">
        <f>IFERROR(__xludf.DUMMYFUNCTION("""COMPUTED_VALUE"""),2.0)</f>
        <v>2</v>
      </c>
      <c r="K773" s="17">
        <f>IFERROR(__xludf.DUMMYFUNCTION("""COMPUTED_VALUE"""),1.0)</f>
        <v>1</v>
      </c>
      <c r="L773" s="17">
        <f>IFERROR(__xludf.DUMMYFUNCTION("""COMPUTED_VALUE"""),0.0)</f>
        <v>0</v>
      </c>
      <c r="M773" s="17">
        <f>IFERROR(__xludf.DUMMYFUNCTION("""COMPUTED_VALUE"""),1.0)</f>
        <v>1</v>
      </c>
      <c r="N773" s="17">
        <f>IFERROR(__xludf.DUMMYFUNCTION("""COMPUTED_VALUE"""),3.0)</f>
        <v>3</v>
      </c>
      <c r="O773" s="17">
        <f>IFERROR(__xludf.DUMMYFUNCTION("""COMPUTED_VALUE"""),0.254)</f>
        <v>0.254</v>
      </c>
      <c r="P773" s="17">
        <f>IFERROR(__xludf.DUMMYFUNCTION("""COMPUTED_VALUE"""),0.492)</f>
        <v>0.492</v>
      </c>
      <c r="Q773" s="34">
        <f>IFERROR(__xludf.DUMMYFUNCTION("""COMPUTED_VALUE"""),0.0)</f>
        <v>0</v>
      </c>
      <c r="R773" s="34">
        <f>IFERROR(__xludf.DUMMYFUNCTION("""COMPUTED_VALUE"""),0.0)</f>
        <v>0</v>
      </c>
      <c r="S773" s="34">
        <f>IFERROR(__xludf.DUMMYFUNCTION("""COMPUTED_VALUE"""),0.0)</f>
        <v>0</v>
      </c>
    </row>
    <row r="774">
      <c r="A774" s="17">
        <f>IFERROR(__xludf.DUMMYFUNCTION("""COMPUTED_VALUE"""),774.0)</f>
        <v>774</v>
      </c>
      <c r="B774" s="17" t="str">
        <f>IFERROR(__xludf.DUMMYFUNCTION("""COMPUTED_VALUE"""),"Corey Julks (DET - LF,RF) MiLB")</f>
        <v>Corey Julks (DET - LF,RF) MiLB</v>
      </c>
      <c r="C774" s="17">
        <f>IFERROR(__xludf.DUMMYFUNCTION("""COMPUTED_VALUE"""),9.0)</f>
        <v>9</v>
      </c>
      <c r="D774" s="17">
        <f>IFERROR(__xludf.DUMMYFUNCTION("""COMPUTED_VALUE"""),1.0)</f>
        <v>1</v>
      </c>
      <c r="E774" s="17">
        <f>IFERROR(__xludf.DUMMYFUNCTION("""COMPUTED_VALUE"""),0.0)</f>
        <v>0</v>
      </c>
      <c r="F774" s="17">
        <f>IFERROR(__xludf.DUMMYFUNCTION("""COMPUTED_VALUE"""),1.0)</f>
        <v>1</v>
      </c>
      <c r="G774" s="17">
        <f>IFERROR(__xludf.DUMMYFUNCTION("""COMPUTED_VALUE"""),0.0)</f>
        <v>0</v>
      </c>
      <c r="H774" s="17">
        <f>IFERROR(__xludf.DUMMYFUNCTION("""COMPUTED_VALUE"""),0.192)</f>
        <v>0.192</v>
      </c>
      <c r="I774" s="17">
        <f>IFERROR(__xludf.DUMMYFUNCTION("""COMPUTED_VALUE"""),0.241)</f>
        <v>0.241</v>
      </c>
      <c r="J774" s="17">
        <f>IFERROR(__xludf.DUMMYFUNCTION("""COMPUTED_VALUE"""),2.0)</f>
        <v>2</v>
      </c>
      <c r="K774" s="17">
        <f>IFERROR(__xludf.DUMMYFUNCTION("""COMPUTED_VALUE"""),1.0)</f>
        <v>1</v>
      </c>
      <c r="L774" s="17">
        <f>IFERROR(__xludf.DUMMYFUNCTION("""COMPUTED_VALUE"""),0.0)</f>
        <v>0</v>
      </c>
      <c r="M774" s="17">
        <f>IFERROR(__xludf.DUMMYFUNCTION("""COMPUTED_VALUE"""),1.0)</f>
        <v>1</v>
      </c>
      <c r="N774" s="17">
        <f>IFERROR(__xludf.DUMMYFUNCTION("""COMPUTED_VALUE"""),2.0)</f>
        <v>2</v>
      </c>
      <c r="O774" s="17">
        <f>IFERROR(__xludf.DUMMYFUNCTION("""COMPUTED_VALUE"""),0.26)</f>
        <v>0.26</v>
      </c>
      <c r="P774" s="17">
        <f>IFERROR(__xludf.DUMMYFUNCTION("""COMPUTED_VALUE"""),0.501)</f>
        <v>0.501</v>
      </c>
      <c r="Q774" s="34">
        <f>IFERROR(__xludf.DUMMYFUNCTION("""COMPUTED_VALUE"""),0.0)</f>
        <v>0</v>
      </c>
      <c r="R774" s="34">
        <f>IFERROR(__xludf.DUMMYFUNCTION("""COMPUTED_VALUE"""),0.0)</f>
        <v>0</v>
      </c>
      <c r="S774" s="34">
        <f>IFERROR(__xludf.DUMMYFUNCTION("""COMPUTED_VALUE"""),0.0)</f>
        <v>0</v>
      </c>
    </row>
    <row r="775">
      <c r="A775" s="17">
        <f>IFERROR(__xludf.DUMMYFUNCTION("""COMPUTED_VALUE"""),775.0)</f>
        <v>775</v>
      </c>
      <c r="B775" s="17" t="str">
        <f>IFERROR(__xludf.DUMMYFUNCTION("""COMPUTED_VALUE"""),"Ryan Fitzgerald (LAD - 2B,SS) MiLB")</f>
        <v>Ryan Fitzgerald (LAD - 2B,SS) MiLB</v>
      </c>
      <c r="C775" s="17">
        <f>IFERROR(__xludf.DUMMYFUNCTION("""COMPUTED_VALUE"""),9.0)</f>
        <v>9</v>
      </c>
      <c r="D775" s="17">
        <f>IFERROR(__xludf.DUMMYFUNCTION("""COMPUTED_VALUE"""),1.0)</f>
        <v>1</v>
      </c>
      <c r="E775" s="17">
        <f>IFERROR(__xludf.DUMMYFUNCTION("""COMPUTED_VALUE"""),0.0)</f>
        <v>0</v>
      </c>
      <c r="F775" s="17">
        <f>IFERROR(__xludf.DUMMYFUNCTION("""COMPUTED_VALUE"""),1.0)</f>
        <v>1</v>
      </c>
      <c r="G775" s="17">
        <f>IFERROR(__xludf.DUMMYFUNCTION("""COMPUTED_VALUE"""),0.0)</f>
        <v>0</v>
      </c>
      <c r="H775" s="17">
        <f>IFERROR(__xludf.DUMMYFUNCTION("""COMPUTED_VALUE"""),0.19)</f>
        <v>0.19</v>
      </c>
      <c r="I775" s="17">
        <f>IFERROR(__xludf.DUMMYFUNCTION("""COMPUTED_VALUE"""),0.239)</f>
        <v>0.239</v>
      </c>
      <c r="J775" s="17">
        <f>IFERROR(__xludf.DUMMYFUNCTION("""COMPUTED_VALUE"""),2.0)</f>
        <v>2</v>
      </c>
      <c r="K775" s="17">
        <f>IFERROR(__xludf.DUMMYFUNCTION("""COMPUTED_VALUE"""),1.0)</f>
        <v>1</v>
      </c>
      <c r="L775" s="17">
        <f>IFERROR(__xludf.DUMMYFUNCTION("""COMPUTED_VALUE"""),0.0)</f>
        <v>0</v>
      </c>
      <c r="M775" s="17">
        <f>IFERROR(__xludf.DUMMYFUNCTION("""COMPUTED_VALUE"""),1.0)</f>
        <v>1</v>
      </c>
      <c r="N775" s="17">
        <f>IFERROR(__xludf.DUMMYFUNCTION("""COMPUTED_VALUE"""),2.0)</f>
        <v>2</v>
      </c>
      <c r="O775" s="17">
        <f>IFERROR(__xludf.DUMMYFUNCTION("""COMPUTED_VALUE"""),0.258)</f>
        <v>0.258</v>
      </c>
      <c r="P775" s="17">
        <f>IFERROR(__xludf.DUMMYFUNCTION("""COMPUTED_VALUE"""),0.497)</f>
        <v>0.497</v>
      </c>
      <c r="Q775" s="34">
        <f>IFERROR(__xludf.DUMMYFUNCTION("""COMPUTED_VALUE"""),0.0)</f>
        <v>0</v>
      </c>
      <c r="R775" s="34">
        <f>IFERROR(__xludf.DUMMYFUNCTION("""COMPUTED_VALUE"""),0.0)</f>
        <v>0</v>
      </c>
      <c r="S775" s="34">
        <f>IFERROR(__xludf.DUMMYFUNCTION("""COMPUTED_VALUE"""),0.0)</f>
        <v>0</v>
      </c>
    </row>
    <row r="776">
      <c r="A776" s="17">
        <f>IFERROR(__xludf.DUMMYFUNCTION("""COMPUTED_VALUE"""),776.0)</f>
        <v>776</v>
      </c>
      <c r="B776" s="17" t="str">
        <f>IFERROR(__xludf.DUMMYFUNCTION("""COMPUTED_VALUE"""),"Owen Miller (CHC - 1B,2B) MiLB")</f>
        <v>Owen Miller (CHC - 1B,2B) MiLB</v>
      </c>
      <c r="C776" s="17">
        <f>IFERROR(__xludf.DUMMYFUNCTION("""COMPUTED_VALUE"""),9.0)</f>
        <v>9</v>
      </c>
      <c r="D776" s="17">
        <f>IFERROR(__xludf.DUMMYFUNCTION("""COMPUTED_VALUE"""),1.0)</f>
        <v>1</v>
      </c>
      <c r="E776" s="17">
        <f>IFERROR(__xludf.DUMMYFUNCTION("""COMPUTED_VALUE"""),0.0)</f>
        <v>0</v>
      </c>
      <c r="F776" s="17">
        <f>IFERROR(__xludf.DUMMYFUNCTION("""COMPUTED_VALUE"""),1.0)</f>
        <v>1</v>
      </c>
      <c r="G776" s="17">
        <f>IFERROR(__xludf.DUMMYFUNCTION("""COMPUTED_VALUE"""),0.0)</f>
        <v>0</v>
      </c>
      <c r="H776" s="17">
        <f>IFERROR(__xludf.DUMMYFUNCTION("""COMPUTED_VALUE"""),0.235)</f>
        <v>0.235</v>
      </c>
      <c r="I776" s="17">
        <f>IFERROR(__xludf.DUMMYFUNCTION("""COMPUTED_VALUE"""),0.278)</f>
        <v>0.278</v>
      </c>
      <c r="J776" s="17">
        <f>IFERROR(__xludf.DUMMYFUNCTION("""COMPUTED_VALUE"""),2.0)</f>
        <v>2</v>
      </c>
      <c r="K776" s="17">
        <f>IFERROR(__xludf.DUMMYFUNCTION("""COMPUTED_VALUE"""),1.0)</f>
        <v>1</v>
      </c>
      <c r="L776" s="17">
        <f>IFERROR(__xludf.DUMMYFUNCTION("""COMPUTED_VALUE"""),0.0)</f>
        <v>0</v>
      </c>
      <c r="M776" s="17">
        <f>IFERROR(__xludf.DUMMYFUNCTION("""COMPUTED_VALUE"""),1.0)</f>
        <v>1</v>
      </c>
      <c r="N776" s="17">
        <f>IFERROR(__xludf.DUMMYFUNCTION("""COMPUTED_VALUE"""),2.0)</f>
        <v>2</v>
      </c>
      <c r="O776" s="17">
        <f>IFERROR(__xludf.DUMMYFUNCTION("""COMPUTED_VALUE"""),0.297)</f>
        <v>0.297</v>
      </c>
      <c r="P776" s="17">
        <f>IFERROR(__xludf.DUMMYFUNCTION("""COMPUTED_VALUE"""),0.576)</f>
        <v>0.576</v>
      </c>
      <c r="Q776" s="34">
        <f>IFERROR(__xludf.DUMMYFUNCTION("""COMPUTED_VALUE"""),0.0)</f>
        <v>0</v>
      </c>
      <c r="R776" s="34">
        <f>IFERROR(__xludf.DUMMYFUNCTION("""COMPUTED_VALUE"""),0.0)</f>
        <v>0</v>
      </c>
      <c r="S776" s="34">
        <f>IFERROR(__xludf.DUMMYFUNCTION("""COMPUTED_VALUE"""),0.0)</f>
        <v>0</v>
      </c>
    </row>
    <row r="777">
      <c r="A777" s="17">
        <f>IFERROR(__xludf.DUMMYFUNCTION("""COMPUTED_VALUE"""),777.0)</f>
        <v>777</v>
      </c>
      <c r="B777" s="17" t="str">
        <f>IFERROR(__xludf.DUMMYFUNCTION("""COMPUTED_VALUE"""),"Matthew Batten (1B) FA")</f>
        <v>Matthew Batten (1B) FA</v>
      </c>
      <c r="C777" s="17">
        <f>IFERROR(__xludf.DUMMYFUNCTION("""COMPUTED_VALUE"""),9.0)</f>
        <v>9</v>
      </c>
      <c r="D777" s="17">
        <f>IFERROR(__xludf.DUMMYFUNCTION("""COMPUTED_VALUE"""),1.0)</f>
        <v>1</v>
      </c>
      <c r="E777" s="17">
        <f>IFERROR(__xludf.DUMMYFUNCTION("""COMPUTED_VALUE"""),0.0)</f>
        <v>0</v>
      </c>
      <c r="F777" s="17">
        <f>IFERROR(__xludf.DUMMYFUNCTION("""COMPUTED_VALUE"""),1.0)</f>
        <v>1</v>
      </c>
      <c r="G777" s="17">
        <f>IFERROR(__xludf.DUMMYFUNCTION("""COMPUTED_VALUE"""),0.0)</f>
        <v>0</v>
      </c>
      <c r="H777" s="17">
        <f>IFERROR(__xludf.DUMMYFUNCTION("""COMPUTED_VALUE"""),0.19)</f>
        <v>0.19</v>
      </c>
      <c r="I777" s="17">
        <f>IFERROR(__xludf.DUMMYFUNCTION("""COMPUTED_VALUE"""),0.239)</f>
        <v>0.239</v>
      </c>
      <c r="J777" s="17">
        <f>IFERROR(__xludf.DUMMYFUNCTION("""COMPUTED_VALUE"""),2.0)</f>
        <v>2</v>
      </c>
      <c r="K777" s="17">
        <f>IFERROR(__xludf.DUMMYFUNCTION("""COMPUTED_VALUE"""),1.0)</f>
        <v>1</v>
      </c>
      <c r="L777" s="17">
        <f>IFERROR(__xludf.DUMMYFUNCTION("""COMPUTED_VALUE"""),0.0)</f>
        <v>0</v>
      </c>
      <c r="M777" s="17">
        <f>IFERROR(__xludf.DUMMYFUNCTION("""COMPUTED_VALUE"""),1.0)</f>
        <v>1</v>
      </c>
      <c r="N777" s="17">
        <f>IFERROR(__xludf.DUMMYFUNCTION("""COMPUTED_VALUE"""),3.0)</f>
        <v>3</v>
      </c>
      <c r="O777" s="17">
        <f>IFERROR(__xludf.DUMMYFUNCTION("""COMPUTED_VALUE"""),0.256)</f>
        <v>0.256</v>
      </c>
      <c r="P777" s="17">
        <f>IFERROR(__xludf.DUMMYFUNCTION("""COMPUTED_VALUE"""),0.495)</f>
        <v>0.495</v>
      </c>
      <c r="Q777" s="34">
        <f>IFERROR(__xludf.DUMMYFUNCTION("""COMPUTED_VALUE"""),0.0)</f>
        <v>0</v>
      </c>
      <c r="R777" s="34">
        <f>IFERROR(__xludf.DUMMYFUNCTION("""COMPUTED_VALUE"""),0.0)</f>
        <v>0</v>
      </c>
      <c r="S777" s="34">
        <f>IFERROR(__xludf.DUMMYFUNCTION("""COMPUTED_VALUE"""),0.0)</f>
        <v>0</v>
      </c>
    </row>
    <row r="778">
      <c r="A778" s="17">
        <f>IFERROR(__xludf.DUMMYFUNCTION("""COMPUTED_VALUE"""),778.0)</f>
        <v>778</v>
      </c>
      <c r="B778" s="17" t="str">
        <f>IFERROR(__xludf.DUMMYFUNCTION("""COMPUTED_VALUE"""),"Liover Peguero (PHI - 1B,2B,SS) MiLB")</f>
        <v>Liover Peguero (PHI - 1B,2B,SS) MiLB</v>
      </c>
      <c r="C778" s="17">
        <f>IFERROR(__xludf.DUMMYFUNCTION("""COMPUTED_VALUE"""),9.0)</f>
        <v>9</v>
      </c>
      <c r="D778" s="17">
        <f>IFERROR(__xludf.DUMMYFUNCTION("""COMPUTED_VALUE"""),1.0)</f>
        <v>1</v>
      </c>
      <c r="E778" s="17">
        <f>IFERROR(__xludf.DUMMYFUNCTION("""COMPUTED_VALUE"""),0.0)</f>
        <v>0</v>
      </c>
      <c r="F778" s="17">
        <f>IFERROR(__xludf.DUMMYFUNCTION("""COMPUTED_VALUE"""),1.0)</f>
        <v>1</v>
      </c>
      <c r="G778" s="17">
        <f>IFERROR(__xludf.DUMMYFUNCTION("""COMPUTED_VALUE"""),0.0)</f>
        <v>0</v>
      </c>
      <c r="H778" s="17">
        <f>IFERROR(__xludf.DUMMYFUNCTION("""COMPUTED_VALUE"""),0.191)</f>
        <v>0.191</v>
      </c>
      <c r="I778" s="17">
        <f>IFERROR(__xludf.DUMMYFUNCTION("""COMPUTED_VALUE"""),0.24)</f>
        <v>0.24</v>
      </c>
      <c r="J778" s="17">
        <f>IFERROR(__xludf.DUMMYFUNCTION("""COMPUTED_VALUE"""),2.0)</f>
        <v>2</v>
      </c>
      <c r="K778" s="17">
        <f>IFERROR(__xludf.DUMMYFUNCTION("""COMPUTED_VALUE"""),1.0)</f>
        <v>1</v>
      </c>
      <c r="L778" s="17">
        <f>IFERROR(__xludf.DUMMYFUNCTION("""COMPUTED_VALUE"""),0.0)</f>
        <v>0</v>
      </c>
      <c r="M778" s="17">
        <f>IFERROR(__xludf.DUMMYFUNCTION("""COMPUTED_VALUE"""),1.0)</f>
        <v>1</v>
      </c>
      <c r="N778" s="17">
        <f>IFERROR(__xludf.DUMMYFUNCTION("""COMPUTED_VALUE"""),2.0)</f>
        <v>2</v>
      </c>
      <c r="O778" s="17">
        <f>IFERROR(__xludf.DUMMYFUNCTION("""COMPUTED_VALUE"""),0.26)</f>
        <v>0.26</v>
      </c>
      <c r="P778" s="17">
        <f>IFERROR(__xludf.DUMMYFUNCTION("""COMPUTED_VALUE"""),0.5)</f>
        <v>0.5</v>
      </c>
      <c r="Q778" s="34">
        <f>IFERROR(__xludf.DUMMYFUNCTION("""COMPUTED_VALUE"""),0.0)</f>
        <v>0</v>
      </c>
      <c r="R778" s="34">
        <f>IFERROR(__xludf.DUMMYFUNCTION("""COMPUTED_VALUE"""),0.0)</f>
        <v>0</v>
      </c>
      <c r="S778" s="34">
        <f>IFERROR(__xludf.DUMMYFUNCTION("""COMPUTED_VALUE"""),0.0)</f>
        <v>0</v>
      </c>
    </row>
    <row r="779">
      <c r="A779" s="17">
        <f>IFERROR(__xludf.DUMMYFUNCTION("""COMPUTED_VALUE"""),779.0)</f>
        <v>779</v>
      </c>
      <c r="B779" s="17" t="str">
        <f>IFERROR(__xludf.DUMMYFUNCTION("""COMPUTED_VALUE"""),"Joey Meneses (ATH - 1B) MiLB")</f>
        <v>Joey Meneses (ATH - 1B) MiLB</v>
      </c>
      <c r="C779" s="17">
        <f>IFERROR(__xludf.DUMMYFUNCTION("""COMPUTED_VALUE"""),9.0)</f>
        <v>9</v>
      </c>
      <c r="D779" s="17">
        <f>IFERROR(__xludf.DUMMYFUNCTION("""COMPUTED_VALUE"""),1.0)</f>
        <v>1</v>
      </c>
      <c r="E779" s="17">
        <f>IFERROR(__xludf.DUMMYFUNCTION("""COMPUTED_VALUE"""),0.0)</f>
        <v>0</v>
      </c>
      <c r="F779" s="17">
        <f>IFERROR(__xludf.DUMMYFUNCTION("""COMPUTED_VALUE"""),1.0)</f>
        <v>1</v>
      </c>
      <c r="G779" s="17">
        <f>IFERROR(__xludf.DUMMYFUNCTION("""COMPUTED_VALUE"""),0.0)</f>
        <v>0</v>
      </c>
      <c r="H779" s="17">
        <f>IFERROR(__xludf.DUMMYFUNCTION("""COMPUTED_VALUE"""),0.249)</f>
        <v>0.249</v>
      </c>
      <c r="I779" s="17">
        <f>IFERROR(__xludf.DUMMYFUNCTION("""COMPUTED_VALUE"""),0.294)</f>
        <v>0.294</v>
      </c>
      <c r="J779" s="17">
        <f>IFERROR(__xludf.DUMMYFUNCTION("""COMPUTED_VALUE"""),2.0)</f>
        <v>2</v>
      </c>
      <c r="K779" s="17">
        <f>IFERROR(__xludf.DUMMYFUNCTION("""COMPUTED_VALUE"""),1.0)</f>
        <v>1</v>
      </c>
      <c r="L779" s="17">
        <f>IFERROR(__xludf.DUMMYFUNCTION("""COMPUTED_VALUE"""),0.0)</f>
        <v>0</v>
      </c>
      <c r="M779" s="17">
        <f>IFERROR(__xludf.DUMMYFUNCTION("""COMPUTED_VALUE"""),1.0)</f>
        <v>1</v>
      </c>
      <c r="N779" s="17">
        <f>IFERROR(__xludf.DUMMYFUNCTION("""COMPUTED_VALUE"""),2.0)</f>
        <v>2</v>
      </c>
      <c r="O779" s="17">
        <f>IFERROR(__xludf.DUMMYFUNCTION("""COMPUTED_VALUE"""),0.32)</f>
        <v>0.32</v>
      </c>
      <c r="P779" s="17">
        <f>IFERROR(__xludf.DUMMYFUNCTION("""COMPUTED_VALUE"""),0.614)</f>
        <v>0.614</v>
      </c>
      <c r="Q779" s="34">
        <f>IFERROR(__xludf.DUMMYFUNCTION("""COMPUTED_VALUE"""),0.01)</f>
        <v>0.01</v>
      </c>
      <c r="R779" s="34">
        <f>IFERROR(__xludf.DUMMYFUNCTION("""COMPUTED_VALUE"""),0.02)</f>
        <v>0.02</v>
      </c>
      <c r="S779" s="34">
        <f>IFERROR(__xludf.DUMMYFUNCTION("""COMPUTED_VALUE"""),0.0)</f>
        <v>0</v>
      </c>
    </row>
    <row r="780">
      <c r="A780" s="17">
        <f>IFERROR(__xludf.DUMMYFUNCTION("""COMPUTED_VALUE"""),780.0)</f>
        <v>780</v>
      </c>
      <c r="B780" s="17" t="str">
        <f>IFERROR(__xludf.DUMMYFUNCTION("""COMPUTED_VALUE"""),"Aaron Schunk (ATL - 2B,3B,SS) MiLB")</f>
        <v>Aaron Schunk (ATL - 2B,3B,SS) MiLB</v>
      </c>
      <c r="C780" s="17">
        <f>IFERROR(__xludf.DUMMYFUNCTION("""COMPUTED_VALUE"""),9.0)</f>
        <v>9</v>
      </c>
      <c r="D780" s="17">
        <f>IFERROR(__xludf.DUMMYFUNCTION("""COMPUTED_VALUE"""),1.0)</f>
        <v>1</v>
      </c>
      <c r="E780" s="17">
        <f>IFERROR(__xludf.DUMMYFUNCTION("""COMPUTED_VALUE"""),0.0)</f>
        <v>0</v>
      </c>
      <c r="F780" s="17">
        <f>IFERROR(__xludf.DUMMYFUNCTION("""COMPUTED_VALUE"""),1.0)</f>
        <v>1</v>
      </c>
      <c r="G780" s="17">
        <f>IFERROR(__xludf.DUMMYFUNCTION("""COMPUTED_VALUE"""),0.0)</f>
        <v>0</v>
      </c>
      <c r="H780" s="17">
        <f>IFERROR(__xludf.DUMMYFUNCTION("""COMPUTED_VALUE"""),0.248)</f>
        <v>0.248</v>
      </c>
      <c r="I780" s="17">
        <f>IFERROR(__xludf.DUMMYFUNCTION("""COMPUTED_VALUE"""),0.292)</f>
        <v>0.292</v>
      </c>
      <c r="J780" s="17">
        <f>IFERROR(__xludf.DUMMYFUNCTION("""COMPUTED_VALUE"""),2.0)</f>
        <v>2</v>
      </c>
      <c r="K780" s="17">
        <f>IFERROR(__xludf.DUMMYFUNCTION("""COMPUTED_VALUE"""),1.0)</f>
        <v>1</v>
      </c>
      <c r="L780" s="17">
        <f>IFERROR(__xludf.DUMMYFUNCTION("""COMPUTED_VALUE"""),0.0)</f>
        <v>0</v>
      </c>
      <c r="M780" s="17">
        <f>IFERROR(__xludf.DUMMYFUNCTION("""COMPUTED_VALUE"""),1.0)</f>
        <v>1</v>
      </c>
      <c r="N780" s="17">
        <f>IFERROR(__xludf.DUMMYFUNCTION("""COMPUTED_VALUE"""),2.0)</f>
        <v>2</v>
      </c>
      <c r="O780" s="17">
        <f>IFERROR(__xludf.DUMMYFUNCTION("""COMPUTED_VALUE"""),0.315)</f>
        <v>0.315</v>
      </c>
      <c r="P780" s="17">
        <f>IFERROR(__xludf.DUMMYFUNCTION("""COMPUTED_VALUE"""),0.607)</f>
        <v>0.607</v>
      </c>
      <c r="Q780" s="34">
        <f>IFERROR(__xludf.DUMMYFUNCTION("""COMPUTED_VALUE"""),0.0)</f>
        <v>0</v>
      </c>
      <c r="R780" s="34">
        <f>IFERROR(__xludf.DUMMYFUNCTION("""COMPUTED_VALUE"""),0.0)</f>
        <v>0</v>
      </c>
      <c r="S780" s="34">
        <f>IFERROR(__xludf.DUMMYFUNCTION("""COMPUTED_VALUE"""),0.0)</f>
        <v>0</v>
      </c>
    </row>
    <row r="781">
      <c r="A781" s="17">
        <f>IFERROR(__xludf.DUMMYFUNCTION("""COMPUTED_VALUE"""),781.0)</f>
        <v>781</v>
      </c>
      <c r="B781" s="17" t="str">
        <f>IFERROR(__xludf.DUMMYFUNCTION("""COMPUTED_VALUE"""),"Zach DeLoach (LF,RF) FA")</f>
        <v>Zach DeLoach (LF,RF) FA</v>
      </c>
      <c r="C781" s="17">
        <f>IFERROR(__xludf.DUMMYFUNCTION("""COMPUTED_VALUE"""),9.0)</f>
        <v>9</v>
      </c>
      <c r="D781" s="17">
        <f>IFERROR(__xludf.DUMMYFUNCTION("""COMPUTED_VALUE"""),1.0)</f>
        <v>1</v>
      </c>
      <c r="E781" s="17">
        <f>IFERROR(__xludf.DUMMYFUNCTION("""COMPUTED_VALUE"""),0.0)</f>
        <v>0</v>
      </c>
      <c r="F781" s="17">
        <f>IFERROR(__xludf.DUMMYFUNCTION("""COMPUTED_VALUE"""),1.0)</f>
        <v>1</v>
      </c>
      <c r="G781" s="17">
        <f>IFERROR(__xludf.DUMMYFUNCTION("""COMPUTED_VALUE"""),0.0)</f>
        <v>0</v>
      </c>
      <c r="H781" s="17">
        <f>IFERROR(__xludf.DUMMYFUNCTION("""COMPUTED_VALUE"""),0.191)</f>
        <v>0.191</v>
      </c>
      <c r="I781" s="17">
        <f>IFERROR(__xludf.DUMMYFUNCTION("""COMPUTED_VALUE"""),0.28)</f>
        <v>0.28</v>
      </c>
      <c r="J781" s="17">
        <f>IFERROR(__xludf.DUMMYFUNCTION("""COMPUTED_VALUE"""),2.0)</f>
        <v>2</v>
      </c>
      <c r="K781" s="17">
        <f>IFERROR(__xludf.DUMMYFUNCTION("""COMPUTED_VALUE"""),1.0)</f>
        <v>1</v>
      </c>
      <c r="L781" s="17">
        <f>IFERROR(__xludf.DUMMYFUNCTION("""COMPUTED_VALUE"""),0.0)</f>
        <v>0</v>
      </c>
      <c r="M781" s="17">
        <f>IFERROR(__xludf.DUMMYFUNCTION("""COMPUTED_VALUE"""),1.0)</f>
        <v>1</v>
      </c>
      <c r="N781" s="17">
        <f>IFERROR(__xludf.DUMMYFUNCTION("""COMPUTED_VALUE"""),3.0)</f>
        <v>3</v>
      </c>
      <c r="O781" s="17">
        <f>IFERROR(__xludf.DUMMYFUNCTION("""COMPUTED_VALUE"""),0.26)</f>
        <v>0.26</v>
      </c>
      <c r="P781" s="17">
        <f>IFERROR(__xludf.DUMMYFUNCTION("""COMPUTED_VALUE"""),0.54)</f>
        <v>0.54</v>
      </c>
      <c r="Q781" s="34">
        <f>IFERROR(__xludf.DUMMYFUNCTION("""COMPUTED_VALUE"""),0.0)</f>
        <v>0</v>
      </c>
      <c r="R781" s="34">
        <f>IFERROR(__xludf.DUMMYFUNCTION("""COMPUTED_VALUE"""),0.0)</f>
        <v>0</v>
      </c>
      <c r="S781" s="34">
        <f>IFERROR(__xludf.DUMMYFUNCTION("""COMPUTED_VALUE"""),0.0)</f>
        <v>0</v>
      </c>
    </row>
    <row r="782">
      <c r="A782" s="17">
        <f>IFERROR(__xludf.DUMMYFUNCTION("""COMPUTED_VALUE"""),782.0)</f>
        <v>782</v>
      </c>
      <c r="B782" s="17" t="str">
        <f>IFERROR(__xludf.DUMMYFUNCTION("""COMPUTED_VALUE"""),"Kahlil Watson (CLE - LF,CF,RF) MiLB")</f>
        <v>Kahlil Watson (CLE - LF,CF,RF) MiLB</v>
      </c>
      <c r="C782" s="17">
        <f>IFERROR(__xludf.DUMMYFUNCTION("""COMPUTED_VALUE"""),9.0)</f>
        <v>9</v>
      </c>
      <c r="D782" s="17">
        <f>IFERROR(__xludf.DUMMYFUNCTION("""COMPUTED_VALUE"""),1.0)</f>
        <v>1</v>
      </c>
      <c r="E782" s="17">
        <f>IFERROR(__xludf.DUMMYFUNCTION("""COMPUTED_VALUE"""),0.0)</f>
        <v>0</v>
      </c>
      <c r="F782" s="17">
        <f>IFERROR(__xludf.DUMMYFUNCTION("""COMPUTED_VALUE"""),1.0)</f>
        <v>1</v>
      </c>
      <c r="G782" s="17">
        <f>IFERROR(__xludf.DUMMYFUNCTION("""COMPUTED_VALUE"""),0.0)</f>
        <v>0</v>
      </c>
      <c r="H782" s="17">
        <f>IFERROR(__xludf.DUMMYFUNCTION("""COMPUTED_VALUE"""),0.183)</f>
        <v>0.183</v>
      </c>
      <c r="I782" s="17">
        <f>IFERROR(__xludf.DUMMYFUNCTION("""COMPUTED_VALUE"""),0.253)</f>
        <v>0.253</v>
      </c>
      <c r="J782" s="17">
        <f>IFERROR(__xludf.DUMMYFUNCTION("""COMPUTED_VALUE"""),2.0)</f>
        <v>2</v>
      </c>
      <c r="K782" s="17">
        <f>IFERROR(__xludf.DUMMYFUNCTION("""COMPUTED_VALUE"""),0.0)</f>
        <v>0</v>
      </c>
      <c r="L782" s="17">
        <f>IFERROR(__xludf.DUMMYFUNCTION("""COMPUTED_VALUE"""),0.0)</f>
        <v>0</v>
      </c>
      <c r="M782" s="17">
        <f>IFERROR(__xludf.DUMMYFUNCTION("""COMPUTED_VALUE"""),1.0)</f>
        <v>1</v>
      </c>
      <c r="N782" s="17">
        <f>IFERROR(__xludf.DUMMYFUNCTION("""COMPUTED_VALUE"""),3.0)</f>
        <v>3</v>
      </c>
      <c r="O782" s="17">
        <f>IFERROR(__xludf.DUMMYFUNCTION("""COMPUTED_VALUE"""),0.272)</f>
        <v>0.272</v>
      </c>
      <c r="P782" s="17">
        <f>IFERROR(__xludf.DUMMYFUNCTION("""COMPUTED_VALUE"""),0.525)</f>
        <v>0.525</v>
      </c>
      <c r="Q782" s="34">
        <f>IFERROR(__xludf.DUMMYFUNCTION("""COMPUTED_VALUE"""),0.0)</f>
        <v>0</v>
      </c>
      <c r="R782" s="34">
        <f>IFERROR(__xludf.DUMMYFUNCTION("""COMPUTED_VALUE"""),0.0)</f>
        <v>0</v>
      </c>
      <c r="S782" s="34">
        <f>IFERROR(__xludf.DUMMYFUNCTION("""COMPUTED_VALUE"""),0.0)</f>
        <v>0</v>
      </c>
    </row>
    <row r="783">
      <c r="A783" s="17">
        <f>IFERROR(__xludf.DUMMYFUNCTION("""COMPUTED_VALUE"""),783.0)</f>
        <v>783</v>
      </c>
      <c r="B783" s="17" t="str">
        <f>IFERROR(__xludf.DUMMYFUNCTION("""COMPUTED_VALUE"""),"Wilfred Veras (CWS - LF,RF) MiLB")</f>
        <v>Wilfred Veras (CWS - LF,RF) MiLB</v>
      </c>
      <c r="C783" s="17">
        <f>IFERROR(__xludf.DUMMYFUNCTION("""COMPUTED_VALUE"""),9.0)</f>
        <v>9</v>
      </c>
      <c r="D783" s="17">
        <f>IFERROR(__xludf.DUMMYFUNCTION("""COMPUTED_VALUE"""),1.0)</f>
        <v>1</v>
      </c>
      <c r="E783" s="17">
        <f>IFERROR(__xludf.DUMMYFUNCTION("""COMPUTED_VALUE"""),0.0)</f>
        <v>0</v>
      </c>
      <c r="F783" s="17">
        <f>IFERROR(__xludf.DUMMYFUNCTION("""COMPUTED_VALUE"""),1.0)</f>
        <v>1</v>
      </c>
      <c r="G783" s="17">
        <f>IFERROR(__xludf.DUMMYFUNCTION("""COMPUTED_VALUE"""),0.0)</f>
        <v>0</v>
      </c>
      <c r="H783" s="17">
        <f>IFERROR(__xludf.DUMMYFUNCTION("""COMPUTED_VALUE"""),0.19)</f>
        <v>0.19</v>
      </c>
      <c r="I783" s="17">
        <f>IFERROR(__xludf.DUMMYFUNCTION("""COMPUTED_VALUE"""),0.238)</f>
        <v>0.238</v>
      </c>
      <c r="J783" s="17">
        <f>IFERROR(__xludf.DUMMYFUNCTION("""COMPUTED_VALUE"""),2.0)</f>
        <v>2</v>
      </c>
      <c r="K783" s="17">
        <f>IFERROR(__xludf.DUMMYFUNCTION("""COMPUTED_VALUE"""),1.0)</f>
        <v>1</v>
      </c>
      <c r="L783" s="17">
        <f>IFERROR(__xludf.DUMMYFUNCTION("""COMPUTED_VALUE"""),0.0)</f>
        <v>0</v>
      </c>
      <c r="M783" s="17">
        <f>IFERROR(__xludf.DUMMYFUNCTION("""COMPUTED_VALUE"""),1.0)</f>
        <v>1</v>
      </c>
      <c r="N783" s="17">
        <f>IFERROR(__xludf.DUMMYFUNCTION("""COMPUTED_VALUE"""),3.0)</f>
        <v>3</v>
      </c>
      <c r="O783" s="17">
        <f>IFERROR(__xludf.DUMMYFUNCTION("""COMPUTED_VALUE"""),0.259)</f>
        <v>0.259</v>
      </c>
      <c r="P783" s="17">
        <f>IFERROR(__xludf.DUMMYFUNCTION("""COMPUTED_VALUE"""),0.497)</f>
        <v>0.497</v>
      </c>
      <c r="Q783" s="34">
        <f>IFERROR(__xludf.DUMMYFUNCTION("""COMPUTED_VALUE"""),0.0)</f>
        <v>0</v>
      </c>
      <c r="R783" s="34">
        <f>IFERROR(__xludf.DUMMYFUNCTION("""COMPUTED_VALUE"""),0.0)</f>
        <v>0</v>
      </c>
      <c r="S783" s="34">
        <f>IFERROR(__xludf.DUMMYFUNCTION("""COMPUTED_VALUE"""),0.0)</f>
        <v>0</v>
      </c>
    </row>
    <row r="784">
      <c r="A784" s="17">
        <f>IFERROR(__xludf.DUMMYFUNCTION("""COMPUTED_VALUE"""),784.0)</f>
        <v>784</v>
      </c>
      <c r="B784" s="17" t="str">
        <f>IFERROR(__xludf.DUMMYFUNCTION("""COMPUTED_VALUE"""),"Bligh Madris (STL - 1B) MiLB")</f>
        <v>Bligh Madris (STL - 1B) MiLB</v>
      </c>
      <c r="C784" s="17">
        <f>IFERROR(__xludf.DUMMYFUNCTION("""COMPUTED_VALUE"""),9.0)</f>
        <v>9</v>
      </c>
      <c r="D784" s="17">
        <f>IFERROR(__xludf.DUMMYFUNCTION("""COMPUTED_VALUE"""),1.0)</f>
        <v>1</v>
      </c>
      <c r="E784" s="17">
        <f>IFERROR(__xludf.DUMMYFUNCTION("""COMPUTED_VALUE"""),0.0)</f>
        <v>0</v>
      </c>
      <c r="F784" s="17">
        <f>IFERROR(__xludf.DUMMYFUNCTION("""COMPUTED_VALUE"""),1.0)</f>
        <v>1</v>
      </c>
      <c r="G784" s="17">
        <f>IFERROR(__xludf.DUMMYFUNCTION("""COMPUTED_VALUE"""),0.0)</f>
        <v>0</v>
      </c>
      <c r="H784" s="17">
        <f>IFERROR(__xludf.DUMMYFUNCTION("""COMPUTED_VALUE"""),0.189)</f>
        <v>0.189</v>
      </c>
      <c r="I784" s="17">
        <f>IFERROR(__xludf.DUMMYFUNCTION("""COMPUTED_VALUE"""),0.277)</f>
        <v>0.277</v>
      </c>
      <c r="J784" s="17">
        <f>IFERROR(__xludf.DUMMYFUNCTION("""COMPUTED_VALUE"""),2.0)</f>
        <v>2</v>
      </c>
      <c r="K784" s="17">
        <f>IFERROR(__xludf.DUMMYFUNCTION("""COMPUTED_VALUE"""),1.0)</f>
        <v>1</v>
      </c>
      <c r="L784" s="17">
        <f>IFERROR(__xludf.DUMMYFUNCTION("""COMPUTED_VALUE"""),0.0)</f>
        <v>0</v>
      </c>
      <c r="M784" s="17">
        <f>IFERROR(__xludf.DUMMYFUNCTION("""COMPUTED_VALUE"""),1.0)</f>
        <v>1</v>
      </c>
      <c r="N784" s="17">
        <f>IFERROR(__xludf.DUMMYFUNCTION("""COMPUTED_VALUE"""),3.0)</f>
        <v>3</v>
      </c>
      <c r="O784" s="17">
        <f>IFERROR(__xludf.DUMMYFUNCTION("""COMPUTED_VALUE"""),0.256)</f>
        <v>0.256</v>
      </c>
      <c r="P784" s="17">
        <f>IFERROR(__xludf.DUMMYFUNCTION("""COMPUTED_VALUE"""),0.533)</f>
        <v>0.533</v>
      </c>
      <c r="Q784" s="34">
        <f>IFERROR(__xludf.DUMMYFUNCTION("""COMPUTED_VALUE"""),0.0)</f>
        <v>0</v>
      </c>
      <c r="R784" s="34">
        <f>IFERROR(__xludf.DUMMYFUNCTION("""COMPUTED_VALUE"""),0.0)</f>
        <v>0</v>
      </c>
      <c r="S784" s="34">
        <f>IFERROR(__xludf.DUMMYFUNCTION("""COMPUTED_VALUE"""),0.0)</f>
        <v>0</v>
      </c>
    </row>
    <row r="785">
      <c r="A785" s="17">
        <f>IFERROR(__xludf.DUMMYFUNCTION("""COMPUTED_VALUE"""),785.0)</f>
        <v>785</v>
      </c>
      <c r="B785" s="17" t="str">
        <f>IFERROR(__xludf.DUMMYFUNCTION("""COMPUTED_VALUE"""),"Jesus Bastidas (MIA - SS) MiLB")</f>
        <v>Jesus Bastidas (MIA - SS) MiLB</v>
      </c>
      <c r="C785" s="17">
        <f>IFERROR(__xludf.DUMMYFUNCTION("""COMPUTED_VALUE"""),9.0)</f>
        <v>9</v>
      </c>
      <c r="D785" s="17">
        <f>IFERROR(__xludf.DUMMYFUNCTION("""COMPUTED_VALUE"""),1.0)</f>
        <v>1</v>
      </c>
      <c r="E785" s="17">
        <f>IFERROR(__xludf.DUMMYFUNCTION("""COMPUTED_VALUE"""),0.0)</f>
        <v>0</v>
      </c>
      <c r="F785" s="17">
        <f>IFERROR(__xludf.DUMMYFUNCTION("""COMPUTED_VALUE"""),1.0)</f>
        <v>1</v>
      </c>
      <c r="G785" s="17">
        <f>IFERROR(__xludf.DUMMYFUNCTION("""COMPUTED_VALUE"""),0.0)</f>
        <v>0</v>
      </c>
      <c r="H785" s="17">
        <f>IFERROR(__xludf.DUMMYFUNCTION("""COMPUTED_VALUE"""),0.19)</f>
        <v>0.19</v>
      </c>
      <c r="I785" s="17">
        <f>IFERROR(__xludf.DUMMYFUNCTION("""COMPUTED_VALUE"""),0.24)</f>
        <v>0.24</v>
      </c>
      <c r="J785" s="17">
        <f>IFERROR(__xludf.DUMMYFUNCTION("""COMPUTED_VALUE"""),2.0)</f>
        <v>2</v>
      </c>
      <c r="K785" s="17">
        <f>IFERROR(__xludf.DUMMYFUNCTION("""COMPUTED_VALUE"""),1.0)</f>
        <v>1</v>
      </c>
      <c r="L785" s="17">
        <f>IFERROR(__xludf.DUMMYFUNCTION("""COMPUTED_VALUE"""),0.0)</f>
        <v>0</v>
      </c>
      <c r="M785" s="17">
        <f>IFERROR(__xludf.DUMMYFUNCTION("""COMPUTED_VALUE"""),1.0)</f>
        <v>1</v>
      </c>
      <c r="N785" s="17">
        <f>IFERROR(__xludf.DUMMYFUNCTION("""COMPUTED_VALUE"""),3.0)</f>
        <v>3</v>
      </c>
      <c r="O785" s="17">
        <f>IFERROR(__xludf.DUMMYFUNCTION("""COMPUTED_VALUE"""),0.258)</f>
        <v>0.258</v>
      </c>
      <c r="P785" s="17">
        <f>IFERROR(__xludf.DUMMYFUNCTION("""COMPUTED_VALUE"""),0.497)</f>
        <v>0.497</v>
      </c>
      <c r="Q785" s="34">
        <f>IFERROR(__xludf.DUMMYFUNCTION("""COMPUTED_VALUE"""),0.0)</f>
        <v>0</v>
      </c>
      <c r="R785" s="34">
        <f>IFERROR(__xludf.DUMMYFUNCTION("""COMPUTED_VALUE"""),0.0)</f>
        <v>0</v>
      </c>
      <c r="S785" s="34">
        <f>IFERROR(__xludf.DUMMYFUNCTION("""COMPUTED_VALUE"""),0.0)</f>
        <v>0</v>
      </c>
    </row>
    <row r="786">
      <c r="A786" s="17">
        <f>IFERROR(__xludf.DUMMYFUNCTION("""COMPUTED_VALUE"""),786.0)</f>
        <v>786</v>
      </c>
      <c r="B786" s="17" t="str">
        <f>IFERROR(__xludf.DUMMYFUNCTION("""COMPUTED_VALUE"""),"Warming Bernabel (1B) FA")</f>
        <v>Warming Bernabel (1B) FA</v>
      </c>
      <c r="C786" s="17">
        <f>IFERROR(__xludf.DUMMYFUNCTION("""COMPUTED_VALUE"""),9.0)</f>
        <v>9</v>
      </c>
      <c r="D786" s="17">
        <f>IFERROR(__xludf.DUMMYFUNCTION("""COMPUTED_VALUE"""),1.0)</f>
        <v>1</v>
      </c>
      <c r="E786" s="17">
        <f>IFERROR(__xludf.DUMMYFUNCTION("""COMPUTED_VALUE"""),0.0)</f>
        <v>0</v>
      </c>
      <c r="F786" s="17">
        <f>IFERROR(__xludf.DUMMYFUNCTION("""COMPUTED_VALUE"""),1.0)</f>
        <v>1</v>
      </c>
      <c r="G786" s="17">
        <f>IFERROR(__xludf.DUMMYFUNCTION("""COMPUTED_VALUE"""),0.0)</f>
        <v>0</v>
      </c>
      <c r="H786" s="17">
        <f>IFERROR(__xludf.DUMMYFUNCTION("""COMPUTED_VALUE"""),0.236)</f>
        <v>0.236</v>
      </c>
      <c r="I786" s="17">
        <f>IFERROR(__xludf.DUMMYFUNCTION("""COMPUTED_VALUE"""),0.278)</f>
        <v>0.278</v>
      </c>
      <c r="J786" s="17">
        <f>IFERROR(__xludf.DUMMYFUNCTION("""COMPUTED_VALUE"""),2.0)</f>
        <v>2</v>
      </c>
      <c r="K786" s="17">
        <f>IFERROR(__xludf.DUMMYFUNCTION("""COMPUTED_VALUE"""),1.0)</f>
        <v>1</v>
      </c>
      <c r="L786" s="17">
        <f>IFERROR(__xludf.DUMMYFUNCTION("""COMPUTED_VALUE"""),0.0)</f>
        <v>0</v>
      </c>
      <c r="M786" s="17">
        <f>IFERROR(__xludf.DUMMYFUNCTION("""COMPUTED_VALUE"""),1.0)</f>
        <v>1</v>
      </c>
      <c r="N786" s="17">
        <f>IFERROR(__xludf.DUMMYFUNCTION("""COMPUTED_VALUE"""),2.0)</f>
        <v>2</v>
      </c>
      <c r="O786" s="17">
        <f>IFERROR(__xludf.DUMMYFUNCTION("""COMPUTED_VALUE"""),0.3)</f>
        <v>0.3</v>
      </c>
      <c r="P786" s="17">
        <f>IFERROR(__xludf.DUMMYFUNCTION("""COMPUTED_VALUE"""),0.578)</f>
        <v>0.578</v>
      </c>
      <c r="Q786" s="34">
        <f>IFERROR(__xludf.DUMMYFUNCTION("""COMPUTED_VALUE"""),0.0)</f>
        <v>0</v>
      </c>
      <c r="R786" s="34">
        <f>IFERROR(__xludf.DUMMYFUNCTION("""COMPUTED_VALUE"""),0.0)</f>
        <v>0</v>
      </c>
      <c r="S786" s="34">
        <f>IFERROR(__xludf.DUMMYFUNCTION("""COMPUTED_VALUE"""),0.0)</f>
        <v>0</v>
      </c>
    </row>
    <row r="787">
      <c r="A787" s="17">
        <f>IFERROR(__xludf.DUMMYFUNCTION("""COMPUTED_VALUE"""),787.0)</f>
        <v>787</v>
      </c>
      <c r="B787" s="17" t="str">
        <f>IFERROR(__xludf.DUMMYFUNCTION("""COMPUTED_VALUE"""),"Jadher Areinamo (TB - 2B,3B,SS) MiLB")</f>
        <v>Jadher Areinamo (TB - 2B,3B,SS) MiLB</v>
      </c>
      <c r="C787" s="17">
        <f>IFERROR(__xludf.DUMMYFUNCTION("""COMPUTED_VALUE"""),9.0)</f>
        <v>9</v>
      </c>
      <c r="D787" s="17">
        <f>IFERROR(__xludf.DUMMYFUNCTION("""COMPUTED_VALUE"""),1.0)</f>
        <v>1</v>
      </c>
      <c r="E787" s="17">
        <f>IFERROR(__xludf.DUMMYFUNCTION("""COMPUTED_VALUE"""),0.0)</f>
        <v>0</v>
      </c>
      <c r="F787" s="17">
        <f>IFERROR(__xludf.DUMMYFUNCTION("""COMPUTED_VALUE"""),1.0)</f>
        <v>1</v>
      </c>
      <c r="G787" s="17">
        <f>IFERROR(__xludf.DUMMYFUNCTION("""COMPUTED_VALUE"""),0.0)</f>
        <v>0</v>
      </c>
      <c r="H787" s="17">
        <f>IFERROR(__xludf.DUMMYFUNCTION("""COMPUTED_VALUE"""),0.235)</f>
        <v>0.235</v>
      </c>
      <c r="I787" s="17">
        <f>IFERROR(__xludf.DUMMYFUNCTION("""COMPUTED_VALUE"""),0.278)</f>
        <v>0.278</v>
      </c>
      <c r="J787" s="17">
        <f>IFERROR(__xludf.DUMMYFUNCTION("""COMPUTED_VALUE"""),2.0)</f>
        <v>2</v>
      </c>
      <c r="K787" s="17">
        <f>IFERROR(__xludf.DUMMYFUNCTION("""COMPUTED_VALUE"""),1.0)</f>
        <v>1</v>
      </c>
      <c r="L787" s="17">
        <f>IFERROR(__xludf.DUMMYFUNCTION("""COMPUTED_VALUE"""),0.0)</f>
        <v>0</v>
      </c>
      <c r="M787" s="17">
        <f>IFERROR(__xludf.DUMMYFUNCTION("""COMPUTED_VALUE"""),1.0)</f>
        <v>1</v>
      </c>
      <c r="N787" s="17">
        <f>IFERROR(__xludf.DUMMYFUNCTION("""COMPUTED_VALUE"""),2.0)</f>
        <v>2</v>
      </c>
      <c r="O787" s="17">
        <f>IFERROR(__xludf.DUMMYFUNCTION("""COMPUTED_VALUE"""),0.297)</f>
        <v>0.297</v>
      </c>
      <c r="P787" s="17">
        <f>IFERROR(__xludf.DUMMYFUNCTION("""COMPUTED_VALUE"""),0.575)</f>
        <v>0.575</v>
      </c>
      <c r="Q787" s="34">
        <f>IFERROR(__xludf.DUMMYFUNCTION("""COMPUTED_VALUE"""),0.0)</f>
        <v>0</v>
      </c>
      <c r="R787" s="34">
        <f>IFERROR(__xludf.DUMMYFUNCTION("""COMPUTED_VALUE"""),0.0)</f>
        <v>0</v>
      </c>
      <c r="S787" s="34">
        <f>IFERROR(__xludf.DUMMYFUNCTION("""COMPUTED_VALUE"""),0.0)</f>
        <v>0</v>
      </c>
    </row>
    <row r="788">
      <c r="A788" s="17">
        <f>IFERROR(__xludf.DUMMYFUNCTION("""COMPUTED_VALUE"""),788.0)</f>
        <v>788</v>
      </c>
      <c r="B788" s="17" t="str">
        <f>IFERROR(__xludf.DUMMYFUNCTION("""COMPUTED_VALUE"""),"Justice Bigbie (DET - LF,RF) MiLB")</f>
        <v>Justice Bigbie (DET - LF,RF) MiLB</v>
      </c>
      <c r="C788" s="17">
        <f>IFERROR(__xludf.DUMMYFUNCTION("""COMPUTED_VALUE"""),9.0)</f>
        <v>9</v>
      </c>
      <c r="D788" s="17">
        <f>IFERROR(__xludf.DUMMYFUNCTION("""COMPUTED_VALUE"""),1.0)</f>
        <v>1</v>
      </c>
      <c r="E788" s="17">
        <f>IFERROR(__xludf.DUMMYFUNCTION("""COMPUTED_VALUE"""),0.0)</f>
        <v>0</v>
      </c>
      <c r="F788" s="17">
        <f>IFERROR(__xludf.DUMMYFUNCTION("""COMPUTED_VALUE"""),1.0)</f>
        <v>1</v>
      </c>
      <c r="G788" s="17">
        <f>IFERROR(__xludf.DUMMYFUNCTION("""COMPUTED_VALUE"""),0.0)</f>
        <v>0</v>
      </c>
      <c r="H788" s="17">
        <f>IFERROR(__xludf.DUMMYFUNCTION("""COMPUTED_VALUE"""),0.25)</f>
        <v>0.25</v>
      </c>
      <c r="I788" s="17">
        <f>IFERROR(__xludf.DUMMYFUNCTION("""COMPUTED_VALUE"""),0.295)</f>
        <v>0.295</v>
      </c>
      <c r="J788" s="17">
        <f>IFERROR(__xludf.DUMMYFUNCTION("""COMPUTED_VALUE"""),2.0)</f>
        <v>2</v>
      </c>
      <c r="K788" s="17">
        <f>IFERROR(__xludf.DUMMYFUNCTION("""COMPUTED_VALUE"""),1.0)</f>
        <v>1</v>
      </c>
      <c r="L788" s="17">
        <f>IFERROR(__xludf.DUMMYFUNCTION("""COMPUTED_VALUE"""),0.0)</f>
        <v>0</v>
      </c>
      <c r="M788" s="17">
        <f>IFERROR(__xludf.DUMMYFUNCTION("""COMPUTED_VALUE"""),1.0)</f>
        <v>1</v>
      </c>
      <c r="N788" s="17">
        <f>IFERROR(__xludf.DUMMYFUNCTION("""COMPUTED_VALUE"""),2.0)</f>
        <v>2</v>
      </c>
      <c r="O788" s="17">
        <f>IFERROR(__xludf.DUMMYFUNCTION("""COMPUTED_VALUE"""),0.316)</f>
        <v>0.316</v>
      </c>
      <c r="P788" s="17">
        <f>IFERROR(__xludf.DUMMYFUNCTION("""COMPUTED_VALUE"""),0.61)</f>
        <v>0.61</v>
      </c>
      <c r="Q788" s="34">
        <f>IFERROR(__xludf.DUMMYFUNCTION("""COMPUTED_VALUE"""),0.0)</f>
        <v>0</v>
      </c>
      <c r="R788" s="34">
        <f>IFERROR(__xludf.DUMMYFUNCTION("""COMPUTED_VALUE"""),0.0)</f>
        <v>0</v>
      </c>
      <c r="S788" s="34">
        <f>IFERROR(__xludf.DUMMYFUNCTION("""COMPUTED_VALUE"""),0.0)</f>
        <v>0</v>
      </c>
    </row>
    <row r="789">
      <c r="A789" s="17">
        <f>IFERROR(__xludf.DUMMYFUNCTION("""COMPUTED_VALUE"""),789.0)</f>
        <v>789</v>
      </c>
      <c r="B789" s="17" t="str">
        <f>IFERROR(__xludf.DUMMYFUNCTION("""COMPUTED_VALUE"""),"Carlos Mendoza (TOR - 3B) MiLB")</f>
        <v>Carlos Mendoza (TOR - 3B) MiLB</v>
      </c>
      <c r="C789" s="17">
        <f>IFERROR(__xludf.DUMMYFUNCTION("""COMPUTED_VALUE"""),9.0)</f>
        <v>9</v>
      </c>
      <c r="D789" s="17">
        <f>IFERROR(__xludf.DUMMYFUNCTION("""COMPUTED_VALUE"""),1.0)</f>
        <v>1</v>
      </c>
      <c r="E789" s="17">
        <f>IFERROR(__xludf.DUMMYFUNCTION("""COMPUTED_VALUE"""),0.0)</f>
        <v>0</v>
      </c>
      <c r="F789" s="17">
        <f>IFERROR(__xludf.DUMMYFUNCTION("""COMPUTED_VALUE"""),1.0)</f>
        <v>1</v>
      </c>
      <c r="G789" s="17">
        <f>IFERROR(__xludf.DUMMYFUNCTION("""COMPUTED_VALUE"""),0.0)</f>
        <v>0</v>
      </c>
      <c r="H789" s="17">
        <f>IFERROR(__xludf.DUMMYFUNCTION("""COMPUTED_VALUE"""),0.249)</f>
        <v>0.249</v>
      </c>
      <c r="I789" s="17">
        <f>IFERROR(__xludf.DUMMYFUNCTION("""COMPUTED_VALUE"""),0.333)</f>
        <v>0.333</v>
      </c>
      <c r="J789" s="17">
        <f>IFERROR(__xludf.DUMMYFUNCTION("""COMPUTED_VALUE"""),2.0)</f>
        <v>2</v>
      </c>
      <c r="K789" s="17">
        <f>IFERROR(__xludf.DUMMYFUNCTION("""COMPUTED_VALUE"""),1.0)</f>
        <v>1</v>
      </c>
      <c r="L789" s="17">
        <f>IFERROR(__xludf.DUMMYFUNCTION("""COMPUTED_VALUE"""),0.0)</f>
        <v>0</v>
      </c>
      <c r="M789" s="17">
        <f>IFERROR(__xludf.DUMMYFUNCTION("""COMPUTED_VALUE"""),1.0)</f>
        <v>1</v>
      </c>
      <c r="N789" s="17">
        <f>IFERROR(__xludf.DUMMYFUNCTION("""COMPUTED_VALUE"""),2.0)</f>
        <v>2</v>
      </c>
      <c r="O789" s="17">
        <f>IFERROR(__xludf.DUMMYFUNCTION("""COMPUTED_VALUE"""),0.313)</f>
        <v>0.313</v>
      </c>
      <c r="P789" s="17">
        <f>IFERROR(__xludf.DUMMYFUNCTION("""COMPUTED_VALUE"""),0.646)</f>
        <v>0.646</v>
      </c>
      <c r="Q789" s="34">
        <f>IFERROR(__xludf.DUMMYFUNCTION("""COMPUTED_VALUE"""),0.0)</f>
        <v>0</v>
      </c>
      <c r="R789" s="34">
        <f>IFERROR(__xludf.DUMMYFUNCTION("""COMPUTED_VALUE"""),0.0)</f>
        <v>0</v>
      </c>
      <c r="S789" s="34">
        <f>IFERROR(__xludf.DUMMYFUNCTION("""COMPUTED_VALUE"""),0.0)</f>
        <v>0</v>
      </c>
    </row>
    <row r="790">
      <c r="A790" s="17">
        <f>IFERROR(__xludf.DUMMYFUNCTION("""COMPUTED_VALUE"""),790.0)</f>
        <v>790</v>
      </c>
      <c r="B790" s="17" t="str">
        <f>IFERROR(__xludf.DUMMYFUNCTION("""COMPUTED_VALUE"""),"Trey Lipscomb (WSH - 3B) MiLB")</f>
        <v>Trey Lipscomb (WSH - 3B) MiLB</v>
      </c>
      <c r="C790" s="17">
        <f>IFERROR(__xludf.DUMMYFUNCTION("""COMPUTED_VALUE"""),9.0)</f>
        <v>9</v>
      </c>
      <c r="D790" s="17">
        <f>IFERROR(__xludf.DUMMYFUNCTION("""COMPUTED_VALUE"""),1.0)</f>
        <v>1</v>
      </c>
      <c r="E790" s="17">
        <f>IFERROR(__xludf.DUMMYFUNCTION("""COMPUTED_VALUE"""),0.0)</f>
        <v>0</v>
      </c>
      <c r="F790" s="17">
        <f>IFERROR(__xludf.DUMMYFUNCTION("""COMPUTED_VALUE"""),1.0)</f>
        <v>1</v>
      </c>
      <c r="G790" s="17">
        <f>IFERROR(__xludf.DUMMYFUNCTION("""COMPUTED_VALUE"""),0.0)</f>
        <v>0</v>
      </c>
      <c r="H790" s="17">
        <f>IFERROR(__xludf.DUMMYFUNCTION("""COMPUTED_VALUE"""),0.248)</f>
        <v>0.248</v>
      </c>
      <c r="I790" s="17">
        <f>IFERROR(__xludf.DUMMYFUNCTION("""COMPUTED_VALUE"""),0.292)</f>
        <v>0.292</v>
      </c>
      <c r="J790" s="17">
        <f>IFERROR(__xludf.DUMMYFUNCTION("""COMPUTED_VALUE"""),2.0)</f>
        <v>2</v>
      </c>
      <c r="K790" s="17">
        <f>IFERROR(__xludf.DUMMYFUNCTION("""COMPUTED_VALUE"""),1.0)</f>
        <v>1</v>
      </c>
      <c r="L790" s="17">
        <f>IFERROR(__xludf.DUMMYFUNCTION("""COMPUTED_VALUE"""),0.0)</f>
        <v>0</v>
      </c>
      <c r="M790" s="17">
        <f>IFERROR(__xludf.DUMMYFUNCTION("""COMPUTED_VALUE"""),1.0)</f>
        <v>1</v>
      </c>
      <c r="N790" s="17">
        <f>IFERROR(__xludf.DUMMYFUNCTION("""COMPUTED_VALUE"""),2.0)</f>
        <v>2</v>
      </c>
      <c r="O790" s="17">
        <f>IFERROR(__xludf.DUMMYFUNCTION("""COMPUTED_VALUE"""),0.314)</f>
        <v>0.314</v>
      </c>
      <c r="P790" s="17">
        <f>IFERROR(__xludf.DUMMYFUNCTION("""COMPUTED_VALUE"""),0.605)</f>
        <v>0.605</v>
      </c>
      <c r="Q790" s="34">
        <f>IFERROR(__xludf.DUMMYFUNCTION("""COMPUTED_VALUE"""),0.0)</f>
        <v>0</v>
      </c>
      <c r="R790" s="34">
        <f>IFERROR(__xludf.DUMMYFUNCTION("""COMPUTED_VALUE"""),0.0)</f>
        <v>0</v>
      </c>
      <c r="S790" s="34">
        <f>IFERROR(__xludf.DUMMYFUNCTION("""COMPUTED_VALUE"""),0.0)</f>
        <v>0</v>
      </c>
    </row>
    <row r="791">
      <c r="A791" s="17">
        <f>IFERROR(__xludf.DUMMYFUNCTION("""COMPUTED_VALUE"""),791.0)</f>
        <v>791</v>
      </c>
      <c r="B791" s="17" t="str">
        <f>IFERROR(__xludf.DUMMYFUNCTION("""COMPUTED_VALUE"""),"Luca Tresh (KC - C) MiLB")</f>
        <v>Luca Tresh (KC - C) MiLB</v>
      </c>
      <c r="C791" s="17">
        <f>IFERROR(__xludf.DUMMYFUNCTION("""COMPUTED_VALUE"""),9.0)</f>
        <v>9</v>
      </c>
      <c r="D791" s="17">
        <f>IFERROR(__xludf.DUMMYFUNCTION("""COMPUTED_VALUE"""),1.0)</f>
        <v>1</v>
      </c>
      <c r="E791" s="17">
        <f>IFERROR(__xludf.DUMMYFUNCTION("""COMPUTED_VALUE"""),0.0)</f>
        <v>0</v>
      </c>
      <c r="F791" s="17">
        <f>IFERROR(__xludf.DUMMYFUNCTION("""COMPUTED_VALUE"""),1.0)</f>
        <v>1</v>
      </c>
      <c r="G791" s="17">
        <f>IFERROR(__xludf.DUMMYFUNCTION("""COMPUTED_VALUE"""),0.0)</f>
        <v>0</v>
      </c>
      <c r="H791" s="17">
        <f>IFERROR(__xludf.DUMMYFUNCTION("""COMPUTED_VALUE"""),0.189)</f>
        <v>0.189</v>
      </c>
      <c r="I791" s="17">
        <f>IFERROR(__xludf.DUMMYFUNCTION("""COMPUTED_VALUE"""),0.238)</f>
        <v>0.238</v>
      </c>
      <c r="J791" s="17">
        <f>IFERROR(__xludf.DUMMYFUNCTION("""COMPUTED_VALUE"""),2.0)</f>
        <v>2</v>
      </c>
      <c r="K791" s="17">
        <f>IFERROR(__xludf.DUMMYFUNCTION("""COMPUTED_VALUE"""),1.0)</f>
        <v>1</v>
      </c>
      <c r="L791" s="17">
        <f>IFERROR(__xludf.DUMMYFUNCTION("""COMPUTED_VALUE"""),0.0)</f>
        <v>0</v>
      </c>
      <c r="M791" s="17">
        <f>IFERROR(__xludf.DUMMYFUNCTION("""COMPUTED_VALUE"""),1.0)</f>
        <v>1</v>
      </c>
      <c r="N791" s="17">
        <f>IFERROR(__xludf.DUMMYFUNCTION("""COMPUTED_VALUE"""),2.0)</f>
        <v>2</v>
      </c>
      <c r="O791" s="17">
        <f>IFERROR(__xludf.DUMMYFUNCTION("""COMPUTED_VALUE"""),0.256)</f>
        <v>0.256</v>
      </c>
      <c r="P791" s="17">
        <f>IFERROR(__xludf.DUMMYFUNCTION("""COMPUTED_VALUE"""),0.494)</f>
        <v>0.494</v>
      </c>
      <c r="Q791" s="34">
        <f>IFERROR(__xludf.DUMMYFUNCTION("""COMPUTED_VALUE"""),0.0)</f>
        <v>0</v>
      </c>
      <c r="R791" s="34">
        <f>IFERROR(__xludf.DUMMYFUNCTION("""COMPUTED_VALUE"""),0.0)</f>
        <v>0</v>
      </c>
      <c r="S791" s="34">
        <f>IFERROR(__xludf.DUMMYFUNCTION("""COMPUTED_VALUE"""),0.0)</f>
        <v>0</v>
      </c>
    </row>
    <row r="792">
      <c r="A792" s="17">
        <f>IFERROR(__xludf.DUMMYFUNCTION("""COMPUTED_VALUE"""),792.0)</f>
        <v>792</v>
      </c>
      <c r="B792" s="17" t="str">
        <f>IFERROR(__xludf.DUMMYFUNCTION("""COMPUTED_VALUE"""),"Frederick Bencosme (BAL - 2B,SS) MiLB")</f>
        <v>Frederick Bencosme (BAL - 2B,SS) MiLB</v>
      </c>
      <c r="C792" s="17">
        <f>IFERROR(__xludf.DUMMYFUNCTION("""COMPUTED_VALUE"""),9.0)</f>
        <v>9</v>
      </c>
      <c r="D792" s="17">
        <f>IFERROR(__xludf.DUMMYFUNCTION("""COMPUTED_VALUE"""),1.0)</f>
        <v>1</v>
      </c>
      <c r="E792" s="17">
        <f>IFERROR(__xludf.DUMMYFUNCTION("""COMPUTED_VALUE"""),0.0)</f>
        <v>0</v>
      </c>
      <c r="F792" s="17">
        <f>IFERROR(__xludf.DUMMYFUNCTION("""COMPUTED_VALUE"""),1.0)</f>
        <v>1</v>
      </c>
      <c r="G792" s="17">
        <f>IFERROR(__xludf.DUMMYFUNCTION("""COMPUTED_VALUE"""),0.0)</f>
        <v>0</v>
      </c>
      <c r="H792" s="17">
        <f>IFERROR(__xludf.DUMMYFUNCTION("""COMPUTED_VALUE"""),0.19)</f>
        <v>0.19</v>
      </c>
      <c r="I792" s="17">
        <f>IFERROR(__xludf.DUMMYFUNCTION("""COMPUTED_VALUE"""),0.239)</f>
        <v>0.239</v>
      </c>
      <c r="J792" s="17">
        <f>IFERROR(__xludf.DUMMYFUNCTION("""COMPUTED_VALUE"""),2.0)</f>
        <v>2</v>
      </c>
      <c r="K792" s="17">
        <f>IFERROR(__xludf.DUMMYFUNCTION("""COMPUTED_VALUE"""),1.0)</f>
        <v>1</v>
      </c>
      <c r="L792" s="17">
        <f>IFERROR(__xludf.DUMMYFUNCTION("""COMPUTED_VALUE"""),0.0)</f>
        <v>0</v>
      </c>
      <c r="M792" s="17">
        <f>IFERROR(__xludf.DUMMYFUNCTION("""COMPUTED_VALUE"""),1.0)</f>
        <v>1</v>
      </c>
      <c r="N792" s="17">
        <f>IFERROR(__xludf.DUMMYFUNCTION("""COMPUTED_VALUE"""),2.0)</f>
        <v>2</v>
      </c>
      <c r="O792" s="17">
        <f>IFERROR(__xludf.DUMMYFUNCTION("""COMPUTED_VALUE"""),0.256)</f>
        <v>0.256</v>
      </c>
      <c r="P792" s="17">
        <f>IFERROR(__xludf.DUMMYFUNCTION("""COMPUTED_VALUE"""),0.495)</f>
        <v>0.495</v>
      </c>
      <c r="Q792" s="34">
        <f>IFERROR(__xludf.DUMMYFUNCTION("""COMPUTED_VALUE"""),0.0)</f>
        <v>0</v>
      </c>
      <c r="R792" s="34">
        <f>IFERROR(__xludf.DUMMYFUNCTION("""COMPUTED_VALUE"""),0.0)</f>
        <v>0</v>
      </c>
      <c r="S792" s="34">
        <f>IFERROR(__xludf.DUMMYFUNCTION("""COMPUTED_VALUE"""),0.0)</f>
        <v>0</v>
      </c>
    </row>
    <row r="793">
      <c r="A793" s="17">
        <f>IFERROR(__xludf.DUMMYFUNCTION("""COMPUTED_VALUE"""),793.0)</f>
        <v>793</v>
      </c>
      <c r="B793" s="17" t="str">
        <f>IFERROR(__xludf.DUMMYFUNCTION("""COMPUTED_VALUE"""),"Ethan Murray (MIL - SS) MiLB")</f>
        <v>Ethan Murray (MIL - SS) MiLB</v>
      </c>
      <c r="C793" s="17">
        <f>IFERROR(__xludf.DUMMYFUNCTION("""COMPUTED_VALUE"""),9.0)</f>
        <v>9</v>
      </c>
      <c r="D793" s="17">
        <f>IFERROR(__xludf.DUMMYFUNCTION("""COMPUTED_VALUE"""),1.0)</f>
        <v>1</v>
      </c>
      <c r="E793" s="17">
        <f>IFERROR(__xludf.DUMMYFUNCTION("""COMPUTED_VALUE"""),0.0)</f>
        <v>0</v>
      </c>
      <c r="F793" s="17">
        <f>IFERROR(__xludf.DUMMYFUNCTION("""COMPUTED_VALUE"""),1.0)</f>
        <v>1</v>
      </c>
      <c r="G793" s="17">
        <f>IFERROR(__xludf.DUMMYFUNCTION("""COMPUTED_VALUE"""),0.0)</f>
        <v>0</v>
      </c>
      <c r="H793" s="17">
        <f>IFERROR(__xludf.DUMMYFUNCTION("""COMPUTED_VALUE"""),0.188)</f>
        <v>0.188</v>
      </c>
      <c r="I793" s="17">
        <f>IFERROR(__xludf.DUMMYFUNCTION("""COMPUTED_VALUE"""),0.257)</f>
        <v>0.257</v>
      </c>
      <c r="J793" s="17">
        <f>IFERROR(__xludf.DUMMYFUNCTION("""COMPUTED_VALUE"""),2.0)</f>
        <v>2</v>
      </c>
      <c r="K793" s="17">
        <f>IFERROR(__xludf.DUMMYFUNCTION("""COMPUTED_VALUE"""),0.0)</f>
        <v>0</v>
      </c>
      <c r="L793" s="17">
        <f>IFERROR(__xludf.DUMMYFUNCTION("""COMPUTED_VALUE"""),0.0)</f>
        <v>0</v>
      </c>
      <c r="M793" s="17">
        <f>IFERROR(__xludf.DUMMYFUNCTION("""COMPUTED_VALUE"""),1.0)</f>
        <v>1</v>
      </c>
      <c r="N793" s="17">
        <f>IFERROR(__xludf.DUMMYFUNCTION("""COMPUTED_VALUE"""),3.0)</f>
        <v>3</v>
      </c>
      <c r="O793" s="17">
        <f>IFERROR(__xludf.DUMMYFUNCTION("""COMPUTED_VALUE"""),0.268)</f>
        <v>0.268</v>
      </c>
      <c r="P793" s="17">
        <f>IFERROR(__xludf.DUMMYFUNCTION("""COMPUTED_VALUE"""),0.526)</f>
        <v>0.526</v>
      </c>
      <c r="Q793" s="34">
        <f>IFERROR(__xludf.DUMMYFUNCTION("""COMPUTED_VALUE"""),0.0)</f>
        <v>0</v>
      </c>
      <c r="R793" s="34">
        <f>IFERROR(__xludf.DUMMYFUNCTION("""COMPUTED_VALUE"""),0.0)</f>
        <v>0</v>
      </c>
      <c r="S793" s="34">
        <f>IFERROR(__xludf.DUMMYFUNCTION("""COMPUTED_VALUE"""),0.0)</f>
        <v>0</v>
      </c>
    </row>
    <row r="794">
      <c r="A794" s="17">
        <f>IFERROR(__xludf.DUMMYFUNCTION("""COMPUTED_VALUE"""),794.0)</f>
        <v>794</v>
      </c>
      <c r="B794" s="17" t="str">
        <f>IFERROR(__xludf.DUMMYFUNCTION("""COMPUTED_VALUE"""),"Eliezer Alfonzo (LAD - C) MiLB")</f>
        <v>Eliezer Alfonzo (LAD - C) MiLB</v>
      </c>
      <c r="C794" s="17">
        <f>IFERROR(__xludf.DUMMYFUNCTION("""COMPUTED_VALUE"""),9.0)</f>
        <v>9</v>
      </c>
      <c r="D794" s="17">
        <f>IFERROR(__xludf.DUMMYFUNCTION("""COMPUTED_VALUE"""),1.0)</f>
        <v>1</v>
      </c>
      <c r="E794" s="17">
        <f>IFERROR(__xludf.DUMMYFUNCTION("""COMPUTED_VALUE"""),0.0)</f>
        <v>0</v>
      </c>
      <c r="F794" s="17">
        <f>IFERROR(__xludf.DUMMYFUNCTION("""COMPUTED_VALUE"""),1.0)</f>
        <v>1</v>
      </c>
      <c r="G794" s="17">
        <f>IFERROR(__xludf.DUMMYFUNCTION("""COMPUTED_VALUE"""),0.0)</f>
        <v>0</v>
      </c>
      <c r="H794" s="17">
        <f>IFERROR(__xludf.DUMMYFUNCTION("""COMPUTED_VALUE"""),0.249)</f>
        <v>0.249</v>
      </c>
      <c r="I794" s="17">
        <f>IFERROR(__xludf.DUMMYFUNCTION("""COMPUTED_VALUE"""),0.294)</f>
        <v>0.294</v>
      </c>
      <c r="J794" s="17">
        <f>IFERROR(__xludf.DUMMYFUNCTION("""COMPUTED_VALUE"""),2.0)</f>
        <v>2</v>
      </c>
      <c r="K794" s="17">
        <f>IFERROR(__xludf.DUMMYFUNCTION("""COMPUTED_VALUE"""),1.0)</f>
        <v>1</v>
      </c>
      <c r="L794" s="17">
        <f>IFERROR(__xludf.DUMMYFUNCTION("""COMPUTED_VALUE"""),0.0)</f>
        <v>0</v>
      </c>
      <c r="M794" s="17">
        <f>IFERROR(__xludf.DUMMYFUNCTION("""COMPUTED_VALUE"""),1.0)</f>
        <v>1</v>
      </c>
      <c r="N794" s="17">
        <f>IFERROR(__xludf.DUMMYFUNCTION("""COMPUTED_VALUE"""),1.0)</f>
        <v>1</v>
      </c>
      <c r="O794" s="17">
        <f>IFERROR(__xludf.DUMMYFUNCTION("""COMPUTED_VALUE"""),0.313)</f>
        <v>0.313</v>
      </c>
      <c r="P794" s="17">
        <f>IFERROR(__xludf.DUMMYFUNCTION("""COMPUTED_VALUE"""),0.607)</f>
        <v>0.607</v>
      </c>
      <c r="Q794" s="34">
        <f>IFERROR(__xludf.DUMMYFUNCTION("""COMPUTED_VALUE"""),0.0)</f>
        <v>0</v>
      </c>
      <c r="R794" s="34">
        <f>IFERROR(__xludf.DUMMYFUNCTION("""COMPUTED_VALUE"""),0.0)</f>
        <v>0</v>
      </c>
      <c r="S794" s="34">
        <f>IFERROR(__xludf.DUMMYFUNCTION("""COMPUTED_VALUE"""),0.0)</f>
        <v>0</v>
      </c>
    </row>
    <row r="795">
      <c r="A795" s="17">
        <f>IFERROR(__xludf.DUMMYFUNCTION("""COMPUTED_VALUE"""),795.0)</f>
        <v>795</v>
      </c>
      <c r="B795" s="17" t="str">
        <f>IFERROR(__xludf.DUMMYFUNCTION("""COMPUTED_VALUE"""),"Eduardo Valencia (DET - C,1B,DH) MiLB")</f>
        <v>Eduardo Valencia (DET - C,1B,DH) MiLB</v>
      </c>
      <c r="C795" s="17">
        <f>IFERROR(__xludf.DUMMYFUNCTION("""COMPUTED_VALUE"""),9.0)</f>
        <v>9</v>
      </c>
      <c r="D795" s="17">
        <f>IFERROR(__xludf.DUMMYFUNCTION("""COMPUTED_VALUE"""),1.0)</f>
        <v>1</v>
      </c>
      <c r="E795" s="17">
        <f>IFERROR(__xludf.DUMMYFUNCTION("""COMPUTED_VALUE"""),0.0)</f>
        <v>0</v>
      </c>
      <c r="F795" s="17">
        <f>IFERROR(__xludf.DUMMYFUNCTION("""COMPUTED_VALUE"""),1.0)</f>
        <v>1</v>
      </c>
      <c r="G795" s="17">
        <f>IFERROR(__xludf.DUMMYFUNCTION("""COMPUTED_VALUE"""),0.0)</f>
        <v>0</v>
      </c>
      <c r="H795" s="17">
        <f>IFERROR(__xludf.DUMMYFUNCTION("""COMPUTED_VALUE"""),0.205)</f>
        <v>0.205</v>
      </c>
      <c r="I795" s="17">
        <f>IFERROR(__xludf.DUMMYFUNCTION("""COMPUTED_VALUE"""),0.251)</f>
        <v>0.251</v>
      </c>
      <c r="J795" s="17">
        <f>IFERROR(__xludf.DUMMYFUNCTION("""COMPUTED_VALUE"""),2.0)</f>
        <v>2</v>
      </c>
      <c r="K795" s="17">
        <f>IFERROR(__xludf.DUMMYFUNCTION("""COMPUTED_VALUE"""),0.0)</f>
        <v>0</v>
      </c>
      <c r="L795" s="17">
        <f>IFERROR(__xludf.DUMMYFUNCTION("""COMPUTED_VALUE"""),0.0)</f>
        <v>0</v>
      </c>
      <c r="M795" s="17">
        <f>IFERROR(__xludf.DUMMYFUNCTION("""COMPUTED_VALUE"""),1.0)</f>
        <v>1</v>
      </c>
      <c r="N795" s="17">
        <f>IFERROR(__xludf.DUMMYFUNCTION("""COMPUTED_VALUE"""),2.0)</f>
        <v>2</v>
      </c>
      <c r="O795" s="17">
        <f>IFERROR(__xludf.DUMMYFUNCTION("""COMPUTED_VALUE"""),0.291)</f>
        <v>0.291</v>
      </c>
      <c r="P795" s="17">
        <f>IFERROR(__xludf.DUMMYFUNCTION("""COMPUTED_VALUE"""),0.542)</f>
        <v>0.542</v>
      </c>
      <c r="Q795" s="34">
        <f>IFERROR(__xludf.DUMMYFUNCTION("""COMPUTED_VALUE"""),0.0)</f>
        <v>0</v>
      </c>
      <c r="R795" s="34">
        <f>IFERROR(__xludf.DUMMYFUNCTION("""COMPUTED_VALUE"""),0.0)</f>
        <v>0</v>
      </c>
      <c r="S795" s="34">
        <f>IFERROR(__xludf.DUMMYFUNCTION("""COMPUTED_VALUE"""),0.0)</f>
        <v>0</v>
      </c>
    </row>
    <row r="796">
      <c r="A796" s="17">
        <f>IFERROR(__xludf.DUMMYFUNCTION("""COMPUTED_VALUE"""),796.0)</f>
        <v>796</v>
      </c>
      <c r="B796" s="17" t="str">
        <f>IFERROR(__xludf.DUMMYFUNCTION("""COMPUTED_VALUE"""),"Jared Serna (MIA - 2B,SS) MiLB")</f>
        <v>Jared Serna (MIA - 2B,SS) MiLB</v>
      </c>
      <c r="C796" s="17">
        <f>IFERROR(__xludf.DUMMYFUNCTION("""COMPUTED_VALUE"""),13.0)</f>
        <v>13</v>
      </c>
      <c r="D796" s="17">
        <f>IFERROR(__xludf.DUMMYFUNCTION("""COMPUTED_VALUE"""),1.0)</f>
        <v>1</v>
      </c>
      <c r="E796" s="17">
        <f>IFERROR(__xludf.DUMMYFUNCTION("""COMPUTED_VALUE"""),0.0)</f>
        <v>0</v>
      </c>
      <c r="F796" s="17">
        <f>IFERROR(__xludf.DUMMYFUNCTION("""COMPUTED_VALUE"""),1.0)</f>
        <v>1</v>
      </c>
      <c r="G796" s="17">
        <f>IFERROR(__xludf.DUMMYFUNCTION("""COMPUTED_VALUE"""),0.0)</f>
        <v>0</v>
      </c>
      <c r="H796" s="17">
        <f>IFERROR(__xludf.DUMMYFUNCTION("""COMPUTED_VALUE"""),0.226)</f>
        <v>0.226</v>
      </c>
      <c r="I796" s="17">
        <f>IFERROR(__xludf.DUMMYFUNCTION("""COMPUTED_VALUE"""),0.292)</f>
        <v>0.292</v>
      </c>
      <c r="J796" s="17">
        <f>IFERROR(__xludf.DUMMYFUNCTION("""COMPUTED_VALUE"""),3.0)</f>
        <v>3</v>
      </c>
      <c r="K796" s="17">
        <f>IFERROR(__xludf.DUMMYFUNCTION("""COMPUTED_VALUE"""),1.0)</f>
        <v>1</v>
      </c>
      <c r="L796" s="17">
        <f>IFERROR(__xludf.DUMMYFUNCTION("""COMPUTED_VALUE"""),0.0)</f>
        <v>0</v>
      </c>
      <c r="M796" s="17">
        <f>IFERROR(__xludf.DUMMYFUNCTION("""COMPUTED_VALUE"""),1.0)</f>
        <v>1</v>
      </c>
      <c r="N796" s="17">
        <f>IFERROR(__xludf.DUMMYFUNCTION("""COMPUTED_VALUE"""),3.0)</f>
        <v>3</v>
      </c>
      <c r="O796" s="17">
        <f>IFERROR(__xludf.DUMMYFUNCTION("""COMPUTED_VALUE"""),0.286)</f>
        <v>0.286</v>
      </c>
      <c r="P796" s="17">
        <f>IFERROR(__xludf.DUMMYFUNCTION("""COMPUTED_VALUE"""),0.578)</f>
        <v>0.578</v>
      </c>
      <c r="Q796" s="34">
        <f>IFERROR(__xludf.DUMMYFUNCTION("""COMPUTED_VALUE"""),0.0)</f>
        <v>0</v>
      </c>
      <c r="R796" s="34">
        <f>IFERROR(__xludf.DUMMYFUNCTION("""COMPUTED_VALUE"""),0.0)</f>
        <v>0</v>
      </c>
      <c r="S796" s="34">
        <f>IFERROR(__xludf.DUMMYFUNCTION("""COMPUTED_VALUE"""),0.0)</f>
        <v>0</v>
      </c>
    </row>
    <row r="797">
      <c r="A797" s="17">
        <f>IFERROR(__xludf.DUMMYFUNCTION("""COMPUTED_VALUE"""),797.0)</f>
        <v>797</v>
      </c>
      <c r="B797" s="17" t="str">
        <f>IFERROR(__xludf.DUMMYFUNCTION("""COMPUTED_VALUE"""),"Rhylan Thomas (SEA - LF,RF) MiLB")</f>
        <v>Rhylan Thomas (SEA - LF,RF) MiLB</v>
      </c>
      <c r="C797" s="17">
        <f>IFERROR(__xludf.DUMMYFUNCTION("""COMPUTED_VALUE"""),13.0)</f>
        <v>13</v>
      </c>
      <c r="D797" s="17">
        <f>IFERROR(__xludf.DUMMYFUNCTION("""COMPUTED_VALUE"""),1.0)</f>
        <v>1</v>
      </c>
      <c r="E797" s="17">
        <f>IFERROR(__xludf.DUMMYFUNCTION("""COMPUTED_VALUE"""),0.0)</f>
        <v>0</v>
      </c>
      <c r="F797" s="17">
        <f>IFERROR(__xludf.DUMMYFUNCTION("""COMPUTED_VALUE"""),1.0)</f>
        <v>1</v>
      </c>
      <c r="G797" s="17">
        <f>IFERROR(__xludf.DUMMYFUNCTION("""COMPUTED_VALUE"""),0.0)</f>
        <v>0</v>
      </c>
      <c r="H797" s="17">
        <f>IFERROR(__xludf.DUMMYFUNCTION("""COMPUTED_VALUE"""),0.221)</f>
        <v>0.221</v>
      </c>
      <c r="I797" s="17">
        <f>IFERROR(__xludf.DUMMYFUNCTION("""COMPUTED_VALUE"""),0.277)</f>
        <v>0.277</v>
      </c>
      <c r="J797" s="17">
        <f>IFERROR(__xludf.DUMMYFUNCTION("""COMPUTED_VALUE"""),3.0)</f>
        <v>3</v>
      </c>
      <c r="K797" s="17">
        <f>IFERROR(__xludf.DUMMYFUNCTION("""COMPUTED_VALUE"""),0.0)</f>
        <v>0</v>
      </c>
      <c r="L797" s="17">
        <f>IFERROR(__xludf.DUMMYFUNCTION("""COMPUTED_VALUE"""),0.0)</f>
        <v>0</v>
      </c>
      <c r="M797" s="17">
        <f>IFERROR(__xludf.DUMMYFUNCTION("""COMPUTED_VALUE"""),1.0)</f>
        <v>1</v>
      </c>
      <c r="N797" s="17">
        <f>IFERROR(__xludf.DUMMYFUNCTION("""COMPUTED_VALUE"""),1.0)</f>
        <v>1</v>
      </c>
      <c r="O797" s="17">
        <f>IFERROR(__xludf.DUMMYFUNCTION("""COMPUTED_VALUE"""),0.254)</f>
        <v>0.254</v>
      </c>
      <c r="P797" s="17">
        <f>IFERROR(__xludf.DUMMYFUNCTION("""COMPUTED_VALUE"""),0.532)</f>
        <v>0.532</v>
      </c>
      <c r="Q797" s="34">
        <f>IFERROR(__xludf.DUMMYFUNCTION("""COMPUTED_VALUE"""),0.0)</f>
        <v>0</v>
      </c>
      <c r="R797" s="34">
        <f>IFERROR(__xludf.DUMMYFUNCTION("""COMPUTED_VALUE"""),0.0)</f>
        <v>0</v>
      </c>
      <c r="S797" s="34">
        <f>IFERROR(__xludf.DUMMYFUNCTION("""COMPUTED_VALUE"""),0.0)</f>
        <v>0</v>
      </c>
    </row>
    <row r="798">
      <c r="A798" s="17">
        <f>IFERROR(__xludf.DUMMYFUNCTION("""COMPUTED_VALUE"""),798.0)</f>
        <v>798</v>
      </c>
      <c r="B798" s="17" t="str">
        <f>IFERROR(__xludf.DUMMYFUNCTION("""COMPUTED_VALUE"""),"Aramis Garcia (ARI - C) DFA")</f>
        <v>Aramis Garcia (ARI - C) DFA</v>
      </c>
      <c r="C798" s="17">
        <f>IFERROR(__xludf.DUMMYFUNCTION("""COMPUTED_VALUE"""),18.0)</f>
        <v>18</v>
      </c>
      <c r="D798" s="17">
        <f>IFERROR(__xludf.DUMMYFUNCTION("""COMPUTED_VALUE"""),2.0)</f>
        <v>2</v>
      </c>
      <c r="E798" s="17">
        <f>IFERROR(__xludf.DUMMYFUNCTION("""COMPUTED_VALUE"""),0.0)</f>
        <v>0</v>
      </c>
      <c r="F798" s="17">
        <f>IFERROR(__xludf.DUMMYFUNCTION("""COMPUTED_VALUE"""),2.0)</f>
        <v>2</v>
      </c>
      <c r="G798" s="17">
        <f>IFERROR(__xludf.DUMMYFUNCTION("""COMPUTED_VALUE"""),0.0)</f>
        <v>0</v>
      </c>
      <c r="H798" s="17">
        <f>IFERROR(__xludf.DUMMYFUNCTION("""COMPUTED_VALUE"""),0.169)</f>
        <v>0.169</v>
      </c>
      <c r="I798" s="17">
        <f>IFERROR(__xludf.DUMMYFUNCTION("""COMPUTED_VALUE"""),0.244)</f>
        <v>0.244</v>
      </c>
      <c r="J798" s="17">
        <f>IFERROR(__xludf.DUMMYFUNCTION("""COMPUTED_VALUE"""),3.0)</f>
        <v>3</v>
      </c>
      <c r="K798" s="17">
        <f>IFERROR(__xludf.DUMMYFUNCTION("""COMPUTED_VALUE"""),1.0)</f>
        <v>1</v>
      </c>
      <c r="L798" s="17">
        <f>IFERROR(__xludf.DUMMYFUNCTION("""COMPUTED_VALUE"""),0.0)</f>
        <v>0</v>
      </c>
      <c r="M798" s="17">
        <f>IFERROR(__xludf.DUMMYFUNCTION("""COMPUTED_VALUE"""),2.0)</f>
        <v>2</v>
      </c>
      <c r="N798" s="17">
        <f>IFERROR(__xludf.DUMMYFUNCTION("""COMPUTED_VALUE"""),6.0)</f>
        <v>6</v>
      </c>
      <c r="O798" s="17">
        <f>IFERROR(__xludf.DUMMYFUNCTION("""COMPUTED_VALUE"""),0.26)</f>
        <v>0.26</v>
      </c>
      <c r="P798" s="17">
        <f>IFERROR(__xludf.DUMMYFUNCTION("""COMPUTED_VALUE"""),0.503)</f>
        <v>0.503</v>
      </c>
      <c r="Q798" s="34">
        <f>IFERROR(__xludf.DUMMYFUNCTION("""COMPUTED_VALUE"""),0.0)</f>
        <v>0</v>
      </c>
      <c r="R798" s="34">
        <f>IFERROR(__xludf.DUMMYFUNCTION("""COMPUTED_VALUE"""),0.0)</f>
        <v>0</v>
      </c>
      <c r="S798" s="34">
        <f>IFERROR(__xludf.DUMMYFUNCTION("""COMPUTED_VALUE"""),0.0)</f>
        <v>0</v>
      </c>
    </row>
    <row r="799">
      <c r="A799" s="17">
        <f>IFERROR(__xludf.DUMMYFUNCTION("""COMPUTED_VALUE"""),799.0)</f>
        <v>799</v>
      </c>
      <c r="B799" s="17" t="str">
        <f>IFERROR(__xludf.DUMMYFUNCTION("""COMPUTED_VALUE"""),"Junior Perez (ATH - LF,CF,RF) MiLB")</f>
        <v>Junior Perez (ATH - LF,CF,RF) MiLB</v>
      </c>
      <c r="C799" s="17">
        <f>IFERROR(__xludf.DUMMYFUNCTION("""COMPUTED_VALUE"""),18.0)</f>
        <v>18</v>
      </c>
      <c r="D799" s="17">
        <f>IFERROR(__xludf.DUMMYFUNCTION("""COMPUTED_VALUE"""),2.0)</f>
        <v>2</v>
      </c>
      <c r="E799" s="17">
        <f>IFERROR(__xludf.DUMMYFUNCTION("""COMPUTED_VALUE"""),0.0)</f>
        <v>0</v>
      </c>
      <c r="F799" s="17">
        <f>IFERROR(__xludf.DUMMYFUNCTION("""COMPUTED_VALUE"""),2.0)</f>
        <v>2</v>
      </c>
      <c r="G799" s="17">
        <f>IFERROR(__xludf.DUMMYFUNCTION("""COMPUTED_VALUE"""),0.0)</f>
        <v>0</v>
      </c>
      <c r="H799" s="17">
        <f>IFERROR(__xludf.DUMMYFUNCTION("""COMPUTED_VALUE"""),0.183)</f>
        <v>0.183</v>
      </c>
      <c r="I799" s="17">
        <f>IFERROR(__xludf.DUMMYFUNCTION("""COMPUTED_VALUE"""),0.264)</f>
        <v>0.264</v>
      </c>
      <c r="J799" s="17">
        <f>IFERROR(__xludf.DUMMYFUNCTION("""COMPUTED_VALUE"""),3.0)</f>
        <v>3</v>
      </c>
      <c r="K799" s="17">
        <f>IFERROR(__xludf.DUMMYFUNCTION("""COMPUTED_VALUE"""),1.0)</f>
        <v>1</v>
      </c>
      <c r="L799" s="17">
        <f>IFERROR(__xludf.DUMMYFUNCTION("""COMPUTED_VALUE"""),0.0)</f>
        <v>0</v>
      </c>
      <c r="M799" s="17">
        <f>IFERROR(__xludf.DUMMYFUNCTION("""COMPUTED_VALUE"""),2.0)</f>
        <v>2</v>
      </c>
      <c r="N799" s="17">
        <f>IFERROR(__xludf.DUMMYFUNCTION("""COMPUTED_VALUE"""),7.0)</f>
        <v>7</v>
      </c>
      <c r="O799" s="17">
        <f>IFERROR(__xludf.DUMMYFUNCTION("""COMPUTED_VALUE"""),0.297)</f>
        <v>0.297</v>
      </c>
      <c r="P799" s="17">
        <f>IFERROR(__xludf.DUMMYFUNCTION("""COMPUTED_VALUE"""),0.561)</f>
        <v>0.561</v>
      </c>
      <c r="Q799" s="34">
        <f>IFERROR(__xludf.DUMMYFUNCTION("""COMPUTED_VALUE"""),0.0)</f>
        <v>0</v>
      </c>
      <c r="R799" s="34">
        <f>IFERROR(__xludf.DUMMYFUNCTION("""COMPUTED_VALUE"""),0.0)</f>
        <v>0</v>
      </c>
      <c r="S799" s="34">
        <f>IFERROR(__xludf.DUMMYFUNCTION("""COMPUTED_VALUE"""),0.0)</f>
        <v>0</v>
      </c>
    </row>
    <row r="800">
      <c r="A800" s="17">
        <f>IFERROR(__xludf.DUMMYFUNCTION("""COMPUTED_VALUE"""),800.0)</f>
        <v>800</v>
      </c>
      <c r="B800" s="17" t="str">
        <f>IFERROR(__xludf.DUMMYFUNCTION("""COMPUTED_VALUE"""),"Andrew Pintar (MIA - CF,RF) MiLB")</f>
        <v>Andrew Pintar (MIA - CF,RF) MiLB</v>
      </c>
      <c r="C800" s="17">
        <f>IFERROR(__xludf.DUMMYFUNCTION("""COMPUTED_VALUE"""),16.0)</f>
        <v>16</v>
      </c>
      <c r="D800" s="17">
        <f>IFERROR(__xludf.DUMMYFUNCTION("""COMPUTED_VALUE"""),2.0)</f>
        <v>2</v>
      </c>
      <c r="E800" s="17">
        <f>IFERROR(__xludf.DUMMYFUNCTION("""COMPUTED_VALUE"""),0.0)</f>
        <v>0</v>
      </c>
      <c r="F800" s="17">
        <f>IFERROR(__xludf.DUMMYFUNCTION("""COMPUTED_VALUE"""),1.0)</f>
        <v>1</v>
      </c>
      <c r="G800" s="17">
        <f>IFERROR(__xludf.DUMMYFUNCTION("""COMPUTED_VALUE"""),0.0)</f>
        <v>0</v>
      </c>
      <c r="H800" s="17">
        <f>IFERROR(__xludf.DUMMYFUNCTION("""COMPUTED_VALUE"""),0.211)</f>
        <v>0.211</v>
      </c>
      <c r="I800" s="17">
        <f>IFERROR(__xludf.DUMMYFUNCTION("""COMPUTED_VALUE"""),0.275)</f>
        <v>0.275</v>
      </c>
      <c r="J800" s="17">
        <f>IFERROR(__xludf.DUMMYFUNCTION("""COMPUTED_VALUE"""),3.0)</f>
        <v>3</v>
      </c>
      <c r="K800" s="17">
        <f>IFERROR(__xludf.DUMMYFUNCTION("""COMPUTED_VALUE"""),0.0)</f>
        <v>0</v>
      </c>
      <c r="L800" s="17">
        <f>IFERROR(__xludf.DUMMYFUNCTION("""COMPUTED_VALUE"""),0.0)</f>
        <v>0</v>
      </c>
      <c r="M800" s="17">
        <f>IFERROR(__xludf.DUMMYFUNCTION("""COMPUTED_VALUE"""),1.0)</f>
        <v>1</v>
      </c>
      <c r="N800" s="17">
        <f>IFERROR(__xludf.DUMMYFUNCTION("""COMPUTED_VALUE"""),5.0)</f>
        <v>5</v>
      </c>
      <c r="O800" s="17">
        <f>IFERROR(__xludf.DUMMYFUNCTION("""COMPUTED_VALUE"""),0.281)</f>
        <v>0.281</v>
      </c>
      <c r="P800" s="17">
        <f>IFERROR(__xludf.DUMMYFUNCTION("""COMPUTED_VALUE"""),0.556)</f>
        <v>0.556</v>
      </c>
      <c r="Q800" s="34">
        <f>IFERROR(__xludf.DUMMYFUNCTION("""COMPUTED_VALUE"""),0.0)</f>
        <v>0</v>
      </c>
      <c r="R800" s="34">
        <f>IFERROR(__xludf.DUMMYFUNCTION("""COMPUTED_VALUE"""),0.0)</f>
        <v>0</v>
      </c>
      <c r="S800" s="34">
        <f>IFERROR(__xludf.DUMMYFUNCTION("""COMPUTED_VALUE"""),0.0)</f>
        <v>0</v>
      </c>
    </row>
    <row r="801">
      <c r="A801" s="17">
        <f>IFERROR(__xludf.DUMMYFUNCTION("""COMPUTED_VALUE"""),801.0)</f>
        <v>801</v>
      </c>
      <c r="B801" s="17" t="str">
        <f>IFERROR(__xludf.DUMMYFUNCTION("""COMPUTED_VALUE"""),"Tomas Nido (DET - C) MiLB")</f>
        <v>Tomas Nido (DET - C) MiLB</v>
      </c>
      <c r="C801" s="17">
        <f>IFERROR(__xludf.DUMMYFUNCTION("""COMPUTED_VALUE"""),6.0)</f>
        <v>6</v>
      </c>
      <c r="D801" s="17">
        <f>IFERROR(__xludf.DUMMYFUNCTION("""COMPUTED_VALUE"""),1.0)</f>
        <v>1</v>
      </c>
      <c r="E801" s="17">
        <f>IFERROR(__xludf.DUMMYFUNCTION("""COMPUTED_VALUE"""),0.0)</f>
        <v>0</v>
      </c>
      <c r="F801" s="17">
        <f>IFERROR(__xludf.DUMMYFUNCTION("""COMPUTED_VALUE"""),1.0)</f>
        <v>1</v>
      </c>
      <c r="G801" s="17">
        <f>IFERROR(__xludf.DUMMYFUNCTION("""COMPUTED_VALUE"""),0.0)</f>
        <v>0</v>
      </c>
      <c r="H801" s="17">
        <f>IFERROR(__xludf.DUMMYFUNCTION("""COMPUTED_VALUE"""),0.207)</f>
        <v>0.207</v>
      </c>
      <c r="I801" s="17">
        <f>IFERROR(__xludf.DUMMYFUNCTION("""COMPUTED_VALUE"""),0.234)</f>
        <v>0.234</v>
      </c>
      <c r="J801" s="17">
        <f>IFERROR(__xludf.DUMMYFUNCTION("""COMPUTED_VALUE"""),1.0)</f>
        <v>1</v>
      </c>
      <c r="K801" s="17">
        <f>IFERROR(__xludf.DUMMYFUNCTION("""COMPUTED_VALUE"""),0.0)</f>
        <v>0</v>
      </c>
      <c r="L801" s="17">
        <f>IFERROR(__xludf.DUMMYFUNCTION("""COMPUTED_VALUE"""),0.0)</f>
        <v>0</v>
      </c>
      <c r="M801" s="17">
        <f>IFERROR(__xludf.DUMMYFUNCTION("""COMPUTED_VALUE"""),0.0)</f>
        <v>0</v>
      </c>
      <c r="N801" s="17">
        <f>IFERROR(__xludf.DUMMYFUNCTION("""COMPUTED_VALUE"""),1.0)</f>
        <v>1</v>
      </c>
      <c r="O801" s="17">
        <f>IFERROR(__xludf.DUMMYFUNCTION("""COMPUTED_VALUE"""),0.256)</f>
        <v>0.256</v>
      </c>
      <c r="P801" s="17">
        <f>IFERROR(__xludf.DUMMYFUNCTION("""COMPUTED_VALUE"""),0.491)</f>
        <v>0.491</v>
      </c>
      <c r="Q801" s="34">
        <f>IFERROR(__xludf.DUMMYFUNCTION("""COMPUTED_VALUE"""),0.0)</f>
        <v>0</v>
      </c>
      <c r="R801" s="34">
        <f>IFERROR(__xludf.DUMMYFUNCTION("""COMPUTED_VALUE"""),0.0)</f>
        <v>0</v>
      </c>
      <c r="S801" s="34">
        <f>IFERROR(__xludf.DUMMYFUNCTION("""COMPUTED_VALUE"""),0.0)</f>
        <v>0</v>
      </c>
    </row>
    <row r="802">
      <c r="A802" s="17">
        <f>IFERROR(__xludf.DUMMYFUNCTION("""COMPUTED_VALUE"""),802.0)</f>
        <v>802</v>
      </c>
      <c r="B802" s="17" t="str">
        <f>IFERROR(__xludf.DUMMYFUNCTION("""COMPUTED_VALUE"""),"Brennen Davis (SEA - LF) MiLB")</f>
        <v>Brennen Davis (SEA - LF) MiLB</v>
      </c>
      <c r="C802" s="17">
        <f>IFERROR(__xludf.DUMMYFUNCTION("""COMPUTED_VALUE"""),6.0)</f>
        <v>6</v>
      </c>
      <c r="D802" s="17">
        <f>IFERROR(__xludf.DUMMYFUNCTION("""COMPUTED_VALUE"""),1.0)</f>
        <v>1</v>
      </c>
      <c r="E802" s="17">
        <f>IFERROR(__xludf.DUMMYFUNCTION("""COMPUTED_VALUE"""),0.0)</f>
        <v>0</v>
      </c>
      <c r="F802" s="17">
        <f>IFERROR(__xludf.DUMMYFUNCTION("""COMPUTED_VALUE"""),1.0)</f>
        <v>1</v>
      </c>
      <c r="G802" s="17">
        <f>IFERROR(__xludf.DUMMYFUNCTION("""COMPUTED_VALUE"""),0.0)</f>
        <v>0</v>
      </c>
      <c r="H802" s="17">
        <f>IFERROR(__xludf.DUMMYFUNCTION("""COMPUTED_VALUE"""),0.183)</f>
        <v>0.183</v>
      </c>
      <c r="I802" s="17">
        <f>IFERROR(__xludf.DUMMYFUNCTION("""COMPUTED_VALUE"""),0.22)</f>
        <v>0.22</v>
      </c>
      <c r="J802" s="17">
        <f>IFERROR(__xludf.DUMMYFUNCTION("""COMPUTED_VALUE"""),1.0)</f>
        <v>1</v>
      </c>
      <c r="K802" s="17">
        <f>IFERROR(__xludf.DUMMYFUNCTION("""COMPUTED_VALUE"""),0.0)</f>
        <v>0</v>
      </c>
      <c r="L802" s="17">
        <f>IFERROR(__xludf.DUMMYFUNCTION("""COMPUTED_VALUE"""),0.0)</f>
        <v>0</v>
      </c>
      <c r="M802" s="17">
        <f>IFERROR(__xludf.DUMMYFUNCTION("""COMPUTED_VALUE"""),0.0)</f>
        <v>0</v>
      </c>
      <c r="N802" s="17">
        <f>IFERROR(__xludf.DUMMYFUNCTION("""COMPUTED_VALUE"""),2.0)</f>
        <v>2</v>
      </c>
      <c r="O802" s="17">
        <f>IFERROR(__xludf.DUMMYFUNCTION("""COMPUTED_VALUE"""),0.252)</f>
        <v>0.252</v>
      </c>
      <c r="P802" s="17">
        <f>IFERROR(__xludf.DUMMYFUNCTION("""COMPUTED_VALUE"""),0.473)</f>
        <v>0.473</v>
      </c>
      <c r="Q802" s="34">
        <f>IFERROR(__xludf.DUMMYFUNCTION("""COMPUTED_VALUE"""),0.0)</f>
        <v>0</v>
      </c>
      <c r="R802" s="34">
        <f>IFERROR(__xludf.DUMMYFUNCTION("""COMPUTED_VALUE"""),0.0)</f>
        <v>0</v>
      </c>
      <c r="S802" s="34">
        <f>IFERROR(__xludf.DUMMYFUNCTION("""COMPUTED_VALUE"""),0.0)</f>
        <v>0</v>
      </c>
    </row>
    <row r="803">
      <c r="A803" s="17">
        <f>IFERROR(__xludf.DUMMYFUNCTION("""COMPUTED_VALUE"""),803.0)</f>
        <v>803</v>
      </c>
      <c r="B803" s="17" t="str">
        <f>IFERROR(__xludf.DUMMYFUNCTION("""COMPUTED_VALUE"""),"Willie MacIver (TOR - C) MiLB")</f>
        <v>Willie MacIver (TOR - C) MiLB</v>
      </c>
      <c r="C803" s="17">
        <f>IFERROR(__xludf.DUMMYFUNCTION("""COMPUTED_VALUE"""),6.0)</f>
        <v>6</v>
      </c>
      <c r="D803" s="17">
        <f>IFERROR(__xludf.DUMMYFUNCTION("""COMPUTED_VALUE"""),1.0)</f>
        <v>1</v>
      </c>
      <c r="E803" s="17">
        <f>IFERROR(__xludf.DUMMYFUNCTION("""COMPUTED_VALUE"""),0.0)</f>
        <v>0</v>
      </c>
      <c r="F803" s="17">
        <f>IFERROR(__xludf.DUMMYFUNCTION("""COMPUTED_VALUE"""),1.0)</f>
        <v>1</v>
      </c>
      <c r="G803" s="17">
        <f>IFERROR(__xludf.DUMMYFUNCTION("""COMPUTED_VALUE"""),0.0)</f>
        <v>0</v>
      </c>
      <c r="H803" s="17">
        <f>IFERROR(__xludf.DUMMYFUNCTION("""COMPUTED_VALUE"""),0.201)</f>
        <v>0.201</v>
      </c>
      <c r="I803" s="17">
        <f>IFERROR(__xludf.DUMMYFUNCTION("""COMPUTED_VALUE"""),0.237)</f>
        <v>0.237</v>
      </c>
      <c r="J803" s="17">
        <f>IFERROR(__xludf.DUMMYFUNCTION("""COMPUTED_VALUE"""),1.0)</f>
        <v>1</v>
      </c>
      <c r="K803" s="17">
        <f>IFERROR(__xludf.DUMMYFUNCTION("""COMPUTED_VALUE"""),0.0)</f>
        <v>0</v>
      </c>
      <c r="L803" s="17">
        <f>IFERROR(__xludf.DUMMYFUNCTION("""COMPUTED_VALUE"""),0.0)</f>
        <v>0</v>
      </c>
      <c r="M803" s="17">
        <f>IFERROR(__xludf.DUMMYFUNCTION("""COMPUTED_VALUE"""),0.0)</f>
        <v>0</v>
      </c>
      <c r="N803" s="17">
        <f>IFERROR(__xludf.DUMMYFUNCTION("""COMPUTED_VALUE"""),2.0)</f>
        <v>2</v>
      </c>
      <c r="O803" s="17">
        <f>IFERROR(__xludf.DUMMYFUNCTION("""COMPUTED_VALUE"""),0.255)</f>
        <v>0.255</v>
      </c>
      <c r="P803" s="17">
        <f>IFERROR(__xludf.DUMMYFUNCTION("""COMPUTED_VALUE"""),0.491)</f>
        <v>0.491</v>
      </c>
      <c r="Q803" s="34">
        <f>IFERROR(__xludf.DUMMYFUNCTION("""COMPUTED_VALUE"""),0.0)</f>
        <v>0</v>
      </c>
      <c r="R803" s="34">
        <f>IFERROR(__xludf.DUMMYFUNCTION("""COMPUTED_VALUE"""),0.0)</f>
        <v>0</v>
      </c>
      <c r="S803" s="34">
        <f>IFERROR(__xludf.DUMMYFUNCTION("""COMPUTED_VALUE"""),0.0)</f>
        <v>0</v>
      </c>
    </row>
    <row r="804">
      <c r="A804" s="17">
        <f>IFERROR(__xludf.DUMMYFUNCTION("""COMPUTED_VALUE"""),804.0)</f>
        <v>804</v>
      </c>
      <c r="B804" s="17" t="str">
        <f>IFERROR(__xludf.DUMMYFUNCTION("""COMPUTED_VALUE"""),"Jase Bowen (SD - CF) MiLB")</f>
        <v>Jase Bowen (SD - CF) MiLB</v>
      </c>
      <c r="C804" s="17">
        <f>IFERROR(__xludf.DUMMYFUNCTION("""COMPUTED_VALUE"""),6.0)</f>
        <v>6</v>
      </c>
      <c r="D804" s="17">
        <f>IFERROR(__xludf.DUMMYFUNCTION("""COMPUTED_VALUE"""),1.0)</f>
        <v>1</v>
      </c>
      <c r="E804" s="17">
        <f>IFERROR(__xludf.DUMMYFUNCTION("""COMPUTED_VALUE"""),0.0)</f>
        <v>0</v>
      </c>
      <c r="F804" s="17">
        <f>IFERROR(__xludf.DUMMYFUNCTION("""COMPUTED_VALUE"""),1.0)</f>
        <v>1</v>
      </c>
      <c r="G804" s="17">
        <f>IFERROR(__xludf.DUMMYFUNCTION("""COMPUTED_VALUE"""),0.0)</f>
        <v>0</v>
      </c>
      <c r="H804" s="17">
        <f>IFERROR(__xludf.DUMMYFUNCTION("""COMPUTED_VALUE"""),0.187)</f>
        <v>0.187</v>
      </c>
      <c r="I804" s="17">
        <f>IFERROR(__xludf.DUMMYFUNCTION("""COMPUTED_VALUE"""),0.213)</f>
        <v>0.213</v>
      </c>
      <c r="J804" s="17">
        <f>IFERROR(__xludf.DUMMYFUNCTION("""COMPUTED_VALUE"""),1.0)</f>
        <v>1</v>
      </c>
      <c r="K804" s="17">
        <f>IFERROR(__xludf.DUMMYFUNCTION("""COMPUTED_VALUE"""),0.0)</f>
        <v>0</v>
      </c>
      <c r="L804" s="17">
        <f>IFERROR(__xludf.DUMMYFUNCTION("""COMPUTED_VALUE"""),0.0)</f>
        <v>0</v>
      </c>
      <c r="M804" s="17">
        <f>IFERROR(__xludf.DUMMYFUNCTION("""COMPUTED_VALUE"""),0.0)</f>
        <v>0</v>
      </c>
      <c r="N804" s="17">
        <f>IFERROR(__xludf.DUMMYFUNCTION("""COMPUTED_VALUE"""),2.0)</f>
        <v>2</v>
      </c>
      <c r="O804" s="17">
        <f>IFERROR(__xludf.DUMMYFUNCTION("""COMPUTED_VALUE"""),0.245)</f>
        <v>0.245</v>
      </c>
      <c r="P804" s="17">
        <f>IFERROR(__xludf.DUMMYFUNCTION("""COMPUTED_VALUE"""),0.458)</f>
        <v>0.458</v>
      </c>
      <c r="Q804" s="34">
        <f>IFERROR(__xludf.DUMMYFUNCTION("""COMPUTED_VALUE"""),0.0)</f>
        <v>0</v>
      </c>
      <c r="R804" s="34">
        <f>IFERROR(__xludf.DUMMYFUNCTION("""COMPUTED_VALUE"""),0.0)</f>
        <v>0</v>
      </c>
      <c r="S804" s="34">
        <f>IFERROR(__xludf.DUMMYFUNCTION("""COMPUTED_VALUE"""),0.0)</f>
        <v>0</v>
      </c>
    </row>
    <row r="805">
      <c r="A805" s="17">
        <f>IFERROR(__xludf.DUMMYFUNCTION("""COMPUTED_VALUE"""),805.0)</f>
        <v>805</v>
      </c>
      <c r="B805" s="17" t="str">
        <f>IFERROR(__xludf.DUMMYFUNCTION("""COMPUTED_VALUE"""),"Michael Siani (LAD - CF) MiLB")</f>
        <v>Michael Siani (LAD - CF) MiLB</v>
      </c>
      <c r="C805" s="17">
        <f>IFERROR(__xludf.DUMMYFUNCTION("""COMPUTED_VALUE"""),10.0)</f>
        <v>10</v>
      </c>
      <c r="D805" s="17">
        <f>IFERROR(__xludf.DUMMYFUNCTION("""COMPUTED_VALUE"""),1.0)</f>
        <v>1</v>
      </c>
      <c r="E805" s="17">
        <f>IFERROR(__xludf.DUMMYFUNCTION("""COMPUTED_VALUE"""),0.0)</f>
        <v>0</v>
      </c>
      <c r="F805" s="17">
        <f>IFERROR(__xludf.DUMMYFUNCTION("""COMPUTED_VALUE"""),1.0)</f>
        <v>1</v>
      </c>
      <c r="G805" s="17">
        <f>IFERROR(__xludf.DUMMYFUNCTION("""COMPUTED_VALUE"""),0.0)</f>
        <v>0</v>
      </c>
      <c r="H805" s="17">
        <f>IFERROR(__xludf.DUMMYFUNCTION("""COMPUTED_VALUE"""),0.212)</f>
        <v>0.212</v>
      </c>
      <c r="I805" s="17">
        <f>IFERROR(__xludf.DUMMYFUNCTION("""COMPUTED_VALUE"""),0.303)</f>
        <v>0.303</v>
      </c>
      <c r="J805" s="17">
        <f>IFERROR(__xludf.DUMMYFUNCTION("""COMPUTED_VALUE"""),2.0)</f>
        <v>2</v>
      </c>
      <c r="K805" s="17">
        <f>IFERROR(__xludf.DUMMYFUNCTION("""COMPUTED_VALUE"""),0.0)</f>
        <v>0</v>
      </c>
      <c r="L805" s="17">
        <f>IFERROR(__xludf.DUMMYFUNCTION("""COMPUTED_VALUE"""),0.0)</f>
        <v>0</v>
      </c>
      <c r="M805" s="17">
        <f>IFERROR(__xludf.DUMMYFUNCTION("""COMPUTED_VALUE"""),1.0)</f>
        <v>1</v>
      </c>
      <c r="N805" s="17">
        <f>IFERROR(__xludf.DUMMYFUNCTION("""COMPUTED_VALUE"""),3.0)</f>
        <v>3</v>
      </c>
      <c r="O805" s="17">
        <f>IFERROR(__xludf.DUMMYFUNCTION("""COMPUTED_VALUE"""),0.291)</f>
        <v>0.291</v>
      </c>
      <c r="P805" s="17">
        <f>IFERROR(__xludf.DUMMYFUNCTION("""COMPUTED_VALUE"""),0.594)</f>
        <v>0.594</v>
      </c>
      <c r="Q805" s="34">
        <f>IFERROR(__xludf.DUMMYFUNCTION("""COMPUTED_VALUE"""),0.0)</f>
        <v>0</v>
      </c>
      <c r="R805" s="34">
        <f>IFERROR(__xludf.DUMMYFUNCTION("""COMPUTED_VALUE"""),0.0)</f>
        <v>0</v>
      </c>
      <c r="S805" s="34">
        <f>IFERROR(__xludf.DUMMYFUNCTION("""COMPUTED_VALUE"""),0.0)</f>
        <v>0</v>
      </c>
    </row>
    <row r="806">
      <c r="A806" s="17">
        <f>IFERROR(__xludf.DUMMYFUNCTION("""COMPUTED_VALUE"""),806.0)</f>
        <v>806</v>
      </c>
      <c r="B806" s="17" t="str">
        <f>IFERROR(__xludf.DUMMYFUNCTION("""COMPUTED_VALUE"""),"Dominic Fletcher (PIT - CF,RF) MiLB")</f>
        <v>Dominic Fletcher (PIT - CF,RF) MiLB</v>
      </c>
      <c r="C806" s="17">
        <f>IFERROR(__xludf.DUMMYFUNCTION("""COMPUTED_VALUE"""),10.0)</f>
        <v>10</v>
      </c>
      <c r="D806" s="17">
        <f>IFERROR(__xludf.DUMMYFUNCTION("""COMPUTED_VALUE"""),1.0)</f>
        <v>1</v>
      </c>
      <c r="E806" s="17">
        <f>IFERROR(__xludf.DUMMYFUNCTION("""COMPUTED_VALUE"""),0.0)</f>
        <v>0</v>
      </c>
      <c r="F806" s="17">
        <f>IFERROR(__xludf.DUMMYFUNCTION("""COMPUTED_VALUE"""),1.0)</f>
        <v>1</v>
      </c>
      <c r="G806" s="17">
        <f>IFERROR(__xludf.DUMMYFUNCTION("""COMPUTED_VALUE"""),0.0)</f>
        <v>0</v>
      </c>
      <c r="H806" s="17">
        <f>IFERROR(__xludf.DUMMYFUNCTION("""COMPUTED_VALUE"""),0.21)</f>
        <v>0.21</v>
      </c>
      <c r="I806" s="17">
        <f>IFERROR(__xludf.DUMMYFUNCTION("""COMPUTED_VALUE"""),0.243)</f>
        <v>0.243</v>
      </c>
      <c r="J806" s="17">
        <f>IFERROR(__xludf.DUMMYFUNCTION("""COMPUTED_VALUE"""),2.0)</f>
        <v>2</v>
      </c>
      <c r="K806" s="17">
        <f>IFERROR(__xludf.DUMMYFUNCTION("""COMPUTED_VALUE"""),0.0)</f>
        <v>0</v>
      </c>
      <c r="L806" s="17">
        <f>IFERROR(__xludf.DUMMYFUNCTION("""COMPUTED_VALUE"""),0.0)</f>
        <v>0</v>
      </c>
      <c r="M806" s="17">
        <f>IFERROR(__xludf.DUMMYFUNCTION("""COMPUTED_VALUE"""),0.0)</f>
        <v>0</v>
      </c>
      <c r="N806" s="17">
        <f>IFERROR(__xludf.DUMMYFUNCTION("""COMPUTED_VALUE"""),2.0)</f>
        <v>2</v>
      </c>
      <c r="O806" s="17">
        <f>IFERROR(__xludf.DUMMYFUNCTION("""COMPUTED_VALUE"""),0.301)</f>
        <v>0.301</v>
      </c>
      <c r="P806" s="17">
        <f>IFERROR(__xludf.DUMMYFUNCTION("""COMPUTED_VALUE"""),0.544)</f>
        <v>0.544</v>
      </c>
      <c r="Q806" s="34">
        <f>IFERROR(__xludf.DUMMYFUNCTION("""COMPUTED_VALUE"""),0.0)</f>
        <v>0</v>
      </c>
      <c r="R806" s="34">
        <f>IFERROR(__xludf.DUMMYFUNCTION("""COMPUTED_VALUE"""),0.0)</f>
        <v>0</v>
      </c>
      <c r="S806" s="34">
        <f>IFERROR(__xludf.DUMMYFUNCTION("""COMPUTED_VALUE"""),0.0)</f>
        <v>0</v>
      </c>
    </row>
    <row r="807">
      <c r="A807" s="17">
        <f>IFERROR(__xludf.DUMMYFUNCTION("""COMPUTED_VALUE"""),807.0)</f>
        <v>807</v>
      </c>
      <c r="B807" s="17" t="str">
        <f>IFERROR(__xludf.DUMMYFUNCTION("""COMPUTED_VALUE"""),"Jeferson Quero (MIL - C) MiLB")</f>
        <v>Jeferson Quero (MIL - C) MiLB</v>
      </c>
      <c r="C807" s="17">
        <f>IFERROR(__xludf.DUMMYFUNCTION("""COMPUTED_VALUE"""),10.0)</f>
        <v>10</v>
      </c>
      <c r="D807" s="17">
        <f>IFERROR(__xludf.DUMMYFUNCTION("""COMPUTED_VALUE"""),1.0)</f>
        <v>1</v>
      </c>
      <c r="E807" s="17">
        <f>IFERROR(__xludf.DUMMYFUNCTION("""COMPUTED_VALUE"""),0.0)</f>
        <v>0</v>
      </c>
      <c r="F807" s="17">
        <f>IFERROR(__xludf.DUMMYFUNCTION("""COMPUTED_VALUE"""),1.0)</f>
        <v>1</v>
      </c>
      <c r="G807" s="17">
        <f>IFERROR(__xludf.DUMMYFUNCTION("""COMPUTED_VALUE"""),0.0)</f>
        <v>0</v>
      </c>
      <c r="H807" s="17">
        <f>IFERROR(__xludf.DUMMYFUNCTION("""COMPUTED_VALUE"""),0.213)</f>
        <v>0.213</v>
      </c>
      <c r="I807" s="17">
        <f>IFERROR(__xludf.DUMMYFUNCTION("""COMPUTED_VALUE"""),0.269)</f>
        <v>0.269</v>
      </c>
      <c r="J807" s="17">
        <f>IFERROR(__xludf.DUMMYFUNCTION("""COMPUTED_VALUE"""),2.0)</f>
        <v>2</v>
      </c>
      <c r="K807" s="17">
        <f>IFERROR(__xludf.DUMMYFUNCTION("""COMPUTED_VALUE"""),0.0)</f>
        <v>0</v>
      </c>
      <c r="L807" s="17">
        <f>IFERROR(__xludf.DUMMYFUNCTION("""COMPUTED_VALUE"""),0.0)</f>
        <v>0</v>
      </c>
      <c r="M807" s="17">
        <f>IFERROR(__xludf.DUMMYFUNCTION("""COMPUTED_VALUE"""),1.0)</f>
        <v>1</v>
      </c>
      <c r="N807" s="17">
        <f>IFERROR(__xludf.DUMMYFUNCTION("""COMPUTED_VALUE"""),2.0)</f>
        <v>2</v>
      </c>
      <c r="O807" s="17">
        <f>IFERROR(__xludf.DUMMYFUNCTION("""COMPUTED_VALUE"""),0.297)</f>
        <v>0.297</v>
      </c>
      <c r="P807" s="17">
        <f>IFERROR(__xludf.DUMMYFUNCTION("""COMPUTED_VALUE"""),0.566)</f>
        <v>0.566</v>
      </c>
      <c r="Q807" s="34">
        <f>IFERROR(__xludf.DUMMYFUNCTION("""COMPUTED_VALUE"""),0.0)</f>
        <v>0</v>
      </c>
      <c r="R807" s="34">
        <f>IFERROR(__xludf.DUMMYFUNCTION("""COMPUTED_VALUE"""),0.0)</f>
        <v>0</v>
      </c>
      <c r="S807" s="34">
        <f>IFERROR(__xludf.DUMMYFUNCTION("""COMPUTED_VALUE"""),0.0)</f>
        <v>0</v>
      </c>
    </row>
    <row r="808">
      <c r="A808" s="17">
        <f>IFERROR(__xludf.DUMMYFUNCTION("""COMPUTED_VALUE"""),808.0)</f>
        <v>808</v>
      </c>
      <c r="B808" s="17" t="str">
        <f>IFERROR(__xludf.DUMMYFUNCTION("""COMPUTED_VALUE"""),"Matt Koperniak (STL - LF,RF) MiLB")</f>
        <v>Matt Koperniak (STL - LF,RF) MiLB</v>
      </c>
      <c r="C808" s="17">
        <f>IFERROR(__xludf.DUMMYFUNCTION("""COMPUTED_VALUE"""),10.0)</f>
        <v>10</v>
      </c>
      <c r="D808" s="17">
        <f>IFERROR(__xludf.DUMMYFUNCTION("""COMPUTED_VALUE"""),1.0)</f>
        <v>1</v>
      </c>
      <c r="E808" s="17">
        <f>IFERROR(__xludf.DUMMYFUNCTION("""COMPUTED_VALUE"""),0.0)</f>
        <v>0</v>
      </c>
      <c r="F808" s="17">
        <f>IFERROR(__xludf.DUMMYFUNCTION("""COMPUTED_VALUE"""),1.0)</f>
        <v>1</v>
      </c>
      <c r="G808" s="17">
        <f>IFERROR(__xludf.DUMMYFUNCTION("""COMPUTED_VALUE"""),0.0)</f>
        <v>0</v>
      </c>
      <c r="H808" s="17">
        <f>IFERROR(__xludf.DUMMYFUNCTION("""COMPUTED_VALUE"""),0.211)</f>
        <v>0.211</v>
      </c>
      <c r="I808" s="17">
        <f>IFERROR(__xludf.DUMMYFUNCTION("""COMPUTED_VALUE"""),0.254)</f>
        <v>0.254</v>
      </c>
      <c r="J808" s="17">
        <f>IFERROR(__xludf.DUMMYFUNCTION("""COMPUTED_VALUE"""),2.0)</f>
        <v>2</v>
      </c>
      <c r="K808" s="17">
        <f>IFERROR(__xludf.DUMMYFUNCTION("""COMPUTED_VALUE"""),0.0)</f>
        <v>0</v>
      </c>
      <c r="L808" s="17">
        <f>IFERROR(__xludf.DUMMYFUNCTION("""COMPUTED_VALUE"""),0.0)</f>
        <v>0</v>
      </c>
      <c r="M808" s="17">
        <f>IFERROR(__xludf.DUMMYFUNCTION("""COMPUTED_VALUE"""),1.0)</f>
        <v>1</v>
      </c>
      <c r="N808" s="17">
        <f>IFERROR(__xludf.DUMMYFUNCTION("""COMPUTED_VALUE"""),2.0)</f>
        <v>2</v>
      </c>
      <c r="O808" s="17">
        <f>IFERROR(__xludf.DUMMYFUNCTION("""COMPUTED_VALUE"""),0.288)</f>
        <v>0.288</v>
      </c>
      <c r="P808" s="17">
        <f>IFERROR(__xludf.DUMMYFUNCTION("""COMPUTED_VALUE"""),0.542)</f>
        <v>0.542</v>
      </c>
      <c r="Q808" s="34">
        <f>IFERROR(__xludf.DUMMYFUNCTION("""COMPUTED_VALUE"""),0.0)</f>
        <v>0</v>
      </c>
      <c r="R808" s="34">
        <f>IFERROR(__xludf.DUMMYFUNCTION("""COMPUTED_VALUE"""),0.0)</f>
        <v>0</v>
      </c>
      <c r="S808" s="34">
        <f>IFERROR(__xludf.DUMMYFUNCTION("""COMPUTED_VALUE"""),0.0)</f>
        <v>0</v>
      </c>
    </row>
    <row r="809">
      <c r="A809" s="17">
        <f>IFERROR(__xludf.DUMMYFUNCTION("""COMPUTED_VALUE"""),809.0)</f>
        <v>809</v>
      </c>
      <c r="B809" s="17" t="str">
        <f>IFERROR(__xludf.DUMMYFUNCTION("""COMPUTED_VALUE"""),"Hector Rodriguez (CIN - LF,RF) MiLB")</f>
        <v>Hector Rodriguez (CIN - LF,RF) MiLB</v>
      </c>
      <c r="C809" s="17">
        <f>IFERROR(__xludf.DUMMYFUNCTION("""COMPUTED_VALUE"""),10.0)</f>
        <v>10</v>
      </c>
      <c r="D809" s="17">
        <f>IFERROR(__xludf.DUMMYFUNCTION("""COMPUTED_VALUE"""),1.0)</f>
        <v>1</v>
      </c>
      <c r="E809" s="17">
        <f>IFERROR(__xludf.DUMMYFUNCTION("""COMPUTED_VALUE"""),0.0)</f>
        <v>0</v>
      </c>
      <c r="F809" s="17">
        <f>IFERROR(__xludf.DUMMYFUNCTION("""COMPUTED_VALUE"""),1.0)</f>
        <v>1</v>
      </c>
      <c r="G809" s="17">
        <f>IFERROR(__xludf.DUMMYFUNCTION("""COMPUTED_VALUE"""),0.0)</f>
        <v>0</v>
      </c>
      <c r="H809" s="17">
        <f>IFERROR(__xludf.DUMMYFUNCTION("""COMPUTED_VALUE"""),0.225)</f>
        <v>0.225</v>
      </c>
      <c r="I809" s="17">
        <f>IFERROR(__xludf.DUMMYFUNCTION("""COMPUTED_VALUE"""),0.256)</f>
        <v>0.256</v>
      </c>
      <c r="J809" s="17">
        <f>IFERROR(__xludf.DUMMYFUNCTION("""COMPUTED_VALUE"""),2.0)</f>
        <v>2</v>
      </c>
      <c r="K809" s="17">
        <f>IFERROR(__xludf.DUMMYFUNCTION("""COMPUTED_VALUE"""),0.0)</f>
        <v>0</v>
      </c>
      <c r="L809" s="17">
        <f>IFERROR(__xludf.DUMMYFUNCTION("""COMPUTED_VALUE"""),0.0)</f>
        <v>0</v>
      </c>
      <c r="M809" s="17">
        <f>IFERROR(__xludf.DUMMYFUNCTION("""COMPUTED_VALUE"""),0.0)</f>
        <v>0</v>
      </c>
      <c r="N809" s="17">
        <f>IFERROR(__xludf.DUMMYFUNCTION("""COMPUTED_VALUE"""),2.0)</f>
        <v>2</v>
      </c>
      <c r="O809" s="17">
        <f>IFERROR(__xludf.DUMMYFUNCTION("""COMPUTED_VALUE"""),0.325)</f>
        <v>0.325</v>
      </c>
      <c r="P809" s="17">
        <f>IFERROR(__xludf.DUMMYFUNCTION("""COMPUTED_VALUE"""),0.581)</f>
        <v>0.581</v>
      </c>
      <c r="Q809" s="34">
        <f>IFERROR(__xludf.DUMMYFUNCTION("""COMPUTED_VALUE"""),0.0)</f>
        <v>0</v>
      </c>
      <c r="R809" s="34">
        <f>IFERROR(__xludf.DUMMYFUNCTION("""COMPUTED_VALUE"""),0.0)</f>
        <v>0</v>
      </c>
      <c r="S809" s="34">
        <f>IFERROR(__xludf.DUMMYFUNCTION("""COMPUTED_VALUE"""),0.0)</f>
        <v>0</v>
      </c>
    </row>
    <row r="810">
      <c r="A810" s="17">
        <f>IFERROR(__xludf.DUMMYFUNCTION("""COMPUTED_VALUE"""),810.0)</f>
        <v>810</v>
      </c>
      <c r="B810" s="17" t="str">
        <f>IFERROR(__xludf.DUMMYFUNCTION("""COMPUTED_VALUE"""),"Max Anderson (DET - 2B,3B) MiLB")</f>
        <v>Max Anderson (DET - 2B,3B) MiLB</v>
      </c>
      <c r="C810" s="17">
        <f>IFERROR(__xludf.DUMMYFUNCTION("""COMPUTED_VALUE"""),10.0)</f>
        <v>10</v>
      </c>
      <c r="D810" s="17">
        <f>IFERROR(__xludf.DUMMYFUNCTION("""COMPUTED_VALUE"""),1.0)</f>
        <v>1</v>
      </c>
      <c r="E810" s="17">
        <f>IFERROR(__xludf.DUMMYFUNCTION("""COMPUTED_VALUE"""),0.0)</f>
        <v>0</v>
      </c>
      <c r="F810" s="17">
        <f>IFERROR(__xludf.DUMMYFUNCTION("""COMPUTED_VALUE"""),1.0)</f>
        <v>1</v>
      </c>
      <c r="G810" s="17">
        <f>IFERROR(__xludf.DUMMYFUNCTION("""COMPUTED_VALUE"""),0.0)</f>
        <v>0</v>
      </c>
      <c r="H810" s="17">
        <f>IFERROR(__xludf.DUMMYFUNCTION("""COMPUTED_VALUE"""),0.225)</f>
        <v>0.225</v>
      </c>
      <c r="I810" s="17">
        <f>IFERROR(__xludf.DUMMYFUNCTION("""COMPUTED_VALUE"""),0.256)</f>
        <v>0.256</v>
      </c>
      <c r="J810" s="17">
        <f>IFERROR(__xludf.DUMMYFUNCTION("""COMPUTED_VALUE"""),2.0)</f>
        <v>2</v>
      </c>
      <c r="K810" s="17">
        <f>IFERROR(__xludf.DUMMYFUNCTION("""COMPUTED_VALUE"""),0.0)</f>
        <v>0</v>
      </c>
      <c r="L810" s="17">
        <f>IFERROR(__xludf.DUMMYFUNCTION("""COMPUTED_VALUE"""),0.0)</f>
        <v>0</v>
      </c>
      <c r="M810" s="17">
        <f>IFERROR(__xludf.DUMMYFUNCTION("""COMPUTED_VALUE"""),0.0)</f>
        <v>0</v>
      </c>
      <c r="N810" s="17">
        <f>IFERROR(__xludf.DUMMYFUNCTION("""COMPUTED_VALUE"""),2.0)</f>
        <v>2</v>
      </c>
      <c r="O810" s="17">
        <f>IFERROR(__xludf.DUMMYFUNCTION("""COMPUTED_VALUE"""),0.318)</f>
        <v>0.318</v>
      </c>
      <c r="P810" s="17">
        <f>IFERROR(__xludf.DUMMYFUNCTION("""COMPUTED_VALUE"""),0.575)</f>
        <v>0.575</v>
      </c>
      <c r="Q810" s="34">
        <f>IFERROR(__xludf.DUMMYFUNCTION("""COMPUTED_VALUE"""),0.0)</f>
        <v>0</v>
      </c>
      <c r="R810" s="34">
        <f>IFERROR(__xludf.DUMMYFUNCTION("""COMPUTED_VALUE"""),0.0)</f>
        <v>0</v>
      </c>
      <c r="S810" s="34">
        <f>IFERROR(__xludf.DUMMYFUNCTION("""COMPUTED_VALUE"""),0.0)</f>
        <v>0</v>
      </c>
    </row>
    <row r="811">
      <c r="A811" s="17">
        <f>IFERROR(__xludf.DUMMYFUNCTION("""COMPUTED_VALUE"""),811.0)</f>
        <v>811</v>
      </c>
      <c r="B811" s="17" t="str">
        <f>IFERROR(__xludf.DUMMYFUNCTION("""COMPUTED_VALUE"""),"Jim Jarvis (ATL - SS) MiLB")</f>
        <v>Jim Jarvis (ATL - SS) MiLB</v>
      </c>
      <c r="C811" s="17">
        <f>IFERROR(__xludf.DUMMYFUNCTION("""COMPUTED_VALUE"""),10.0)</f>
        <v>10</v>
      </c>
      <c r="D811" s="17">
        <f>IFERROR(__xludf.DUMMYFUNCTION("""COMPUTED_VALUE"""),1.0)</f>
        <v>1</v>
      </c>
      <c r="E811" s="17">
        <f>IFERROR(__xludf.DUMMYFUNCTION("""COMPUTED_VALUE"""),0.0)</f>
        <v>0</v>
      </c>
      <c r="F811" s="17">
        <f>IFERROR(__xludf.DUMMYFUNCTION("""COMPUTED_VALUE"""),1.0)</f>
        <v>1</v>
      </c>
      <c r="G811" s="17">
        <f>IFERROR(__xludf.DUMMYFUNCTION("""COMPUTED_VALUE"""),0.0)</f>
        <v>0</v>
      </c>
      <c r="H811" s="17">
        <f>IFERROR(__xludf.DUMMYFUNCTION("""COMPUTED_VALUE"""),0.244)</f>
        <v>0.244</v>
      </c>
      <c r="I811" s="17">
        <f>IFERROR(__xludf.DUMMYFUNCTION("""COMPUTED_VALUE"""),0.312)</f>
        <v>0.312</v>
      </c>
      <c r="J811" s="17">
        <f>IFERROR(__xludf.DUMMYFUNCTION("""COMPUTED_VALUE"""),2.0)</f>
        <v>2</v>
      </c>
      <c r="K811" s="17">
        <f>IFERROR(__xludf.DUMMYFUNCTION("""COMPUTED_VALUE"""),1.0)</f>
        <v>1</v>
      </c>
      <c r="L811" s="17">
        <f>IFERROR(__xludf.DUMMYFUNCTION("""COMPUTED_VALUE"""),0.0)</f>
        <v>0</v>
      </c>
      <c r="M811" s="17">
        <f>IFERROR(__xludf.DUMMYFUNCTION("""COMPUTED_VALUE"""),1.0)</f>
        <v>1</v>
      </c>
      <c r="N811" s="17">
        <f>IFERROR(__xludf.DUMMYFUNCTION("""COMPUTED_VALUE"""),2.0)</f>
        <v>2</v>
      </c>
      <c r="O811" s="17">
        <f>IFERROR(__xludf.DUMMYFUNCTION("""COMPUTED_VALUE"""),0.311)</f>
        <v>0.311</v>
      </c>
      <c r="P811" s="17">
        <f>IFERROR(__xludf.DUMMYFUNCTION("""COMPUTED_VALUE"""),0.624)</f>
        <v>0.624</v>
      </c>
      <c r="Q811" s="34">
        <f>IFERROR(__xludf.DUMMYFUNCTION("""COMPUTED_VALUE"""),0.0)</f>
        <v>0</v>
      </c>
      <c r="R811" s="34">
        <f>IFERROR(__xludf.DUMMYFUNCTION("""COMPUTED_VALUE"""),0.0)</f>
        <v>0</v>
      </c>
      <c r="S811" s="34">
        <f>IFERROR(__xludf.DUMMYFUNCTION("""COMPUTED_VALUE"""),0.0)</f>
        <v>0</v>
      </c>
    </row>
    <row r="812">
      <c r="A812" s="17">
        <f>IFERROR(__xludf.DUMMYFUNCTION("""COMPUTED_VALUE"""),812.0)</f>
        <v>812</v>
      </c>
      <c r="B812" s="17" t="str">
        <f>IFERROR(__xludf.DUMMYFUNCTION("""COMPUTED_VALUE"""),"Cristian Pache (NYM - LF,CF) MiLB")</f>
        <v>Cristian Pache (NYM - LF,CF) MiLB</v>
      </c>
      <c r="C812" s="17">
        <f>IFERROR(__xludf.DUMMYFUNCTION("""COMPUTED_VALUE"""),7.0)</f>
        <v>7</v>
      </c>
      <c r="D812" s="17">
        <f>IFERROR(__xludf.DUMMYFUNCTION("""COMPUTED_VALUE"""),1.0)</f>
        <v>1</v>
      </c>
      <c r="E812" s="17">
        <f>IFERROR(__xludf.DUMMYFUNCTION("""COMPUTED_VALUE"""),0.0)</f>
        <v>0</v>
      </c>
      <c r="F812" s="17">
        <f>IFERROR(__xludf.DUMMYFUNCTION("""COMPUTED_VALUE"""),1.0)</f>
        <v>1</v>
      </c>
      <c r="G812" s="17">
        <f>IFERROR(__xludf.DUMMYFUNCTION("""COMPUTED_VALUE"""),0.0)</f>
        <v>0</v>
      </c>
      <c r="H812" s="17">
        <f>IFERROR(__xludf.DUMMYFUNCTION("""COMPUTED_VALUE"""),0.187)</f>
        <v>0.187</v>
      </c>
      <c r="I812" s="17">
        <f>IFERROR(__xludf.DUMMYFUNCTION("""COMPUTED_VALUE"""),0.235)</f>
        <v>0.235</v>
      </c>
      <c r="J812" s="17">
        <f>IFERROR(__xludf.DUMMYFUNCTION("""COMPUTED_VALUE"""),1.0)</f>
        <v>1</v>
      </c>
      <c r="K812" s="17">
        <f>IFERROR(__xludf.DUMMYFUNCTION("""COMPUTED_VALUE"""),0.0)</f>
        <v>0</v>
      </c>
      <c r="L812" s="17">
        <f>IFERROR(__xludf.DUMMYFUNCTION("""COMPUTED_VALUE"""),0.0)</f>
        <v>0</v>
      </c>
      <c r="M812" s="17">
        <f>IFERROR(__xludf.DUMMYFUNCTION("""COMPUTED_VALUE"""),0.0)</f>
        <v>0</v>
      </c>
      <c r="N812" s="17">
        <f>IFERROR(__xludf.DUMMYFUNCTION("""COMPUTED_VALUE"""),2.0)</f>
        <v>2</v>
      </c>
      <c r="O812" s="17">
        <f>IFERROR(__xludf.DUMMYFUNCTION("""COMPUTED_VALUE"""),0.238)</f>
        <v>0.238</v>
      </c>
      <c r="P812" s="17">
        <f>IFERROR(__xludf.DUMMYFUNCTION("""COMPUTED_VALUE"""),0.473)</f>
        <v>0.473</v>
      </c>
      <c r="Q812" s="34">
        <f>IFERROR(__xludf.DUMMYFUNCTION("""COMPUTED_VALUE"""),0.0)</f>
        <v>0</v>
      </c>
      <c r="R812" s="34">
        <f>IFERROR(__xludf.DUMMYFUNCTION("""COMPUTED_VALUE"""),0.0)</f>
        <v>0</v>
      </c>
      <c r="S812" s="34">
        <f>IFERROR(__xludf.DUMMYFUNCTION("""COMPUTED_VALUE"""),0.0)</f>
        <v>0</v>
      </c>
    </row>
    <row r="813">
      <c r="A813" s="17">
        <f>IFERROR(__xludf.DUMMYFUNCTION("""COMPUTED_VALUE"""),813.0)</f>
        <v>813</v>
      </c>
      <c r="B813" s="17" t="str">
        <f>IFERROR(__xludf.DUMMYFUNCTION("""COMPUTED_VALUE"""),"Joshua Baez (STL - LF,CF,RF) MiLB")</f>
        <v>Joshua Baez (STL - LF,CF,RF) MiLB</v>
      </c>
      <c r="C813" s="17">
        <f>IFERROR(__xludf.DUMMYFUNCTION("""COMPUTED_VALUE"""),7.0)</f>
        <v>7</v>
      </c>
      <c r="D813" s="17">
        <f>IFERROR(__xludf.DUMMYFUNCTION("""COMPUTED_VALUE"""),1.0)</f>
        <v>1</v>
      </c>
      <c r="E813" s="17">
        <f>IFERROR(__xludf.DUMMYFUNCTION("""COMPUTED_VALUE"""),0.0)</f>
        <v>0</v>
      </c>
      <c r="F813" s="17">
        <f>IFERROR(__xludf.DUMMYFUNCTION("""COMPUTED_VALUE"""),1.0)</f>
        <v>1</v>
      </c>
      <c r="G813" s="17">
        <f>IFERROR(__xludf.DUMMYFUNCTION("""COMPUTED_VALUE"""),0.0)</f>
        <v>0</v>
      </c>
      <c r="H813" s="17">
        <f>IFERROR(__xludf.DUMMYFUNCTION("""COMPUTED_VALUE"""),0.21)</f>
        <v>0.21</v>
      </c>
      <c r="I813" s="17">
        <f>IFERROR(__xludf.DUMMYFUNCTION("""COMPUTED_VALUE"""),0.247)</f>
        <v>0.247</v>
      </c>
      <c r="J813" s="17">
        <f>IFERROR(__xludf.DUMMYFUNCTION("""COMPUTED_VALUE"""),1.0)</f>
        <v>1</v>
      </c>
      <c r="K813" s="17">
        <f>IFERROR(__xludf.DUMMYFUNCTION("""COMPUTED_VALUE"""),0.0)</f>
        <v>0</v>
      </c>
      <c r="L813" s="17">
        <f>IFERROR(__xludf.DUMMYFUNCTION("""COMPUTED_VALUE"""),0.0)</f>
        <v>0</v>
      </c>
      <c r="M813" s="17">
        <f>IFERROR(__xludf.DUMMYFUNCTION("""COMPUTED_VALUE"""),0.0)</f>
        <v>0</v>
      </c>
      <c r="N813" s="17">
        <f>IFERROR(__xludf.DUMMYFUNCTION("""COMPUTED_VALUE"""),2.0)</f>
        <v>2</v>
      </c>
      <c r="O813" s="17">
        <f>IFERROR(__xludf.DUMMYFUNCTION("""COMPUTED_VALUE"""),0.331)</f>
        <v>0.331</v>
      </c>
      <c r="P813" s="17">
        <f>IFERROR(__xludf.DUMMYFUNCTION("""COMPUTED_VALUE"""),0.578)</f>
        <v>0.578</v>
      </c>
      <c r="Q813" s="34">
        <f>IFERROR(__xludf.DUMMYFUNCTION("""COMPUTED_VALUE"""),0.02)</f>
        <v>0.02</v>
      </c>
      <c r="R813" s="34">
        <f>IFERROR(__xludf.DUMMYFUNCTION("""COMPUTED_VALUE"""),0.03)</f>
        <v>0.03</v>
      </c>
      <c r="S813" s="34">
        <f>IFERROR(__xludf.DUMMYFUNCTION("""COMPUTED_VALUE"""),0.01)</f>
        <v>0.01</v>
      </c>
    </row>
    <row r="814">
      <c r="A814" s="17">
        <f>IFERROR(__xludf.DUMMYFUNCTION("""COMPUTED_VALUE"""),814.0)</f>
        <v>814</v>
      </c>
      <c r="B814" s="17" t="str">
        <f>IFERROR(__xludf.DUMMYFUNCTION("""COMPUTED_VALUE"""),"Jose Siri (LAA - CF) MiLB")</f>
        <v>Jose Siri (LAA - CF) MiLB</v>
      </c>
      <c r="C814" s="17">
        <f>IFERROR(__xludf.DUMMYFUNCTION("""COMPUTED_VALUE"""),11.0)</f>
        <v>11</v>
      </c>
      <c r="D814" s="17">
        <f>IFERROR(__xludf.DUMMYFUNCTION("""COMPUTED_VALUE"""),1.0)</f>
        <v>1</v>
      </c>
      <c r="E814" s="17">
        <f>IFERROR(__xludf.DUMMYFUNCTION("""COMPUTED_VALUE"""),0.0)</f>
        <v>0</v>
      </c>
      <c r="F814" s="17">
        <f>IFERROR(__xludf.DUMMYFUNCTION("""COMPUTED_VALUE"""),1.0)</f>
        <v>1</v>
      </c>
      <c r="G814" s="17">
        <f>IFERROR(__xludf.DUMMYFUNCTION("""COMPUTED_VALUE"""),0.0)</f>
        <v>0</v>
      </c>
      <c r="H814" s="17">
        <f>IFERROR(__xludf.DUMMYFUNCTION("""COMPUTED_VALUE"""),0.168)</f>
        <v>0.168</v>
      </c>
      <c r="I814" s="17">
        <f>IFERROR(__xludf.DUMMYFUNCTION("""COMPUTED_VALUE"""),0.237)</f>
        <v>0.237</v>
      </c>
      <c r="J814" s="17">
        <f>IFERROR(__xludf.DUMMYFUNCTION("""COMPUTED_VALUE"""),2.0)</f>
        <v>2</v>
      </c>
      <c r="K814" s="17">
        <f>IFERROR(__xludf.DUMMYFUNCTION("""COMPUTED_VALUE"""),0.0)</f>
        <v>0</v>
      </c>
      <c r="L814" s="17">
        <f>IFERROR(__xludf.DUMMYFUNCTION("""COMPUTED_VALUE"""),0.0)</f>
        <v>0</v>
      </c>
      <c r="M814" s="17">
        <f>IFERROR(__xludf.DUMMYFUNCTION("""COMPUTED_VALUE"""),1.0)</f>
        <v>1</v>
      </c>
      <c r="N814" s="17">
        <f>IFERROR(__xludf.DUMMYFUNCTION("""COMPUTED_VALUE"""),4.0)</f>
        <v>4</v>
      </c>
      <c r="O814" s="17">
        <f>IFERROR(__xludf.DUMMYFUNCTION("""COMPUTED_VALUE"""),0.277)</f>
        <v>0.277</v>
      </c>
      <c r="P814" s="17">
        <f>IFERROR(__xludf.DUMMYFUNCTION("""COMPUTED_VALUE"""),0.514)</f>
        <v>0.514</v>
      </c>
      <c r="Q814" s="34">
        <f>IFERROR(__xludf.DUMMYFUNCTION("""COMPUTED_VALUE"""),0.0)</f>
        <v>0</v>
      </c>
      <c r="R814" s="34">
        <f>IFERROR(__xludf.DUMMYFUNCTION("""COMPUTED_VALUE"""),0.0)</f>
        <v>0</v>
      </c>
      <c r="S814" s="34">
        <f>IFERROR(__xludf.DUMMYFUNCTION("""COMPUTED_VALUE"""),0.0)</f>
        <v>0</v>
      </c>
    </row>
    <row r="815">
      <c r="A815" s="17">
        <f>IFERROR(__xludf.DUMMYFUNCTION("""COMPUTED_VALUE"""),815.0)</f>
        <v>815</v>
      </c>
      <c r="B815" s="17" t="str">
        <f>IFERROR(__xludf.DUMMYFUNCTION("""COMPUTED_VALUE"""),"Vidal Brujan (NYM - 3B,SS,OF) MiLB")</f>
        <v>Vidal Brujan (NYM - 3B,SS,OF) MiLB</v>
      </c>
      <c r="C815" s="17">
        <f>IFERROR(__xludf.DUMMYFUNCTION("""COMPUTED_VALUE"""),11.0)</f>
        <v>11</v>
      </c>
      <c r="D815" s="17">
        <f>IFERROR(__xludf.DUMMYFUNCTION("""COMPUTED_VALUE"""),1.0)</f>
        <v>1</v>
      </c>
      <c r="E815" s="17">
        <f>IFERROR(__xludf.DUMMYFUNCTION("""COMPUTED_VALUE"""),0.0)</f>
        <v>0</v>
      </c>
      <c r="F815" s="17">
        <f>IFERROR(__xludf.DUMMYFUNCTION("""COMPUTED_VALUE"""),1.0)</f>
        <v>1</v>
      </c>
      <c r="G815" s="17">
        <f>IFERROR(__xludf.DUMMYFUNCTION("""COMPUTED_VALUE"""),0.0)</f>
        <v>0</v>
      </c>
      <c r="H815" s="17">
        <f>IFERROR(__xludf.DUMMYFUNCTION("""COMPUTED_VALUE"""),0.204)</f>
        <v>0.204</v>
      </c>
      <c r="I815" s="17">
        <f>IFERROR(__xludf.DUMMYFUNCTION("""COMPUTED_VALUE"""),0.261)</f>
        <v>0.261</v>
      </c>
      <c r="J815" s="17">
        <f>IFERROR(__xludf.DUMMYFUNCTION("""COMPUTED_VALUE"""),2.0)</f>
        <v>2</v>
      </c>
      <c r="K815" s="17">
        <f>IFERROR(__xludf.DUMMYFUNCTION("""COMPUTED_VALUE"""),0.0)</f>
        <v>0</v>
      </c>
      <c r="L815" s="17">
        <f>IFERROR(__xludf.DUMMYFUNCTION("""COMPUTED_VALUE"""),0.0)</f>
        <v>0</v>
      </c>
      <c r="M815" s="17">
        <f>IFERROR(__xludf.DUMMYFUNCTION("""COMPUTED_VALUE"""),1.0)</f>
        <v>1</v>
      </c>
      <c r="N815" s="17">
        <f>IFERROR(__xludf.DUMMYFUNCTION("""COMPUTED_VALUE"""),2.0)</f>
        <v>2</v>
      </c>
      <c r="O815" s="17">
        <f>IFERROR(__xludf.DUMMYFUNCTION("""COMPUTED_VALUE"""),0.28)</f>
        <v>0.28</v>
      </c>
      <c r="P815" s="17">
        <f>IFERROR(__xludf.DUMMYFUNCTION("""COMPUTED_VALUE"""),0.541)</f>
        <v>0.541</v>
      </c>
      <c r="Q815" s="34">
        <f>IFERROR(__xludf.DUMMYFUNCTION("""COMPUTED_VALUE"""),0.0)</f>
        <v>0</v>
      </c>
      <c r="R815" s="34">
        <f>IFERROR(__xludf.DUMMYFUNCTION("""COMPUTED_VALUE"""),0.0)</f>
        <v>0</v>
      </c>
      <c r="S815" s="34">
        <f>IFERROR(__xludf.DUMMYFUNCTION("""COMPUTED_VALUE"""),0.0)</f>
        <v>0</v>
      </c>
    </row>
    <row r="816">
      <c r="A816" s="17">
        <f>IFERROR(__xludf.DUMMYFUNCTION("""COMPUTED_VALUE"""),816.0)</f>
        <v>816</v>
      </c>
      <c r="B816" s="17" t="str">
        <f>IFERROR(__xludf.DUMMYFUNCTION("""COMPUTED_VALUE"""),"Maverick Handley (BAL - C) MiLB")</f>
        <v>Maverick Handley (BAL - C) MiLB</v>
      </c>
      <c r="C816" s="17">
        <f>IFERROR(__xludf.DUMMYFUNCTION("""COMPUTED_VALUE"""),11.0)</f>
        <v>11</v>
      </c>
      <c r="D816" s="17">
        <f>IFERROR(__xludf.DUMMYFUNCTION("""COMPUTED_VALUE"""),1.0)</f>
        <v>1</v>
      </c>
      <c r="E816" s="17">
        <f>IFERROR(__xludf.DUMMYFUNCTION("""COMPUTED_VALUE"""),0.0)</f>
        <v>0</v>
      </c>
      <c r="F816" s="17">
        <f>IFERROR(__xludf.DUMMYFUNCTION("""COMPUTED_VALUE"""),1.0)</f>
        <v>1</v>
      </c>
      <c r="G816" s="17">
        <f>IFERROR(__xludf.DUMMYFUNCTION("""COMPUTED_VALUE"""),0.0)</f>
        <v>0</v>
      </c>
      <c r="H816" s="17">
        <f>IFERROR(__xludf.DUMMYFUNCTION("""COMPUTED_VALUE"""),0.199)</f>
        <v>0.199</v>
      </c>
      <c r="I816" s="17">
        <f>IFERROR(__xludf.DUMMYFUNCTION("""COMPUTED_VALUE"""),0.287)</f>
        <v>0.287</v>
      </c>
      <c r="J816" s="17">
        <f>IFERROR(__xludf.DUMMYFUNCTION("""COMPUTED_VALUE"""),2.0)</f>
        <v>2</v>
      </c>
      <c r="K816" s="17">
        <f>IFERROR(__xludf.DUMMYFUNCTION("""COMPUTED_VALUE"""),0.0)</f>
        <v>0</v>
      </c>
      <c r="L816" s="17">
        <f>IFERROR(__xludf.DUMMYFUNCTION("""COMPUTED_VALUE"""),0.0)</f>
        <v>0</v>
      </c>
      <c r="M816" s="17">
        <f>IFERROR(__xludf.DUMMYFUNCTION("""COMPUTED_VALUE"""),1.0)</f>
        <v>1</v>
      </c>
      <c r="N816" s="17">
        <f>IFERROR(__xludf.DUMMYFUNCTION("""COMPUTED_VALUE"""),3.0)</f>
        <v>3</v>
      </c>
      <c r="O816" s="17">
        <f>IFERROR(__xludf.DUMMYFUNCTION("""COMPUTED_VALUE"""),0.274)</f>
        <v>0.274</v>
      </c>
      <c r="P816" s="17">
        <f>IFERROR(__xludf.DUMMYFUNCTION("""COMPUTED_VALUE"""),0.561)</f>
        <v>0.561</v>
      </c>
      <c r="Q816" s="34">
        <f>IFERROR(__xludf.DUMMYFUNCTION("""COMPUTED_VALUE"""),0.0)</f>
        <v>0</v>
      </c>
      <c r="R816" s="34">
        <f>IFERROR(__xludf.DUMMYFUNCTION("""COMPUTED_VALUE"""),0.0)</f>
        <v>0</v>
      </c>
      <c r="S816" s="34">
        <f>IFERROR(__xludf.DUMMYFUNCTION("""COMPUTED_VALUE"""),0.0)</f>
        <v>0</v>
      </c>
    </row>
    <row r="817">
      <c r="A817" s="17">
        <f>IFERROR(__xludf.DUMMYFUNCTION("""COMPUTED_VALUE"""),817.0)</f>
        <v>817</v>
      </c>
      <c r="B817" s="17" t="str">
        <f>IFERROR(__xludf.DUMMYFUNCTION("""COMPUTED_VALUE"""),"Hayden Senger (NYM - C) MiLB")</f>
        <v>Hayden Senger (NYM - C) MiLB</v>
      </c>
      <c r="C817" s="17">
        <f>IFERROR(__xludf.DUMMYFUNCTION("""COMPUTED_VALUE"""),11.0)</f>
        <v>11</v>
      </c>
      <c r="D817" s="17">
        <f>IFERROR(__xludf.DUMMYFUNCTION("""COMPUTED_VALUE"""),1.0)</f>
        <v>1</v>
      </c>
      <c r="E817" s="17">
        <f>IFERROR(__xludf.DUMMYFUNCTION("""COMPUTED_VALUE"""),0.0)</f>
        <v>0</v>
      </c>
      <c r="F817" s="17">
        <f>IFERROR(__xludf.DUMMYFUNCTION("""COMPUTED_VALUE"""),1.0)</f>
        <v>1</v>
      </c>
      <c r="G817" s="17">
        <f>IFERROR(__xludf.DUMMYFUNCTION("""COMPUTED_VALUE"""),0.0)</f>
        <v>0</v>
      </c>
      <c r="H817" s="17">
        <f>IFERROR(__xludf.DUMMYFUNCTION("""COMPUTED_VALUE"""),0.196)</f>
        <v>0.196</v>
      </c>
      <c r="I817" s="17">
        <f>IFERROR(__xludf.DUMMYFUNCTION("""COMPUTED_VALUE"""),0.245)</f>
        <v>0.245</v>
      </c>
      <c r="J817" s="17">
        <f>IFERROR(__xludf.DUMMYFUNCTION("""COMPUTED_VALUE"""),2.0)</f>
        <v>2</v>
      </c>
      <c r="K817" s="17">
        <f>IFERROR(__xludf.DUMMYFUNCTION("""COMPUTED_VALUE"""),0.0)</f>
        <v>0</v>
      </c>
      <c r="L817" s="17">
        <f>IFERROR(__xludf.DUMMYFUNCTION("""COMPUTED_VALUE"""),0.0)</f>
        <v>0</v>
      </c>
      <c r="M817" s="17">
        <f>IFERROR(__xludf.DUMMYFUNCTION("""COMPUTED_VALUE"""),1.0)</f>
        <v>1</v>
      </c>
      <c r="N817" s="17">
        <f>IFERROR(__xludf.DUMMYFUNCTION("""COMPUTED_VALUE"""),4.0)</f>
        <v>4</v>
      </c>
      <c r="O817" s="17">
        <f>IFERROR(__xludf.DUMMYFUNCTION("""COMPUTED_VALUE"""),0.268)</f>
        <v>0.268</v>
      </c>
      <c r="P817" s="17">
        <f>IFERROR(__xludf.DUMMYFUNCTION("""COMPUTED_VALUE"""),0.514)</f>
        <v>0.514</v>
      </c>
      <c r="Q817" s="34">
        <f>IFERROR(__xludf.DUMMYFUNCTION("""COMPUTED_VALUE"""),0.0)</f>
        <v>0</v>
      </c>
      <c r="R817" s="34">
        <f>IFERROR(__xludf.DUMMYFUNCTION("""COMPUTED_VALUE"""),0.0)</f>
        <v>0</v>
      </c>
      <c r="S817" s="34">
        <f>IFERROR(__xludf.DUMMYFUNCTION("""COMPUTED_VALUE"""),0.0)</f>
        <v>0</v>
      </c>
    </row>
    <row r="818">
      <c r="A818" s="17">
        <f>IFERROR(__xludf.DUMMYFUNCTION("""COMPUTED_VALUE"""),818.0)</f>
        <v>818</v>
      </c>
      <c r="B818" s="17" t="str">
        <f>IFERROR(__xludf.DUMMYFUNCTION("""COMPUTED_VALUE"""),"Seby Zavala (C) FA")</f>
        <v>Seby Zavala (C) FA</v>
      </c>
      <c r="C818" s="17">
        <f>IFERROR(__xludf.DUMMYFUNCTION("""COMPUTED_VALUE"""),8.0)</f>
        <v>8</v>
      </c>
      <c r="D818" s="17">
        <f>IFERROR(__xludf.DUMMYFUNCTION("""COMPUTED_VALUE"""),1.0)</f>
        <v>1</v>
      </c>
      <c r="E818" s="17">
        <f>IFERROR(__xludf.DUMMYFUNCTION("""COMPUTED_VALUE"""),0.0)</f>
        <v>0</v>
      </c>
      <c r="F818" s="17">
        <f>IFERROR(__xludf.DUMMYFUNCTION("""COMPUTED_VALUE"""),1.0)</f>
        <v>1</v>
      </c>
      <c r="G818" s="17">
        <f>IFERROR(__xludf.DUMMYFUNCTION("""COMPUTED_VALUE"""),0.0)</f>
        <v>0</v>
      </c>
      <c r="H818" s="17">
        <f>IFERROR(__xludf.DUMMYFUNCTION("""COMPUTED_VALUE"""),0.15)</f>
        <v>0.15</v>
      </c>
      <c r="I818" s="17">
        <f>IFERROR(__xludf.DUMMYFUNCTION("""COMPUTED_VALUE"""),0.206)</f>
        <v>0.206</v>
      </c>
      <c r="J818" s="17">
        <f>IFERROR(__xludf.DUMMYFUNCTION("""COMPUTED_VALUE"""),1.0)</f>
        <v>1</v>
      </c>
      <c r="K818" s="17">
        <f>IFERROR(__xludf.DUMMYFUNCTION("""COMPUTED_VALUE"""),0.0)</f>
        <v>0</v>
      </c>
      <c r="L818" s="17">
        <f>IFERROR(__xludf.DUMMYFUNCTION("""COMPUTED_VALUE"""),0.0)</f>
        <v>0</v>
      </c>
      <c r="M818" s="17">
        <f>IFERROR(__xludf.DUMMYFUNCTION("""COMPUTED_VALUE"""),1.0)</f>
        <v>1</v>
      </c>
      <c r="N818" s="17">
        <f>IFERROR(__xludf.DUMMYFUNCTION("""COMPUTED_VALUE"""),3.0)</f>
        <v>3</v>
      </c>
      <c r="O818" s="17">
        <f>IFERROR(__xludf.DUMMYFUNCTION("""COMPUTED_VALUE"""),0.244)</f>
        <v>0.244</v>
      </c>
      <c r="P818" s="17">
        <f>IFERROR(__xludf.DUMMYFUNCTION("""COMPUTED_VALUE"""),0.45)</f>
        <v>0.45</v>
      </c>
      <c r="Q818" s="34">
        <f>IFERROR(__xludf.DUMMYFUNCTION("""COMPUTED_VALUE"""),0.0)</f>
        <v>0</v>
      </c>
      <c r="R818" s="34">
        <f>IFERROR(__xludf.DUMMYFUNCTION("""COMPUTED_VALUE"""),0.0)</f>
        <v>0</v>
      </c>
      <c r="S818" s="34">
        <f>IFERROR(__xludf.DUMMYFUNCTION("""COMPUTED_VALUE"""),0.0)</f>
        <v>0</v>
      </c>
    </row>
    <row r="819">
      <c r="A819" s="17">
        <f>IFERROR(__xludf.DUMMYFUNCTION("""COMPUTED_VALUE"""),819.0)</f>
        <v>819</v>
      </c>
      <c r="B819" s="17" t="str">
        <f>IFERROR(__xludf.DUMMYFUNCTION("""COMPUTED_VALUE"""),"Stuart Fairchild (CLE - LF,CF,RF) MiLB")</f>
        <v>Stuart Fairchild (CLE - LF,CF,RF) MiLB</v>
      </c>
      <c r="C819" s="17">
        <f>IFERROR(__xludf.DUMMYFUNCTION("""COMPUTED_VALUE"""),12.0)</f>
        <v>12</v>
      </c>
      <c r="D819" s="17">
        <f>IFERROR(__xludf.DUMMYFUNCTION("""COMPUTED_VALUE"""),1.0)</f>
        <v>1</v>
      </c>
      <c r="E819" s="17">
        <f>IFERROR(__xludf.DUMMYFUNCTION("""COMPUTED_VALUE"""),0.0)</f>
        <v>0</v>
      </c>
      <c r="F819" s="17">
        <f>IFERROR(__xludf.DUMMYFUNCTION("""COMPUTED_VALUE"""),1.0)</f>
        <v>1</v>
      </c>
      <c r="G819" s="17">
        <f>IFERROR(__xludf.DUMMYFUNCTION("""COMPUTED_VALUE"""),0.0)</f>
        <v>0</v>
      </c>
      <c r="H819" s="17">
        <f>IFERROR(__xludf.DUMMYFUNCTION("""COMPUTED_VALUE"""),0.171)</f>
        <v>0.171</v>
      </c>
      <c r="I819" s="17">
        <f>IFERROR(__xludf.DUMMYFUNCTION("""COMPUTED_VALUE"""),0.257)</f>
        <v>0.257</v>
      </c>
      <c r="J819" s="17">
        <f>IFERROR(__xludf.DUMMYFUNCTION("""COMPUTED_VALUE"""),2.0)</f>
        <v>2</v>
      </c>
      <c r="K819" s="17">
        <f>IFERROR(__xludf.DUMMYFUNCTION("""COMPUTED_VALUE"""),0.0)</f>
        <v>0</v>
      </c>
      <c r="L819" s="17">
        <f>IFERROR(__xludf.DUMMYFUNCTION("""COMPUTED_VALUE"""),0.0)</f>
        <v>0</v>
      </c>
      <c r="M819" s="17">
        <f>IFERROR(__xludf.DUMMYFUNCTION("""COMPUTED_VALUE"""),1.0)</f>
        <v>1</v>
      </c>
      <c r="N819" s="17">
        <f>IFERROR(__xludf.DUMMYFUNCTION("""COMPUTED_VALUE"""),4.0)</f>
        <v>4</v>
      </c>
      <c r="O819" s="17">
        <f>IFERROR(__xludf.DUMMYFUNCTION("""COMPUTED_VALUE"""),0.255)</f>
        <v>0.255</v>
      </c>
      <c r="P819" s="17">
        <f>IFERROR(__xludf.DUMMYFUNCTION("""COMPUTED_VALUE"""),0.512)</f>
        <v>0.512</v>
      </c>
      <c r="Q819" s="34">
        <f>IFERROR(__xludf.DUMMYFUNCTION("""COMPUTED_VALUE"""),0.0)</f>
        <v>0</v>
      </c>
      <c r="R819" s="34">
        <f>IFERROR(__xludf.DUMMYFUNCTION("""COMPUTED_VALUE"""),0.0)</f>
        <v>0</v>
      </c>
      <c r="S819" s="34">
        <f>IFERROR(__xludf.DUMMYFUNCTION("""COMPUTED_VALUE"""),0.0)</f>
        <v>0</v>
      </c>
    </row>
    <row r="820">
      <c r="A820" s="17">
        <f>IFERROR(__xludf.DUMMYFUNCTION("""COMPUTED_VALUE"""),820.0)</f>
        <v>820</v>
      </c>
      <c r="B820" s="17" t="str">
        <f>IFERROR(__xludf.DUMMYFUNCTION("""COMPUTED_VALUE"""),"Jhonny Pereda (SEA - C) MiLB")</f>
        <v>Jhonny Pereda (SEA - C) MiLB</v>
      </c>
      <c r="C820" s="17">
        <f>IFERROR(__xludf.DUMMYFUNCTION("""COMPUTED_VALUE"""),6.0)</f>
        <v>6</v>
      </c>
      <c r="D820" s="17">
        <f>IFERROR(__xludf.DUMMYFUNCTION("""COMPUTED_VALUE"""),1.0)</f>
        <v>1</v>
      </c>
      <c r="E820" s="17">
        <f>IFERROR(__xludf.DUMMYFUNCTION("""COMPUTED_VALUE"""),0.0)</f>
        <v>0</v>
      </c>
      <c r="F820" s="17">
        <f>IFERROR(__xludf.DUMMYFUNCTION("""COMPUTED_VALUE"""),0.0)</f>
        <v>0</v>
      </c>
      <c r="G820" s="17">
        <f>IFERROR(__xludf.DUMMYFUNCTION("""COMPUTED_VALUE"""),0.0)</f>
        <v>0</v>
      </c>
      <c r="H820" s="17">
        <f>IFERROR(__xludf.DUMMYFUNCTION("""COMPUTED_VALUE"""),0.223)</f>
        <v>0.223</v>
      </c>
      <c r="I820" s="17">
        <f>IFERROR(__xludf.DUMMYFUNCTION("""COMPUTED_VALUE"""),0.319)</f>
        <v>0.319</v>
      </c>
      <c r="J820" s="17">
        <f>IFERROR(__xludf.DUMMYFUNCTION("""COMPUTED_VALUE"""),1.0)</f>
        <v>1</v>
      </c>
      <c r="K820" s="17">
        <f>IFERROR(__xludf.DUMMYFUNCTION("""COMPUTED_VALUE"""),0.0)</f>
        <v>0</v>
      </c>
      <c r="L820" s="17">
        <f>IFERROR(__xludf.DUMMYFUNCTION("""COMPUTED_VALUE"""),0.0)</f>
        <v>0</v>
      </c>
      <c r="M820" s="17">
        <f>IFERROR(__xludf.DUMMYFUNCTION("""COMPUTED_VALUE"""),1.0)</f>
        <v>1</v>
      </c>
      <c r="N820" s="17">
        <f>IFERROR(__xludf.DUMMYFUNCTION("""COMPUTED_VALUE"""),2.0)</f>
        <v>2</v>
      </c>
      <c r="O820" s="17">
        <f>IFERROR(__xludf.DUMMYFUNCTION("""COMPUTED_VALUE"""),0.274)</f>
        <v>0.274</v>
      </c>
      <c r="P820" s="17">
        <f>IFERROR(__xludf.DUMMYFUNCTION("""COMPUTED_VALUE"""),0.593)</f>
        <v>0.593</v>
      </c>
      <c r="Q820" s="34">
        <f>IFERROR(__xludf.DUMMYFUNCTION("""COMPUTED_VALUE"""),0.0)</f>
        <v>0</v>
      </c>
      <c r="R820" s="34">
        <f>IFERROR(__xludf.DUMMYFUNCTION("""COMPUTED_VALUE"""),0.0)</f>
        <v>0</v>
      </c>
      <c r="S820" s="34">
        <f>IFERROR(__xludf.DUMMYFUNCTION("""COMPUTED_VALUE"""),0.0)</f>
        <v>0</v>
      </c>
    </row>
    <row r="821">
      <c r="A821" s="17">
        <f>IFERROR(__xludf.DUMMYFUNCTION("""COMPUTED_VALUE"""),821.0)</f>
        <v>821</v>
      </c>
      <c r="B821" s="17" t="str">
        <f>IFERROR(__xludf.DUMMYFUNCTION("""COMPUTED_VALUE"""),"Rodolfo Duran (SD - C) MiLB")</f>
        <v>Rodolfo Duran (SD - C) MiLB</v>
      </c>
      <c r="C821" s="17">
        <f>IFERROR(__xludf.DUMMYFUNCTION("""COMPUTED_VALUE"""),14.0)</f>
        <v>14</v>
      </c>
      <c r="D821" s="17">
        <f>IFERROR(__xludf.DUMMYFUNCTION("""COMPUTED_VALUE"""),1.0)</f>
        <v>1</v>
      </c>
      <c r="E821" s="17">
        <f>IFERROR(__xludf.DUMMYFUNCTION("""COMPUTED_VALUE"""),0.0)</f>
        <v>0</v>
      </c>
      <c r="F821" s="17">
        <f>IFERROR(__xludf.DUMMYFUNCTION("""COMPUTED_VALUE"""),1.0)</f>
        <v>1</v>
      </c>
      <c r="G821" s="17">
        <f>IFERROR(__xludf.DUMMYFUNCTION("""COMPUTED_VALUE"""),0.0)</f>
        <v>0</v>
      </c>
      <c r="H821" s="17">
        <f>IFERROR(__xludf.DUMMYFUNCTION("""COMPUTED_VALUE"""),0.183)</f>
        <v>0.183</v>
      </c>
      <c r="I821" s="17">
        <f>IFERROR(__xludf.DUMMYFUNCTION("""COMPUTED_VALUE"""),0.241)</f>
        <v>0.241</v>
      </c>
      <c r="J821" s="17">
        <f>IFERROR(__xludf.DUMMYFUNCTION("""COMPUTED_VALUE"""),2.0)</f>
        <v>2</v>
      </c>
      <c r="K821" s="17">
        <f>IFERROR(__xludf.DUMMYFUNCTION("""COMPUTED_VALUE"""),0.0)</f>
        <v>0</v>
      </c>
      <c r="L821" s="17">
        <f>IFERROR(__xludf.DUMMYFUNCTION("""COMPUTED_VALUE"""),0.0)</f>
        <v>0</v>
      </c>
      <c r="M821" s="17">
        <f>IFERROR(__xludf.DUMMYFUNCTION("""COMPUTED_VALUE"""),1.0)</f>
        <v>1</v>
      </c>
      <c r="N821" s="17">
        <f>IFERROR(__xludf.DUMMYFUNCTION("""COMPUTED_VALUE"""),4.0)</f>
        <v>4</v>
      </c>
      <c r="O821" s="17">
        <f>IFERROR(__xludf.DUMMYFUNCTION("""COMPUTED_VALUE"""),0.268)</f>
        <v>0.268</v>
      </c>
      <c r="P821" s="17">
        <f>IFERROR(__xludf.DUMMYFUNCTION("""COMPUTED_VALUE"""),0.509)</f>
        <v>0.509</v>
      </c>
      <c r="Q821" s="34">
        <f>IFERROR(__xludf.DUMMYFUNCTION("""COMPUTED_VALUE"""),0.0)</f>
        <v>0</v>
      </c>
      <c r="R821" s="34">
        <f>IFERROR(__xludf.DUMMYFUNCTION("""COMPUTED_VALUE"""),0.0)</f>
        <v>0</v>
      </c>
      <c r="S821" s="34">
        <f>IFERROR(__xludf.DUMMYFUNCTION("""COMPUTED_VALUE"""),0.0)</f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2.75"/>
    <col customWidth="1" min="3" max="3" width="6.5"/>
    <col customWidth="1" min="4" max="4" width="6.38"/>
    <col customWidth="1" min="5" max="5" width="4.38"/>
    <col customWidth="1" min="6" max="6" width="9.38"/>
    <col customWidth="1" min="7" max="7" width="10.25"/>
    <col customWidth="1" min="8" max="8" width="7.38"/>
    <col customWidth="1" min="9" max="10" width="6.63"/>
    <col customWidth="1" min="11" max="12" width="6.75"/>
    <col customWidth="1" min="13" max="13" width="8.0"/>
    <col customWidth="1" min="14" max="14" width="10.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</row>
    <row r="2">
      <c r="A2" s="10">
        <v>592450.0</v>
      </c>
      <c r="B2" s="11" t="s">
        <v>18</v>
      </c>
      <c r="C2" s="12">
        <v>2734.0</v>
      </c>
      <c r="D2" s="10">
        <v>1145.0</v>
      </c>
      <c r="E2" s="13">
        <v>375.0</v>
      </c>
      <c r="F2" s="14">
        <v>-0.071494324</v>
      </c>
      <c r="G2" s="15">
        <v>124.0</v>
      </c>
      <c r="H2" s="15">
        <v>136.0</v>
      </c>
      <c r="I2" s="15">
        <v>103.0</v>
      </c>
      <c r="J2" s="15">
        <v>132.0</v>
      </c>
      <c r="K2" s="15">
        <v>92.0</v>
      </c>
      <c r="L2" s="15">
        <v>158.0</v>
      </c>
      <c r="M2" s="16">
        <v>161.0</v>
      </c>
      <c r="N2" s="16">
        <v>161.0</v>
      </c>
    </row>
    <row r="3">
      <c r="A3" s="10">
        <v>665742.0</v>
      </c>
      <c r="B3" s="11" t="s">
        <v>19</v>
      </c>
      <c r="C3" s="12">
        <v>2805.0</v>
      </c>
      <c r="D3" s="10">
        <v>1040.0</v>
      </c>
      <c r="E3" s="13">
        <v>440.0</v>
      </c>
      <c r="F3" s="14">
        <v>-0.074471282</v>
      </c>
      <c r="G3" s="15">
        <v>115.0</v>
      </c>
      <c r="H3" s="15">
        <v>131.0</v>
      </c>
      <c r="I3" s="15">
        <v>100.0</v>
      </c>
      <c r="J3" s="15">
        <v>128.0</v>
      </c>
      <c r="K3" s="15">
        <v>100.0</v>
      </c>
      <c r="L3" s="15">
        <v>149.0</v>
      </c>
      <c r="M3" s="16">
        <v>160.0</v>
      </c>
      <c r="N3" s="16">
        <v>138.0</v>
      </c>
    </row>
    <row r="4">
      <c r="A4" s="10">
        <v>660271.0</v>
      </c>
      <c r="B4" s="11" t="s">
        <v>20</v>
      </c>
      <c r="C4" s="12">
        <v>2682.0</v>
      </c>
      <c r="D4" s="10">
        <v>1273.0</v>
      </c>
      <c r="E4" s="13">
        <v>448.0</v>
      </c>
      <c r="F4" s="14">
        <v>0.009351378</v>
      </c>
      <c r="G4" s="15">
        <v>105.0</v>
      </c>
      <c r="H4" s="15">
        <v>92.0</v>
      </c>
      <c r="I4" s="15">
        <v>89.0</v>
      </c>
      <c r="J4" s="15">
        <v>96.0</v>
      </c>
      <c r="K4" s="15">
        <v>98.0</v>
      </c>
      <c r="L4" s="15">
        <v>155.0</v>
      </c>
      <c r="M4" s="16">
        <v>149.0</v>
      </c>
      <c r="N4" s="16">
        <v>140.0</v>
      </c>
    </row>
    <row r="5">
      <c r="A5" s="10">
        <v>665489.0</v>
      </c>
      <c r="B5" s="11" t="s">
        <v>32</v>
      </c>
      <c r="C5" s="12">
        <v>2453.0</v>
      </c>
      <c r="D5" s="10">
        <v>1176.0</v>
      </c>
      <c r="E5" s="13">
        <v>492.0</v>
      </c>
      <c r="F5" s="14">
        <v>-0.013556142</v>
      </c>
      <c r="G5" s="15">
        <v>107.0</v>
      </c>
      <c r="H5" s="15">
        <v>108.0</v>
      </c>
      <c r="I5" s="15">
        <v>105.0</v>
      </c>
      <c r="J5" s="15">
        <v>106.0</v>
      </c>
      <c r="K5" s="15">
        <v>117.0</v>
      </c>
      <c r="L5" s="15">
        <v>125.0</v>
      </c>
      <c r="M5" s="16">
        <v>143.0</v>
      </c>
      <c r="N5" s="16">
        <v>135.0</v>
      </c>
    </row>
    <row r="6">
      <c r="A6" s="10">
        <v>670541.0</v>
      </c>
      <c r="B6" s="11" t="s">
        <v>65</v>
      </c>
      <c r="C6" s="12">
        <v>2242.0</v>
      </c>
      <c r="D6" s="10">
        <v>1071.0</v>
      </c>
      <c r="E6" s="13">
        <v>455.0</v>
      </c>
      <c r="F6" s="14">
        <v>0.033372897</v>
      </c>
      <c r="G6" s="15">
        <v>92.0</v>
      </c>
      <c r="H6" s="15">
        <v>82.0</v>
      </c>
      <c r="I6" s="15">
        <v>91.0</v>
      </c>
      <c r="J6" s="15">
        <v>86.0</v>
      </c>
      <c r="K6" s="15">
        <v>125.0</v>
      </c>
      <c r="L6" s="15">
        <v>130.0</v>
      </c>
      <c r="M6" s="16">
        <v>141.0</v>
      </c>
      <c r="N6" s="16">
        <v>134.0</v>
      </c>
    </row>
    <row r="7">
      <c r="A7" s="10">
        <v>545361.0</v>
      </c>
      <c r="B7" s="11" t="s">
        <v>23</v>
      </c>
      <c r="C7" s="12">
        <v>569.0</v>
      </c>
      <c r="D7" s="10">
        <v>241.0</v>
      </c>
      <c r="E7" s="13">
        <v>81.0</v>
      </c>
      <c r="F7" s="14">
        <v>-0.098121198</v>
      </c>
      <c r="G7" s="15">
        <v>125.0</v>
      </c>
      <c r="H7" s="15">
        <v>138.0</v>
      </c>
      <c r="I7" s="15">
        <v>125.0</v>
      </c>
      <c r="J7" s="15">
        <v>128.0</v>
      </c>
      <c r="K7" s="15">
        <v>94.0</v>
      </c>
      <c r="L7" s="15">
        <v>129.0</v>
      </c>
      <c r="M7" s="16">
        <v>141.0</v>
      </c>
      <c r="N7" s="16">
        <v>127.0</v>
      </c>
    </row>
    <row r="8">
      <c r="A8" s="10">
        <v>677951.0</v>
      </c>
      <c r="B8" s="11" t="s">
        <v>44</v>
      </c>
      <c r="C8" s="12">
        <v>2468.0</v>
      </c>
      <c r="D8" s="10">
        <v>1267.0</v>
      </c>
      <c r="E8" s="13">
        <v>513.0</v>
      </c>
      <c r="F8" s="14">
        <v>0.045316233</v>
      </c>
      <c r="G8" s="15">
        <v>103.0</v>
      </c>
      <c r="H8" s="15">
        <v>90.0</v>
      </c>
      <c r="I8" s="15">
        <v>108.0</v>
      </c>
      <c r="J8" s="15">
        <v>88.0</v>
      </c>
      <c r="K8" s="15">
        <v>115.0</v>
      </c>
      <c r="L8" s="15">
        <v>128.0</v>
      </c>
      <c r="M8" s="16">
        <v>139.0</v>
      </c>
      <c r="N8" s="16">
        <v>138.0</v>
      </c>
    </row>
    <row r="9">
      <c r="A9" s="10">
        <v>663656.0</v>
      </c>
      <c r="B9" s="11" t="s">
        <v>63</v>
      </c>
      <c r="C9" s="12">
        <v>1249.0</v>
      </c>
      <c r="D9" s="10">
        <v>518.0</v>
      </c>
      <c r="E9" s="13">
        <v>206.0</v>
      </c>
      <c r="F9" s="14">
        <v>-0.038376956</v>
      </c>
      <c r="G9" s="15">
        <v>135.0</v>
      </c>
      <c r="H9" s="15">
        <v>130.0</v>
      </c>
      <c r="I9" s="15">
        <v>106.0</v>
      </c>
      <c r="J9" s="15">
        <v>125.0</v>
      </c>
      <c r="K9" s="15">
        <v>108.0</v>
      </c>
      <c r="L9" s="15">
        <v>120.0</v>
      </c>
      <c r="M9" s="16">
        <v>138.0</v>
      </c>
      <c r="N9" s="16">
        <v>139.0</v>
      </c>
    </row>
    <row r="10">
      <c r="A10" s="10">
        <v>665487.0</v>
      </c>
      <c r="B10" s="11" t="s">
        <v>46</v>
      </c>
      <c r="C10" s="12">
        <v>1432.0</v>
      </c>
      <c r="D10" s="10">
        <v>736.0</v>
      </c>
      <c r="E10" s="13">
        <v>279.0</v>
      </c>
      <c r="F10" s="14">
        <v>0.010232739</v>
      </c>
      <c r="G10" s="15">
        <v>124.0</v>
      </c>
      <c r="H10" s="15">
        <v>124.0</v>
      </c>
      <c r="I10" s="15">
        <v>131.0</v>
      </c>
      <c r="J10" s="15">
        <v>111.0</v>
      </c>
      <c r="K10" s="15">
        <v>100.0</v>
      </c>
      <c r="L10" s="15">
        <v>123.0</v>
      </c>
      <c r="M10" s="16">
        <v>138.0</v>
      </c>
      <c r="N10" s="16">
        <v>128.0</v>
      </c>
    </row>
    <row r="11">
      <c r="A11" s="10">
        <v>656976.0</v>
      </c>
      <c r="B11" s="11" t="s">
        <v>199</v>
      </c>
      <c r="C11" s="12">
        <v>572.0</v>
      </c>
      <c r="D11" s="10">
        <v>214.0</v>
      </c>
      <c r="E11" s="13">
        <v>99.0</v>
      </c>
      <c r="F11" s="14">
        <v>-0.08967093</v>
      </c>
      <c r="G11" s="15">
        <v>101.0</v>
      </c>
      <c r="H11" s="15">
        <v>114.0</v>
      </c>
      <c r="I11" s="15">
        <v>84.0</v>
      </c>
      <c r="J11" s="15">
        <v>118.0</v>
      </c>
      <c r="K11" s="15">
        <v>114.0</v>
      </c>
      <c r="L11" s="15">
        <v>124.0</v>
      </c>
      <c r="M11" s="16">
        <v>137.0</v>
      </c>
      <c r="N11" s="16">
        <v>132.0</v>
      </c>
    </row>
    <row r="12">
      <c r="A12" s="10">
        <v>608369.0</v>
      </c>
      <c r="B12" s="11" t="s">
        <v>27</v>
      </c>
      <c r="C12" s="12">
        <v>1841.0</v>
      </c>
      <c r="D12" s="10">
        <v>979.0</v>
      </c>
      <c r="E12" s="13">
        <v>377.0</v>
      </c>
      <c r="F12" s="14">
        <v>0.058142568</v>
      </c>
      <c r="G12" s="15">
        <v>132.0</v>
      </c>
      <c r="H12" s="15">
        <v>109.0</v>
      </c>
      <c r="I12" s="15">
        <v>113.0</v>
      </c>
      <c r="J12" s="15">
        <v>104.0</v>
      </c>
      <c r="K12" s="15">
        <v>99.0</v>
      </c>
      <c r="L12" s="15">
        <v>128.0</v>
      </c>
      <c r="M12" s="16">
        <v>137.0</v>
      </c>
      <c r="N12" s="16">
        <v>124.0</v>
      </c>
    </row>
    <row r="13">
      <c r="A13" s="10">
        <v>542303.0</v>
      </c>
      <c r="B13" s="11" t="s">
        <v>57</v>
      </c>
      <c r="C13" s="12">
        <v>2733.0</v>
      </c>
      <c r="D13" s="10">
        <v>1286.0</v>
      </c>
      <c r="E13" s="13">
        <v>421.0</v>
      </c>
      <c r="F13" s="14">
        <v>-0.003589823</v>
      </c>
      <c r="G13" s="15">
        <v>121.0</v>
      </c>
      <c r="H13" s="15">
        <v>105.0</v>
      </c>
      <c r="I13" s="15">
        <v>98.0</v>
      </c>
      <c r="J13" s="15">
        <v>104.0</v>
      </c>
      <c r="K13" s="15">
        <v>96.0</v>
      </c>
      <c r="L13" s="15">
        <v>139.0</v>
      </c>
      <c r="M13" s="16">
        <v>136.0</v>
      </c>
      <c r="N13" s="16">
        <v>129.0</v>
      </c>
    </row>
    <row r="14">
      <c r="A14" s="10">
        <v>666018.0</v>
      </c>
      <c r="B14" s="11" t="s">
        <v>41</v>
      </c>
      <c r="C14" s="12">
        <v>452.0</v>
      </c>
      <c r="D14" s="10">
        <v>214.0</v>
      </c>
      <c r="E14" s="13">
        <v>78.0</v>
      </c>
      <c r="F14" s="14">
        <v>-0.022588921</v>
      </c>
      <c r="G14" s="15">
        <v>97.0</v>
      </c>
      <c r="H14" s="15">
        <v>102.0</v>
      </c>
      <c r="I14" s="15">
        <v>97.0</v>
      </c>
      <c r="J14" s="15">
        <v>103.0</v>
      </c>
      <c r="K14" s="15">
        <v>105.0</v>
      </c>
      <c r="L14" s="15">
        <v>128.0</v>
      </c>
      <c r="M14" s="16">
        <v>133.0</v>
      </c>
      <c r="N14" s="16">
        <v>112.0</v>
      </c>
    </row>
    <row r="15">
      <c r="A15" s="10">
        <v>667670.0</v>
      </c>
      <c r="B15" s="11" t="s">
        <v>47</v>
      </c>
      <c r="C15" s="12">
        <v>2230.0</v>
      </c>
      <c r="D15" s="10">
        <v>1114.0</v>
      </c>
      <c r="E15" s="13">
        <v>351.0</v>
      </c>
      <c r="F15" s="14">
        <v>0.023267011</v>
      </c>
      <c r="G15" s="15">
        <v>106.0</v>
      </c>
      <c r="H15" s="15">
        <v>93.0</v>
      </c>
      <c r="I15" s="15">
        <v>105.0</v>
      </c>
      <c r="J15" s="15">
        <v>92.0</v>
      </c>
      <c r="K15" s="15">
        <v>95.0</v>
      </c>
      <c r="L15" s="15">
        <v>141.0</v>
      </c>
      <c r="M15" s="16">
        <v>132.0</v>
      </c>
      <c r="N15" s="16">
        <v>133.0</v>
      </c>
    </row>
    <row r="16">
      <c r="A16" s="10">
        <v>656941.0</v>
      </c>
      <c r="B16" s="11" t="s">
        <v>39</v>
      </c>
      <c r="C16" s="12">
        <v>2653.0</v>
      </c>
      <c r="D16" s="10">
        <v>1054.0</v>
      </c>
      <c r="E16" s="13">
        <v>353.0</v>
      </c>
      <c r="F16" s="14">
        <v>-0.057203541</v>
      </c>
      <c r="G16" s="15">
        <v>103.0</v>
      </c>
      <c r="H16" s="15">
        <v>115.0</v>
      </c>
      <c r="I16" s="15">
        <v>99.0</v>
      </c>
      <c r="J16" s="15">
        <v>114.0</v>
      </c>
      <c r="K16" s="15">
        <v>81.0</v>
      </c>
      <c r="L16" s="15">
        <v>136.0</v>
      </c>
      <c r="M16" s="16">
        <v>128.0</v>
      </c>
      <c r="N16" s="16">
        <v>122.0</v>
      </c>
    </row>
    <row r="17">
      <c r="A17" s="10">
        <v>606466.0</v>
      </c>
      <c r="B17" s="11" t="s">
        <v>38</v>
      </c>
      <c r="C17" s="12">
        <v>2005.0</v>
      </c>
      <c r="D17" s="10">
        <v>963.0</v>
      </c>
      <c r="E17" s="13">
        <v>384.0</v>
      </c>
      <c r="F17" s="14">
        <v>-4.11427E-4</v>
      </c>
      <c r="G17" s="15">
        <v>115.0</v>
      </c>
      <c r="H17" s="15">
        <v>108.0</v>
      </c>
      <c r="I17" s="15">
        <v>113.0</v>
      </c>
      <c r="J17" s="15">
        <v>103.0</v>
      </c>
      <c r="K17" s="15">
        <v>105.0</v>
      </c>
      <c r="L17" s="15">
        <v>118.0</v>
      </c>
      <c r="M17" s="16">
        <v>127.0</v>
      </c>
      <c r="N17" s="16">
        <v>131.0</v>
      </c>
    </row>
    <row r="18">
      <c r="A18" s="10">
        <v>592885.0</v>
      </c>
      <c r="B18" s="11" t="s">
        <v>139</v>
      </c>
      <c r="C18" s="12">
        <v>1235.0</v>
      </c>
      <c r="D18" s="10">
        <v>564.0</v>
      </c>
      <c r="E18" s="13">
        <v>206.0</v>
      </c>
      <c r="F18" s="14">
        <v>-0.020841675</v>
      </c>
      <c r="G18" s="15">
        <v>122.0</v>
      </c>
      <c r="H18" s="15">
        <v>115.0</v>
      </c>
      <c r="I18" s="15">
        <v>99.0</v>
      </c>
      <c r="J18" s="15">
        <v>113.0</v>
      </c>
      <c r="K18" s="15">
        <v>106.0</v>
      </c>
      <c r="L18" s="15">
        <v>116.0</v>
      </c>
      <c r="M18" s="16">
        <v>127.0</v>
      </c>
      <c r="N18" s="16">
        <v>134.0</v>
      </c>
    </row>
    <row r="19">
      <c r="A19" s="10">
        <v>661388.0</v>
      </c>
      <c r="B19" s="11" t="s">
        <v>155</v>
      </c>
      <c r="C19" s="12">
        <v>2561.0</v>
      </c>
      <c r="D19" s="10">
        <v>1216.0</v>
      </c>
      <c r="E19" s="13">
        <v>440.0</v>
      </c>
      <c r="F19" s="14">
        <v>-0.013665732</v>
      </c>
      <c r="G19" s="15">
        <v>120.0</v>
      </c>
      <c r="H19" s="15">
        <v>120.0</v>
      </c>
      <c r="I19" s="15">
        <v>111.0</v>
      </c>
      <c r="J19" s="15">
        <v>114.0</v>
      </c>
      <c r="K19" s="15">
        <v>104.0</v>
      </c>
      <c r="L19" s="15">
        <v>113.0</v>
      </c>
      <c r="M19" s="16">
        <v>126.0</v>
      </c>
      <c r="N19" s="16">
        <v>125.0</v>
      </c>
    </row>
    <row r="20">
      <c r="A20" s="10">
        <v>701538.0</v>
      </c>
      <c r="B20" s="11" t="s">
        <v>77</v>
      </c>
      <c r="C20" s="12">
        <v>2125.0</v>
      </c>
      <c r="D20" s="10">
        <v>1209.0</v>
      </c>
      <c r="E20" s="13">
        <v>439.0</v>
      </c>
      <c r="F20" s="14">
        <v>0.094803592</v>
      </c>
      <c r="G20" s="15">
        <v>106.0</v>
      </c>
      <c r="H20" s="15">
        <v>84.0</v>
      </c>
      <c r="I20" s="15">
        <v>121.0</v>
      </c>
      <c r="J20" s="15">
        <v>77.0</v>
      </c>
      <c r="K20" s="15">
        <v>114.0</v>
      </c>
      <c r="L20" s="15">
        <v>119.0</v>
      </c>
      <c r="M20" s="16">
        <v>125.0</v>
      </c>
      <c r="N20" s="16">
        <v>118.0</v>
      </c>
    </row>
    <row r="21">
      <c r="A21" s="10">
        <v>681481.0</v>
      </c>
      <c r="B21" s="11" t="s">
        <v>114</v>
      </c>
      <c r="C21" s="12">
        <v>1030.0</v>
      </c>
      <c r="D21" s="10">
        <v>513.0</v>
      </c>
      <c r="E21" s="13">
        <v>175.0</v>
      </c>
      <c r="F21" s="14">
        <v>0.036813747</v>
      </c>
      <c r="G21" s="15">
        <v>93.0</v>
      </c>
      <c r="H21" s="15">
        <v>90.0</v>
      </c>
      <c r="I21" s="15">
        <v>103.0</v>
      </c>
      <c r="J21" s="15">
        <v>90.0</v>
      </c>
      <c r="K21" s="15">
        <v>90.0</v>
      </c>
      <c r="L21" s="15">
        <v>135.0</v>
      </c>
      <c r="M21" s="16">
        <v>124.0</v>
      </c>
      <c r="N21" s="16">
        <v>126.0</v>
      </c>
    </row>
    <row r="22">
      <c r="A22" s="10">
        <v>666464.0</v>
      </c>
      <c r="B22" s="11" t="s">
        <v>445</v>
      </c>
      <c r="C22" s="12">
        <v>412.0</v>
      </c>
      <c r="D22" s="10">
        <v>194.0</v>
      </c>
      <c r="E22" s="13">
        <v>64.0</v>
      </c>
      <c r="F22" s="14">
        <v>-0.039621249</v>
      </c>
      <c r="G22" s="15">
        <v>66.0</v>
      </c>
      <c r="H22" s="15">
        <v>85.0</v>
      </c>
      <c r="I22" s="15">
        <v>86.0</v>
      </c>
      <c r="J22" s="15">
        <v>91.0</v>
      </c>
      <c r="K22" s="15">
        <v>113.0</v>
      </c>
      <c r="L22" s="15">
        <v>125.0</v>
      </c>
      <c r="M22" s="16">
        <v>124.0</v>
      </c>
      <c r="N22" s="16">
        <v>112.0</v>
      </c>
    </row>
    <row r="23">
      <c r="A23" s="10">
        <v>596019.0</v>
      </c>
      <c r="B23" s="11" t="s">
        <v>167</v>
      </c>
      <c r="C23" s="12">
        <v>2560.0</v>
      </c>
      <c r="D23" s="10">
        <v>1247.0</v>
      </c>
      <c r="E23" s="13">
        <v>466.0</v>
      </c>
      <c r="F23" s="14">
        <v>0.01907241</v>
      </c>
      <c r="G23" s="15">
        <v>106.0</v>
      </c>
      <c r="H23" s="15">
        <v>104.0</v>
      </c>
      <c r="I23" s="15">
        <v>116.0</v>
      </c>
      <c r="J23" s="15">
        <v>98.0</v>
      </c>
      <c r="K23" s="15">
        <v>102.0</v>
      </c>
      <c r="L23" s="15">
        <v>119.0</v>
      </c>
      <c r="M23" s="16">
        <v>124.0</v>
      </c>
      <c r="N23" s="16">
        <v>120.0</v>
      </c>
    </row>
    <row r="24">
      <c r="A24" s="10">
        <v>624413.0</v>
      </c>
      <c r="B24" s="11" t="s">
        <v>21</v>
      </c>
      <c r="C24" s="12">
        <v>2618.0</v>
      </c>
      <c r="D24" s="10">
        <v>1119.0</v>
      </c>
      <c r="E24" s="13">
        <v>413.0</v>
      </c>
      <c r="F24" s="14">
        <v>-0.058634912</v>
      </c>
      <c r="G24" s="15">
        <v>94.0</v>
      </c>
      <c r="H24" s="15">
        <v>106.0</v>
      </c>
      <c r="I24" s="15">
        <v>94.0</v>
      </c>
      <c r="J24" s="15">
        <v>107.0</v>
      </c>
      <c r="K24" s="15">
        <v>103.0</v>
      </c>
      <c r="L24" s="15">
        <v>120.0</v>
      </c>
      <c r="M24" s="16">
        <v>124.0</v>
      </c>
      <c r="N24" s="16">
        <v>119.0</v>
      </c>
    </row>
    <row r="25">
      <c r="A25" s="10">
        <v>605141.0</v>
      </c>
      <c r="B25" s="11" t="s">
        <v>118</v>
      </c>
      <c r="C25" s="12">
        <v>1907.0</v>
      </c>
      <c r="D25" s="10">
        <v>764.0</v>
      </c>
      <c r="E25" s="13">
        <v>371.0</v>
      </c>
      <c r="F25" s="14">
        <v>-0.064938874</v>
      </c>
      <c r="G25" s="15">
        <v>103.0</v>
      </c>
      <c r="H25" s="15">
        <v>122.0</v>
      </c>
      <c r="I25" s="15">
        <v>100.0</v>
      </c>
      <c r="J25" s="15">
        <v>120.0</v>
      </c>
      <c r="K25" s="15">
        <v>123.0</v>
      </c>
      <c r="L25" s="15">
        <v>100.0</v>
      </c>
      <c r="M25" s="16">
        <v>123.0</v>
      </c>
      <c r="N25" s="16">
        <v>128.0</v>
      </c>
    </row>
    <row r="26">
      <c r="A26" s="10">
        <v>519317.0</v>
      </c>
      <c r="B26" s="11" t="s">
        <v>446</v>
      </c>
      <c r="C26" s="12">
        <v>1723.0</v>
      </c>
      <c r="D26" s="10">
        <v>797.0</v>
      </c>
      <c r="E26" s="13">
        <v>262.0</v>
      </c>
      <c r="F26" s="14">
        <v>-0.03387183</v>
      </c>
      <c r="G26" s="15">
        <v>84.0</v>
      </c>
      <c r="H26" s="15">
        <v>88.0</v>
      </c>
      <c r="I26" s="15">
        <v>80.0</v>
      </c>
      <c r="J26" s="15">
        <v>96.0</v>
      </c>
      <c r="K26" s="15">
        <v>92.0</v>
      </c>
      <c r="L26" s="15">
        <v>136.0</v>
      </c>
      <c r="M26" s="16">
        <v>122.0</v>
      </c>
      <c r="N26" s="16">
        <v>111.0</v>
      </c>
    </row>
    <row r="27">
      <c r="A27" s="10">
        <v>676059.0</v>
      </c>
      <c r="B27" s="11" t="s">
        <v>78</v>
      </c>
      <c r="C27" s="12">
        <v>1514.0</v>
      </c>
      <c r="D27" s="10">
        <v>781.0</v>
      </c>
      <c r="E27" s="13">
        <v>300.0</v>
      </c>
      <c r="F27" s="14">
        <v>0.020976367</v>
      </c>
      <c r="G27" s="15">
        <v>108.0</v>
      </c>
      <c r="H27" s="15">
        <v>104.0</v>
      </c>
      <c r="I27" s="15">
        <v>114.0</v>
      </c>
      <c r="J27" s="15">
        <v>99.0</v>
      </c>
      <c r="K27" s="15">
        <v>99.0</v>
      </c>
      <c r="L27" s="15">
        <v>118.0</v>
      </c>
      <c r="M27" s="16">
        <v>122.0</v>
      </c>
      <c r="N27" s="16">
        <v>118.0</v>
      </c>
    </row>
    <row r="28">
      <c r="A28" s="10">
        <v>518692.0</v>
      </c>
      <c r="B28" s="11" t="s">
        <v>99</v>
      </c>
      <c r="C28" s="12">
        <v>2435.0</v>
      </c>
      <c r="D28" s="10">
        <v>1196.0</v>
      </c>
      <c r="E28" s="13">
        <v>429.0</v>
      </c>
      <c r="F28" s="14">
        <v>0.023229952</v>
      </c>
      <c r="G28" s="15">
        <v>122.0</v>
      </c>
      <c r="H28" s="15">
        <v>114.0</v>
      </c>
      <c r="I28" s="15">
        <v>127.0</v>
      </c>
      <c r="J28" s="15">
        <v>103.0</v>
      </c>
      <c r="K28" s="15">
        <v>108.0</v>
      </c>
      <c r="L28" s="15">
        <v>109.0</v>
      </c>
      <c r="M28" s="16">
        <v>122.0</v>
      </c>
      <c r="N28" s="16">
        <v>120.0</v>
      </c>
    </row>
    <row r="29">
      <c r="A29" s="10">
        <v>683002.0</v>
      </c>
      <c r="B29" s="11" t="s">
        <v>173</v>
      </c>
      <c r="C29" s="12">
        <v>2764.0</v>
      </c>
      <c r="D29" s="10">
        <v>1225.0</v>
      </c>
      <c r="E29" s="13">
        <v>454.0</v>
      </c>
      <c r="F29" s="14">
        <v>-0.030447605</v>
      </c>
      <c r="G29" s="15">
        <v>109.0</v>
      </c>
      <c r="H29" s="15">
        <v>105.0</v>
      </c>
      <c r="I29" s="15">
        <v>94.0</v>
      </c>
      <c r="J29" s="15">
        <v>106.0</v>
      </c>
      <c r="K29" s="15">
        <v>104.0</v>
      </c>
      <c r="L29" s="15">
        <v>117.0</v>
      </c>
      <c r="M29" s="16">
        <v>122.0</v>
      </c>
      <c r="N29" s="16">
        <v>127.0</v>
      </c>
    </row>
    <row r="30">
      <c r="A30" s="10">
        <v>650490.0</v>
      </c>
      <c r="B30" s="11" t="s">
        <v>33</v>
      </c>
      <c r="C30" s="12">
        <v>2346.0</v>
      </c>
      <c r="D30" s="10">
        <v>1035.0</v>
      </c>
      <c r="E30" s="13">
        <v>455.0</v>
      </c>
      <c r="F30" s="14">
        <v>-0.050333184</v>
      </c>
      <c r="G30" s="15">
        <v>109.0</v>
      </c>
      <c r="H30" s="15">
        <v>121.0</v>
      </c>
      <c r="I30" s="15">
        <v>111.0</v>
      </c>
      <c r="J30" s="15">
        <v>116.0</v>
      </c>
      <c r="K30" s="15">
        <v>117.0</v>
      </c>
      <c r="L30" s="15">
        <v>101.0</v>
      </c>
      <c r="M30" s="16">
        <v>122.0</v>
      </c>
      <c r="N30" s="16">
        <v>118.0</v>
      </c>
    </row>
    <row r="31">
      <c r="A31" s="10">
        <v>502110.0</v>
      </c>
      <c r="B31" s="11" t="s">
        <v>447</v>
      </c>
      <c r="C31" s="12">
        <v>1924.0</v>
      </c>
      <c r="D31" s="10">
        <v>931.0</v>
      </c>
      <c r="E31" s="13">
        <v>278.0</v>
      </c>
      <c r="F31" s="14">
        <v>-0.012938087</v>
      </c>
      <c r="G31" s="15">
        <v>110.0</v>
      </c>
      <c r="H31" s="15">
        <v>111.0</v>
      </c>
      <c r="I31" s="15">
        <v>107.0</v>
      </c>
      <c r="J31" s="15">
        <v>108.0</v>
      </c>
      <c r="K31" s="15">
        <v>90.0</v>
      </c>
      <c r="L31" s="15">
        <v>125.0</v>
      </c>
      <c r="M31" s="16">
        <v>121.0</v>
      </c>
      <c r="N31" s="16">
        <v>108.0</v>
      </c>
    </row>
    <row r="32">
      <c r="A32" s="10">
        <v>663586.0</v>
      </c>
      <c r="B32" s="11" t="s">
        <v>95</v>
      </c>
      <c r="C32" s="12">
        <v>1813.0</v>
      </c>
      <c r="D32" s="10">
        <v>908.0</v>
      </c>
      <c r="E32" s="13">
        <v>308.0</v>
      </c>
      <c r="F32" s="14">
        <v>0.005026324</v>
      </c>
      <c r="G32" s="15">
        <v>115.0</v>
      </c>
      <c r="H32" s="15">
        <v>110.0</v>
      </c>
      <c r="I32" s="15">
        <v>107.0</v>
      </c>
      <c r="J32" s="15">
        <v>106.0</v>
      </c>
      <c r="K32" s="15">
        <v>91.0</v>
      </c>
      <c r="L32" s="15">
        <v>122.0</v>
      </c>
      <c r="M32" s="16">
        <v>121.0</v>
      </c>
      <c r="N32" s="16">
        <v>112.0</v>
      </c>
    </row>
    <row r="33">
      <c r="A33" s="10">
        <v>687462.0</v>
      </c>
      <c r="B33" s="11" t="s">
        <v>249</v>
      </c>
      <c r="C33" s="12">
        <v>1470.0</v>
      </c>
      <c r="D33" s="10">
        <v>682.0</v>
      </c>
      <c r="E33" s="13">
        <v>244.0</v>
      </c>
      <c r="F33" s="14">
        <v>-0.028426425</v>
      </c>
      <c r="G33" s="15">
        <v>102.0</v>
      </c>
      <c r="H33" s="15">
        <v>114.0</v>
      </c>
      <c r="I33" s="15">
        <v>104.0</v>
      </c>
      <c r="J33" s="15">
        <v>111.0</v>
      </c>
      <c r="K33" s="15">
        <v>112.0</v>
      </c>
      <c r="L33" s="15">
        <v>107.0</v>
      </c>
      <c r="M33" s="16">
        <v>121.0</v>
      </c>
      <c r="N33" s="16">
        <v>119.0</v>
      </c>
    </row>
    <row r="34">
      <c r="A34" s="10">
        <v>646240.0</v>
      </c>
      <c r="B34" s="11" t="s">
        <v>93</v>
      </c>
      <c r="C34" s="12">
        <v>2343.0</v>
      </c>
      <c r="D34" s="10">
        <v>1197.0</v>
      </c>
      <c r="E34" s="13">
        <v>380.0</v>
      </c>
      <c r="F34" s="14">
        <v>0.048838163</v>
      </c>
      <c r="G34" s="15">
        <v>112.0</v>
      </c>
      <c r="H34" s="15">
        <v>92.0</v>
      </c>
      <c r="I34" s="15">
        <v>111.0</v>
      </c>
      <c r="J34" s="15">
        <v>89.0</v>
      </c>
      <c r="K34" s="15">
        <v>92.0</v>
      </c>
      <c r="L34" s="15">
        <v>131.0</v>
      </c>
      <c r="M34" s="16">
        <v>121.0</v>
      </c>
      <c r="N34" s="16">
        <v>117.0</v>
      </c>
    </row>
    <row r="35">
      <c r="A35" s="10">
        <v>671056.0</v>
      </c>
      <c r="B35" s="11" t="s">
        <v>42</v>
      </c>
      <c r="C35" s="12">
        <v>949.0</v>
      </c>
      <c r="D35" s="10">
        <v>416.0</v>
      </c>
      <c r="E35" s="13">
        <v>165.0</v>
      </c>
      <c r="F35" s="14">
        <v>-0.054028815</v>
      </c>
      <c r="G35" s="15">
        <v>92.0</v>
      </c>
      <c r="H35" s="15">
        <v>97.0</v>
      </c>
      <c r="I35" s="15">
        <v>78.0</v>
      </c>
      <c r="J35" s="15">
        <v>106.0</v>
      </c>
      <c r="K35" s="15">
        <v>102.0</v>
      </c>
      <c r="L35" s="15">
        <v>120.0</v>
      </c>
      <c r="M35" s="16">
        <v>121.0</v>
      </c>
      <c r="N35" s="16">
        <v>116.0</v>
      </c>
    </row>
    <row r="36">
      <c r="A36" s="10">
        <v>592626.0</v>
      </c>
      <c r="B36" s="11" t="s">
        <v>285</v>
      </c>
      <c r="C36" s="12">
        <v>1722.0</v>
      </c>
      <c r="D36" s="10">
        <v>758.0</v>
      </c>
      <c r="E36" s="13">
        <v>253.0</v>
      </c>
      <c r="F36" s="14">
        <v>-0.026023214</v>
      </c>
      <c r="G36" s="15">
        <v>83.0</v>
      </c>
      <c r="H36" s="15">
        <v>90.0</v>
      </c>
      <c r="I36" s="15">
        <v>90.0</v>
      </c>
      <c r="J36" s="15">
        <v>93.0</v>
      </c>
      <c r="K36" s="15">
        <v>97.0</v>
      </c>
      <c r="L36" s="15">
        <v>130.0</v>
      </c>
      <c r="M36" s="16">
        <v>120.0</v>
      </c>
      <c r="N36" s="16">
        <v>127.0</v>
      </c>
    </row>
    <row r="37">
      <c r="A37" s="10">
        <v>663457.0</v>
      </c>
      <c r="B37" s="11" t="s">
        <v>197</v>
      </c>
      <c r="C37" s="12">
        <v>1531.0</v>
      </c>
      <c r="D37" s="10">
        <v>569.0</v>
      </c>
      <c r="E37" s="13">
        <v>255.0</v>
      </c>
      <c r="F37" s="14">
        <v>-0.099098564</v>
      </c>
      <c r="G37" s="15">
        <v>92.0</v>
      </c>
      <c r="H37" s="15">
        <v>112.0</v>
      </c>
      <c r="I37" s="15">
        <v>82.0</v>
      </c>
      <c r="J37" s="15">
        <v>120.0</v>
      </c>
      <c r="K37" s="15">
        <v>116.0</v>
      </c>
      <c r="L37" s="15">
        <v>107.0</v>
      </c>
      <c r="M37" s="16">
        <v>120.0</v>
      </c>
      <c r="N37" s="16">
        <v>107.0</v>
      </c>
    </row>
    <row r="38">
      <c r="A38" s="10">
        <v>621493.0</v>
      </c>
      <c r="B38" s="11" t="s">
        <v>83</v>
      </c>
      <c r="C38" s="12">
        <v>2453.0</v>
      </c>
      <c r="D38" s="10">
        <v>1060.0</v>
      </c>
      <c r="E38" s="13">
        <v>405.0</v>
      </c>
      <c r="F38" s="14">
        <v>-0.061180377</v>
      </c>
      <c r="G38" s="15">
        <v>111.0</v>
      </c>
      <c r="H38" s="15">
        <v>122.0</v>
      </c>
      <c r="I38" s="15">
        <v>103.0</v>
      </c>
      <c r="J38" s="15">
        <v>120.0</v>
      </c>
      <c r="K38" s="15">
        <v>93.0</v>
      </c>
      <c r="L38" s="15">
        <v>113.0</v>
      </c>
      <c r="M38" s="16">
        <v>120.0</v>
      </c>
      <c r="N38" s="16">
        <v>113.0</v>
      </c>
    </row>
    <row r="39">
      <c r="A39" s="10">
        <v>664040.0</v>
      </c>
      <c r="B39" s="11" t="s">
        <v>91</v>
      </c>
      <c r="C39" s="12">
        <v>1520.0</v>
      </c>
      <c r="D39" s="10">
        <v>840.0</v>
      </c>
      <c r="E39" s="13">
        <v>256.0</v>
      </c>
      <c r="F39" s="14">
        <v>0.069862481</v>
      </c>
      <c r="G39" s="15">
        <v>120.0</v>
      </c>
      <c r="H39" s="15">
        <v>101.0</v>
      </c>
      <c r="I39" s="15">
        <v>120.0</v>
      </c>
      <c r="J39" s="15">
        <v>94.0</v>
      </c>
      <c r="K39" s="15">
        <v>89.0</v>
      </c>
      <c r="L39" s="15">
        <v>125.0</v>
      </c>
      <c r="M39" s="16">
        <v>119.0</v>
      </c>
      <c r="N39" s="16">
        <v>114.0</v>
      </c>
    </row>
    <row r="40">
      <c r="A40" s="10">
        <v>621043.0</v>
      </c>
      <c r="B40" s="11" t="s">
        <v>194</v>
      </c>
      <c r="C40" s="12">
        <v>1273.0</v>
      </c>
      <c r="D40" s="10">
        <v>565.0</v>
      </c>
      <c r="E40" s="13">
        <v>241.0</v>
      </c>
      <c r="F40" s="14">
        <v>-0.027366368</v>
      </c>
      <c r="G40" s="15">
        <v>106.0</v>
      </c>
      <c r="H40" s="15">
        <v>97.0</v>
      </c>
      <c r="I40" s="15">
        <v>82.0</v>
      </c>
      <c r="J40" s="15">
        <v>102.0</v>
      </c>
      <c r="K40" s="15">
        <v>121.0</v>
      </c>
      <c r="L40" s="15">
        <v>107.0</v>
      </c>
      <c r="M40" s="16">
        <v>118.0</v>
      </c>
      <c r="N40" s="16">
        <v>125.0</v>
      </c>
    </row>
    <row r="41">
      <c r="A41" s="10">
        <v>664774.0</v>
      </c>
      <c r="B41" s="11" t="s">
        <v>295</v>
      </c>
      <c r="C41" s="12">
        <v>1544.0</v>
      </c>
      <c r="D41" s="10">
        <v>633.0</v>
      </c>
      <c r="E41" s="13">
        <v>227.0</v>
      </c>
      <c r="F41" s="14">
        <v>-0.062867134</v>
      </c>
      <c r="G41" s="15">
        <v>107.0</v>
      </c>
      <c r="H41" s="15">
        <v>119.0</v>
      </c>
      <c r="I41" s="15">
        <v>98.0</v>
      </c>
      <c r="J41" s="15">
        <v>118.0</v>
      </c>
      <c r="K41" s="15">
        <v>92.0</v>
      </c>
      <c r="L41" s="15">
        <v>114.0</v>
      </c>
      <c r="M41" s="16">
        <v>118.0</v>
      </c>
      <c r="N41" s="16">
        <v>113.0</v>
      </c>
    </row>
    <row r="42">
      <c r="A42" s="10">
        <v>592518.0</v>
      </c>
      <c r="B42" s="11" t="s">
        <v>30</v>
      </c>
      <c r="C42" s="12">
        <v>2268.0</v>
      </c>
      <c r="D42" s="10">
        <v>1169.0</v>
      </c>
      <c r="E42" s="13">
        <v>449.0</v>
      </c>
      <c r="F42" s="14">
        <v>0.017340139</v>
      </c>
      <c r="G42" s="15">
        <v>105.0</v>
      </c>
      <c r="H42" s="15">
        <v>102.0</v>
      </c>
      <c r="I42" s="15">
        <v>110.0</v>
      </c>
      <c r="J42" s="15">
        <v>98.0</v>
      </c>
      <c r="K42" s="15">
        <v>109.0</v>
      </c>
      <c r="L42" s="15">
        <v>110.0</v>
      </c>
      <c r="M42" s="16">
        <v>118.0</v>
      </c>
      <c r="N42" s="16">
        <v>116.0</v>
      </c>
    </row>
    <row r="43">
      <c r="A43" s="10">
        <v>671732.0</v>
      </c>
      <c r="B43" s="11" t="s">
        <v>239</v>
      </c>
      <c r="C43" s="12">
        <v>1699.0</v>
      </c>
      <c r="D43" s="10">
        <v>800.0</v>
      </c>
      <c r="E43" s="13">
        <v>288.0</v>
      </c>
      <c r="F43" s="14">
        <v>-0.014519322</v>
      </c>
      <c r="G43" s="15">
        <v>106.0</v>
      </c>
      <c r="H43" s="15">
        <v>97.0</v>
      </c>
      <c r="I43" s="15">
        <v>90.0</v>
      </c>
      <c r="J43" s="15">
        <v>100.0</v>
      </c>
      <c r="K43" s="15">
        <v>103.0</v>
      </c>
      <c r="L43" s="15">
        <v>117.0</v>
      </c>
      <c r="M43" s="16">
        <v>118.0</v>
      </c>
      <c r="N43" s="16">
        <v>116.0</v>
      </c>
    </row>
    <row r="44">
      <c r="A44" s="10">
        <v>682985.0</v>
      </c>
      <c r="B44" s="11" t="s">
        <v>66</v>
      </c>
      <c r="C44" s="12">
        <v>2294.0</v>
      </c>
      <c r="D44" s="10">
        <v>1005.0</v>
      </c>
      <c r="E44" s="13">
        <v>335.0</v>
      </c>
      <c r="F44" s="14">
        <v>-0.042631552</v>
      </c>
      <c r="G44" s="15">
        <v>111.0</v>
      </c>
      <c r="H44" s="15">
        <v>108.0</v>
      </c>
      <c r="I44" s="15">
        <v>94.0</v>
      </c>
      <c r="J44" s="15">
        <v>109.0</v>
      </c>
      <c r="K44" s="15">
        <v>92.0</v>
      </c>
      <c r="L44" s="15">
        <v>120.0</v>
      </c>
      <c r="M44" s="16">
        <v>118.0</v>
      </c>
      <c r="N44" s="16">
        <v>119.0</v>
      </c>
    </row>
    <row r="45">
      <c r="A45" s="10">
        <v>663697.0</v>
      </c>
      <c r="B45" s="11" t="s">
        <v>146</v>
      </c>
      <c r="C45" s="12">
        <v>2538.0</v>
      </c>
      <c r="D45" s="10">
        <v>979.0</v>
      </c>
      <c r="E45" s="13">
        <v>401.0</v>
      </c>
      <c r="F45" s="14">
        <v>-0.105104051</v>
      </c>
      <c r="G45" s="15">
        <v>101.0</v>
      </c>
      <c r="H45" s="15">
        <v>120.0</v>
      </c>
      <c r="I45" s="15">
        <v>80.0</v>
      </c>
      <c r="J45" s="15">
        <v>127.0</v>
      </c>
      <c r="K45" s="15">
        <v>106.0</v>
      </c>
      <c r="L45" s="15">
        <v>105.0</v>
      </c>
      <c r="M45" s="16">
        <v>118.0</v>
      </c>
      <c r="N45" s="16">
        <v>114.0</v>
      </c>
    </row>
    <row r="46">
      <c r="A46" s="10">
        <v>669911.0</v>
      </c>
      <c r="B46" s="11" t="s">
        <v>323</v>
      </c>
      <c r="C46" s="12">
        <v>1772.0</v>
      </c>
      <c r="D46" s="10">
        <v>804.0</v>
      </c>
      <c r="E46" s="13">
        <v>238.0</v>
      </c>
      <c r="F46" s="14">
        <v>-0.03214497</v>
      </c>
      <c r="G46" s="15">
        <v>104.0</v>
      </c>
      <c r="H46" s="15">
        <v>98.0</v>
      </c>
      <c r="I46" s="15">
        <v>77.0</v>
      </c>
      <c r="J46" s="15">
        <v>105.0</v>
      </c>
      <c r="K46" s="15">
        <v>85.0</v>
      </c>
      <c r="L46" s="15">
        <v>133.0</v>
      </c>
      <c r="M46" s="16">
        <v>117.0</v>
      </c>
      <c r="N46" s="16">
        <v>105.0</v>
      </c>
    </row>
    <row r="47">
      <c r="A47" s="10">
        <v>673237.0</v>
      </c>
      <c r="B47" s="11" t="s">
        <v>106</v>
      </c>
      <c r="C47" s="12">
        <v>2043.0</v>
      </c>
      <c r="D47" s="10">
        <v>1196.0</v>
      </c>
      <c r="E47" s="13">
        <v>468.0</v>
      </c>
      <c r="F47" s="14">
        <v>0.136255559</v>
      </c>
      <c r="G47" s="15">
        <v>91.0</v>
      </c>
      <c r="H47" s="15">
        <v>74.0</v>
      </c>
      <c r="I47" s="15">
        <v>130.0</v>
      </c>
      <c r="J47" s="15">
        <v>68.0</v>
      </c>
      <c r="K47" s="15">
        <v>109.0</v>
      </c>
      <c r="L47" s="15">
        <v>118.0</v>
      </c>
      <c r="M47" s="16">
        <v>117.0</v>
      </c>
      <c r="N47" s="16">
        <v>111.0</v>
      </c>
    </row>
    <row r="48">
      <c r="A48" s="10">
        <v>595777.0</v>
      </c>
      <c r="B48" s="11" t="s">
        <v>448</v>
      </c>
      <c r="C48" s="12">
        <v>2614.0</v>
      </c>
      <c r="D48" s="10">
        <v>1184.0</v>
      </c>
      <c r="E48" s="13">
        <v>447.0</v>
      </c>
      <c r="F48" s="14">
        <v>-0.024526808</v>
      </c>
      <c r="G48" s="15">
        <v>121.0</v>
      </c>
      <c r="H48" s="15">
        <v>115.0</v>
      </c>
      <c r="I48" s="15">
        <v>108.0</v>
      </c>
      <c r="J48" s="15">
        <v>111.0</v>
      </c>
      <c r="K48" s="15">
        <v>107.0</v>
      </c>
      <c r="L48" s="15">
        <v>105.0</v>
      </c>
      <c r="M48" s="16">
        <v>117.0</v>
      </c>
      <c r="N48" s="16">
        <v>120.0</v>
      </c>
    </row>
    <row r="49">
      <c r="A49" s="10">
        <v>670242.0</v>
      </c>
      <c r="B49" s="11" t="s">
        <v>206</v>
      </c>
      <c r="C49" s="12">
        <v>992.0</v>
      </c>
      <c r="D49" s="10">
        <v>473.0</v>
      </c>
      <c r="E49" s="13">
        <v>120.0</v>
      </c>
      <c r="F49" s="14">
        <v>-0.007038394</v>
      </c>
      <c r="G49" s="15">
        <v>129.0</v>
      </c>
      <c r="H49" s="15">
        <v>118.0</v>
      </c>
      <c r="I49" s="15">
        <v>88.0</v>
      </c>
      <c r="J49" s="15">
        <v>119.0</v>
      </c>
      <c r="K49" s="15">
        <v>64.0</v>
      </c>
      <c r="L49" s="15">
        <v>139.0</v>
      </c>
      <c r="M49" s="16">
        <v>117.0</v>
      </c>
      <c r="N49" s="16">
        <v>127.0</v>
      </c>
    </row>
    <row r="50">
      <c r="A50" s="10">
        <v>521692.0</v>
      </c>
      <c r="B50" s="11" t="s">
        <v>82</v>
      </c>
      <c r="C50" s="12">
        <v>2203.0</v>
      </c>
      <c r="D50" s="10">
        <v>1271.0</v>
      </c>
      <c r="E50" s="13">
        <v>443.0</v>
      </c>
      <c r="F50" s="14">
        <v>0.125183995</v>
      </c>
      <c r="G50" s="15">
        <v>84.0</v>
      </c>
      <c r="H50" s="15">
        <v>64.0</v>
      </c>
      <c r="I50" s="15">
        <v>119.0</v>
      </c>
      <c r="J50" s="15">
        <v>64.0</v>
      </c>
      <c r="K50" s="15">
        <v>106.0</v>
      </c>
      <c r="L50" s="15">
        <v>126.0</v>
      </c>
      <c r="M50" s="16">
        <v>117.0</v>
      </c>
      <c r="N50" s="16">
        <v>106.0</v>
      </c>
    </row>
    <row r="51">
      <c r="A51" s="10">
        <v>673548.0</v>
      </c>
      <c r="B51" s="11" t="s">
        <v>36</v>
      </c>
      <c r="C51" s="12">
        <v>2404.0</v>
      </c>
      <c r="D51" s="10">
        <v>954.0</v>
      </c>
      <c r="E51" s="13">
        <v>343.0</v>
      </c>
      <c r="F51" s="14">
        <v>-0.087047093</v>
      </c>
      <c r="G51" s="15">
        <v>106.0</v>
      </c>
      <c r="H51" s="15">
        <v>114.0</v>
      </c>
      <c r="I51" s="15">
        <v>84.0</v>
      </c>
      <c r="J51" s="15">
        <v>118.0</v>
      </c>
      <c r="K51" s="15">
        <v>85.0</v>
      </c>
      <c r="L51" s="15">
        <v>119.0</v>
      </c>
      <c r="M51" s="16">
        <v>116.0</v>
      </c>
      <c r="N51" s="16">
        <v>121.0</v>
      </c>
    </row>
    <row r="52">
      <c r="A52" s="10">
        <v>571970.0</v>
      </c>
      <c r="B52" s="11" t="s">
        <v>43</v>
      </c>
      <c r="C52" s="12">
        <v>1112.0</v>
      </c>
      <c r="D52" s="10">
        <v>454.0</v>
      </c>
      <c r="E52" s="13">
        <v>150.0</v>
      </c>
      <c r="F52" s="14">
        <v>-0.050300497</v>
      </c>
      <c r="G52" s="15">
        <v>110.0</v>
      </c>
      <c r="H52" s="15">
        <v>122.0</v>
      </c>
      <c r="I52" s="15">
        <v>101.0</v>
      </c>
      <c r="J52" s="15">
        <v>119.0</v>
      </c>
      <c r="K52" s="15">
        <v>71.0</v>
      </c>
      <c r="L52" s="15">
        <v>123.0</v>
      </c>
      <c r="M52" s="16">
        <v>116.0</v>
      </c>
      <c r="N52" s="16">
        <v>122.0</v>
      </c>
    </row>
    <row r="53">
      <c r="A53" s="10">
        <v>695578.0</v>
      </c>
      <c r="B53" s="11" t="s">
        <v>37</v>
      </c>
      <c r="C53" s="12">
        <v>1262.0</v>
      </c>
      <c r="D53" s="10">
        <v>473.0</v>
      </c>
      <c r="E53" s="13">
        <v>176.0</v>
      </c>
      <c r="F53" s="14">
        <v>-0.099195039</v>
      </c>
      <c r="G53" s="15">
        <v>85.0</v>
      </c>
      <c r="H53" s="15">
        <v>101.0</v>
      </c>
      <c r="I53" s="15">
        <v>61.0</v>
      </c>
      <c r="J53" s="15">
        <v>115.0</v>
      </c>
      <c r="K53" s="15">
        <v>94.0</v>
      </c>
      <c r="L53" s="15">
        <v>121.0</v>
      </c>
      <c r="M53" s="16">
        <v>116.0</v>
      </c>
      <c r="N53" s="16">
        <v>112.0</v>
      </c>
    </row>
    <row r="54">
      <c r="A54" s="10">
        <v>691016.0</v>
      </c>
      <c r="B54" s="11" t="s">
        <v>122</v>
      </c>
      <c r="C54" s="12">
        <v>652.0</v>
      </c>
      <c r="D54" s="10">
        <v>324.0</v>
      </c>
      <c r="E54" s="13">
        <v>117.0</v>
      </c>
      <c r="F54" s="14">
        <v>0.02499563</v>
      </c>
      <c r="G54" s="15">
        <v>101.0</v>
      </c>
      <c r="H54" s="15">
        <v>85.0</v>
      </c>
      <c r="I54" s="15">
        <v>72.0</v>
      </c>
      <c r="J54" s="15">
        <v>96.0</v>
      </c>
      <c r="K54" s="15">
        <v>101.0</v>
      </c>
      <c r="L54" s="15">
        <v>121.0</v>
      </c>
      <c r="M54" s="16">
        <v>116.0</v>
      </c>
      <c r="N54" s="16">
        <v>99.0</v>
      </c>
    </row>
    <row r="55">
      <c r="A55" s="10">
        <v>656305.0</v>
      </c>
      <c r="B55" s="11" t="s">
        <v>127</v>
      </c>
      <c r="C55" s="12">
        <v>2571.0</v>
      </c>
      <c r="D55" s="10">
        <v>1148.0</v>
      </c>
      <c r="E55" s="13">
        <v>399.0</v>
      </c>
      <c r="F55" s="14">
        <v>-0.066799492</v>
      </c>
      <c r="G55" s="15">
        <v>104.0</v>
      </c>
      <c r="H55" s="15">
        <v>111.0</v>
      </c>
      <c r="I55" s="15">
        <v>90.0</v>
      </c>
      <c r="J55" s="15">
        <v>115.0</v>
      </c>
      <c r="K55" s="15">
        <v>99.0</v>
      </c>
      <c r="L55" s="15">
        <v>111.0</v>
      </c>
      <c r="M55" s="16">
        <v>116.0</v>
      </c>
      <c r="N55" s="16">
        <v>116.0</v>
      </c>
    </row>
    <row r="56">
      <c r="A56" s="10">
        <v>572233.0</v>
      </c>
      <c r="B56" s="11" t="s">
        <v>214</v>
      </c>
      <c r="C56" s="12">
        <v>2203.0</v>
      </c>
      <c r="D56" s="10">
        <v>1053.0</v>
      </c>
      <c r="E56" s="13">
        <v>335.0</v>
      </c>
      <c r="F56" s="14">
        <v>-0.004861963</v>
      </c>
      <c r="G56" s="15">
        <v>121.0</v>
      </c>
      <c r="H56" s="15">
        <v>114.0</v>
      </c>
      <c r="I56" s="15">
        <v>119.0</v>
      </c>
      <c r="J56" s="15">
        <v>106.0</v>
      </c>
      <c r="K56" s="15">
        <v>86.0</v>
      </c>
      <c r="L56" s="15">
        <v>118.0</v>
      </c>
      <c r="M56" s="16">
        <v>116.0</v>
      </c>
      <c r="N56" s="16">
        <v>112.0</v>
      </c>
    </row>
    <row r="57">
      <c r="A57" s="10">
        <v>665833.0</v>
      </c>
      <c r="B57" s="11" t="s">
        <v>86</v>
      </c>
      <c r="C57" s="12">
        <v>2249.0</v>
      </c>
      <c r="D57" s="10">
        <v>1047.0</v>
      </c>
      <c r="E57" s="13">
        <v>346.0</v>
      </c>
      <c r="F57" s="14">
        <v>-0.012989723</v>
      </c>
      <c r="G57" s="15">
        <v>80.0</v>
      </c>
      <c r="H57" s="15">
        <v>83.0</v>
      </c>
      <c r="I57" s="15">
        <v>70.0</v>
      </c>
      <c r="J57" s="15">
        <v>94.0</v>
      </c>
      <c r="K57" s="15">
        <v>96.0</v>
      </c>
      <c r="L57" s="15">
        <v>128.0</v>
      </c>
      <c r="M57" s="16">
        <v>115.0</v>
      </c>
      <c r="N57" s="16">
        <v>111.0</v>
      </c>
    </row>
    <row r="58">
      <c r="A58" s="10">
        <v>700250.0</v>
      </c>
      <c r="B58" s="11" t="s">
        <v>31</v>
      </c>
      <c r="C58" s="12">
        <v>702.0</v>
      </c>
      <c r="D58" s="10">
        <v>323.0</v>
      </c>
      <c r="E58" s="13">
        <v>108.0</v>
      </c>
      <c r="F58" s="14">
        <v>-0.032593897</v>
      </c>
      <c r="G58" s="15">
        <v>132.0</v>
      </c>
      <c r="H58" s="15">
        <v>119.0</v>
      </c>
      <c r="I58" s="15">
        <v>94.0</v>
      </c>
      <c r="J58" s="15">
        <v>120.0</v>
      </c>
      <c r="K58" s="15">
        <v>88.0</v>
      </c>
      <c r="L58" s="15">
        <v>113.0</v>
      </c>
      <c r="M58" s="16">
        <v>115.0</v>
      </c>
      <c r="N58" s="16">
        <v>90.0</v>
      </c>
    </row>
    <row r="59">
      <c r="A59" s="10">
        <v>593934.0</v>
      </c>
      <c r="B59" s="11" t="s">
        <v>449</v>
      </c>
      <c r="C59" s="12">
        <v>401.0</v>
      </c>
      <c r="D59" s="10">
        <v>185.0</v>
      </c>
      <c r="E59" s="13">
        <v>48.0</v>
      </c>
      <c r="F59" s="14">
        <v>-0.051575912</v>
      </c>
      <c r="G59" s="15">
        <v>114.0</v>
      </c>
      <c r="H59" s="15">
        <v>126.0</v>
      </c>
      <c r="I59" s="15">
        <v>106.0</v>
      </c>
      <c r="J59" s="15">
        <v>121.0</v>
      </c>
      <c r="K59" s="15">
        <v>71.0</v>
      </c>
      <c r="L59" s="15">
        <v>124.0</v>
      </c>
      <c r="M59" s="16">
        <v>115.0</v>
      </c>
      <c r="N59" s="16">
        <v>102.0</v>
      </c>
    </row>
    <row r="60">
      <c r="A60" s="10">
        <v>643265.0</v>
      </c>
      <c r="B60" s="11" t="s">
        <v>450</v>
      </c>
      <c r="C60" s="12">
        <v>422.0</v>
      </c>
      <c r="D60" s="10">
        <v>199.0</v>
      </c>
      <c r="E60" s="13">
        <v>69.0</v>
      </c>
      <c r="F60" s="14">
        <v>-0.039533852</v>
      </c>
      <c r="G60" s="15">
        <v>68.0</v>
      </c>
      <c r="H60" s="15">
        <v>97.0</v>
      </c>
      <c r="I60" s="15">
        <v>99.0</v>
      </c>
      <c r="J60" s="15">
        <v>98.0</v>
      </c>
      <c r="K60" s="15">
        <v>97.0</v>
      </c>
      <c r="L60" s="15">
        <v>119.0</v>
      </c>
      <c r="M60" s="16">
        <v>115.0</v>
      </c>
      <c r="N60" s="16">
        <v>91.0</v>
      </c>
    </row>
    <row r="61">
      <c r="A61" s="10">
        <v>624424.0</v>
      </c>
      <c r="B61" s="11" t="s">
        <v>178</v>
      </c>
      <c r="C61" s="12">
        <v>1867.0</v>
      </c>
      <c r="D61" s="10">
        <v>835.0</v>
      </c>
      <c r="E61" s="13">
        <v>302.0</v>
      </c>
      <c r="F61" s="14">
        <v>-0.027552516</v>
      </c>
      <c r="G61" s="15">
        <v>103.0</v>
      </c>
      <c r="H61" s="15">
        <v>103.0</v>
      </c>
      <c r="I61" s="15">
        <v>86.0</v>
      </c>
      <c r="J61" s="15">
        <v>107.0</v>
      </c>
      <c r="K61" s="15">
        <v>91.0</v>
      </c>
      <c r="L61" s="15">
        <v>119.0</v>
      </c>
      <c r="M61" s="16">
        <v>115.0</v>
      </c>
      <c r="N61" s="16">
        <v>104.0</v>
      </c>
    </row>
    <row r="62">
      <c r="A62" s="10">
        <v>457705.0</v>
      </c>
      <c r="B62" s="11" t="s">
        <v>120</v>
      </c>
      <c r="C62" s="12">
        <v>2073.0</v>
      </c>
      <c r="D62" s="10">
        <v>869.0</v>
      </c>
      <c r="E62" s="13">
        <v>301.0</v>
      </c>
      <c r="F62" s="14">
        <v>-0.082384572</v>
      </c>
      <c r="G62" s="15">
        <v>121.0</v>
      </c>
      <c r="H62" s="15">
        <v>136.0</v>
      </c>
      <c r="I62" s="15">
        <v>99.0</v>
      </c>
      <c r="J62" s="15">
        <v>135.0</v>
      </c>
      <c r="K62" s="15">
        <v>89.0</v>
      </c>
      <c r="L62" s="15">
        <v>102.0</v>
      </c>
      <c r="M62" s="16">
        <v>115.0</v>
      </c>
      <c r="N62" s="16">
        <v>115.0</v>
      </c>
    </row>
    <row r="63">
      <c r="A63" s="10">
        <v>545341.0</v>
      </c>
      <c r="B63" s="11" t="s">
        <v>84</v>
      </c>
      <c r="C63" s="12">
        <v>1046.0</v>
      </c>
      <c r="D63" s="10">
        <v>494.0</v>
      </c>
      <c r="E63" s="13">
        <v>201.0</v>
      </c>
      <c r="F63" s="14">
        <v>-5.09683E-4</v>
      </c>
      <c r="G63" s="15">
        <v>98.0</v>
      </c>
      <c r="H63" s="15">
        <v>95.0</v>
      </c>
      <c r="I63" s="15">
        <v>104.0</v>
      </c>
      <c r="J63" s="15">
        <v>94.0</v>
      </c>
      <c r="K63" s="15">
        <v>111.0</v>
      </c>
      <c r="L63" s="15">
        <v>109.0</v>
      </c>
      <c r="M63" s="16">
        <v>114.0</v>
      </c>
      <c r="N63" s="16">
        <v>119.0</v>
      </c>
    </row>
    <row r="64">
      <c r="A64" s="10">
        <v>668901.0</v>
      </c>
      <c r="B64" s="11" t="s">
        <v>308</v>
      </c>
      <c r="C64" s="12">
        <v>1650.0</v>
      </c>
      <c r="D64" s="10">
        <v>822.0</v>
      </c>
      <c r="E64" s="13">
        <v>262.0</v>
      </c>
      <c r="F64" s="14">
        <v>0.002139165</v>
      </c>
      <c r="G64" s="15">
        <v>97.0</v>
      </c>
      <c r="H64" s="15">
        <v>97.0</v>
      </c>
      <c r="I64" s="15">
        <v>92.0</v>
      </c>
      <c r="J64" s="15">
        <v>100.0</v>
      </c>
      <c r="K64" s="15">
        <v>85.0</v>
      </c>
      <c r="L64" s="15">
        <v>126.0</v>
      </c>
      <c r="M64" s="16">
        <v>114.0</v>
      </c>
      <c r="N64" s="16">
        <v>120.0</v>
      </c>
    </row>
    <row r="65">
      <c r="A65" s="10">
        <v>575929.0</v>
      </c>
      <c r="B65" s="11" t="s">
        <v>45</v>
      </c>
      <c r="C65" s="12">
        <v>1373.0</v>
      </c>
      <c r="D65" s="10">
        <v>683.0</v>
      </c>
      <c r="E65" s="13">
        <v>203.0</v>
      </c>
      <c r="F65" s="14">
        <v>0.014183713</v>
      </c>
      <c r="G65" s="15">
        <v>103.0</v>
      </c>
      <c r="H65" s="15">
        <v>102.0</v>
      </c>
      <c r="I65" s="15">
        <v>104.0</v>
      </c>
      <c r="J65" s="15">
        <v>100.0</v>
      </c>
      <c r="K65" s="15">
        <v>88.0</v>
      </c>
      <c r="L65" s="15">
        <v>122.0</v>
      </c>
      <c r="M65" s="16">
        <v>114.0</v>
      </c>
      <c r="N65" s="16">
        <v>120.0</v>
      </c>
    </row>
    <row r="66">
      <c r="A66" s="10">
        <v>656811.0</v>
      </c>
      <c r="B66" s="11" t="s">
        <v>94</v>
      </c>
      <c r="C66" s="12">
        <v>1818.0</v>
      </c>
      <c r="D66" s="10">
        <v>852.0</v>
      </c>
      <c r="E66" s="13">
        <v>357.0</v>
      </c>
      <c r="F66" s="14">
        <v>0.004252465</v>
      </c>
      <c r="G66" s="15">
        <v>100.0</v>
      </c>
      <c r="H66" s="15">
        <v>91.0</v>
      </c>
      <c r="I66" s="15">
        <v>95.0</v>
      </c>
      <c r="J66" s="15">
        <v>93.0</v>
      </c>
      <c r="K66" s="15">
        <v>127.0</v>
      </c>
      <c r="L66" s="15">
        <v>102.0</v>
      </c>
      <c r="M66" s="16">
        <v>114.0</v>
      </c>
      <c r="N66" s="16">
        <v>103.0</v>
      </c>
    </row>
    <row r="67">
      <c r="A67" s="10">
        <v>663616.0</v>
      </c>
      <c r="B67" s="11" t="s">
        <v>234</v>
      </c>
      <c r="C67" s="12">
        <v>1517.0</v>
      </c>
      <c r="D67" s="10">
        <v>670.0</v>
      </c>
      <c r="E67" s="13">
        <v>253.0</v>
      </c>
      <c r="F67" s="14">
        <v>-0.034603251</v>
      </c>
      <c r="G67" s="15">
        <v>105.0</v>
      </c>
      <c r="H67" s="15">
        <v>109.0</v>
      </c>
      <c r="I67" s="15">
        <v>101.0</v>
      </c>
      <c r="J67" s="15">
        <v>107.0</v>
      </c>
      <c r="K67" s="15">
        <v>107.0</v>
      </c>
      <c r="L67" s="15">
        <v>105.0</v>
      </c>
      <c r="M67" s="16">
        <v>114.0</v>
      </c>
      <c r="N67" s="16">
        <v>109.0</v>
      </c>
    </row>
    <row r="68">
      <c r="A68" s="10">
        <v>621439.0</v>
      </c>
      <c r="B68" s="11" t="s">
        <v>56</v>
      </c>
      <c r="C68" s="12">
        <v>1353.0</v>
      </c>
      <c r="D68" s="10">
        <v>732.0</v>
      </c>
      <c r="E68" s="13">
        <v>237.0</v>
      </c>
      <c r="F68" s="14">
        <v>0.057438285</v>
      </c>
      <c r="G68" s="15">
        <v>111.0</v>
      </c>
      <c r="H68" s="15">
        <v>89.0</v>
      </c>
      <c r="I68" s="15">
        <v>104.0</v>
      </c>
      <c r="J68" s="15">
        <v>88.0</v>
      </c>
      <c r="K68" s="15">
        <v>94.0</v>
      </c>
      <c r="L68" s="15">
        <v>122.0</v>
      </c>
      <c r="M68" s="16">
        <v>113.0</v>
      </c>
      <c r="N68" s="16">
        <v>120.0</v>
      </c>
    </row>
    <row r="69">
      <c r="A69" s="10">
        <v>547180.0</v>
      </c>
      <c r="B69" s="11" t="s">
        <v>60</v>
      </c>
      <c r="C69" s="12">
        <v>2294.0</v>
      </c>
      <c r="D69" s="10">
        <v>1213.0</v>
      </c>
      <c r="E69" s="13">
        <v>394.0</v>
      </c>
      <c r="F69" s="14">
        <v>0.095905561</v>
      </c>
      <c r="G69" s="15">
        <v>118.0</v>
      </c>
      <c r="H69" s="15">
        <v>96.0</v>
      </c>
      <c r="I69" s="15">
        <v>130.0</v>
      </c>
      <c r="J69" s="15">
        <v>87.0</v>
      </c>
      <c r="K69" s="15">
        <v>97.0</v>
      </c>
      <c r="L69" s="15">
        <v>117.0</v>
      </c>
      <c r="M69" s="16">
        <v>113.0</v>
      </c>
      <c r="N69" s="16">
        <v>118.0</v>
      </c>
    </row>
    <row r="70">
      <c r="A70" s="10">
        <v>668804.0</v>
      </c>
      <c r="B70" s="11" t="s">
        <v>88</v>
      </c>
      <c r="C70" s="12">
        <v>2490.0</v>
      </c>
      <c r="D70" s="10">
        <v>1264.0</v>
      </c>
      <c r="E70" s="13">
        <v>453.0</v>
      </c>
      <c r="F70" s="14">
        <v>0.048642278</v>
      </c>
      <c r="G70" s="15">
        <v>117.0</v>
      </c>
      <c r="H70" s="15">
        <v>101.0</v>
      </c>
      <c r="I70" s="15">
        <v>113.0</v>
      </c>
      <c r="J70" s="15">
        <v>97.0</v>
      </c>
      <c r="K70" s="15">
        <v>92.0</v>
      </c>
      <c r="L70" s="15">
        <v>116.0</v>
      </c>
      <c r="M70" s="16">
        <v>113.0</v>
      </c>
      <c r="N70" s="16">
        <v>112.0</v>
      </c>
    </row>
    <row r="71">
      <c r="A71" s="10">
        <v>660821.0</v>
      </c>
      <c r="B71" s="11" t="s">
        <v>128</v>
      </c>
      <c r="C71" s="12">
        <v>1848.0</v>
      </c>
      <c r="D71" s="10">
        <v>977.0</v>
      </c>
      <c r="E71" s="13">
        <v>331.0</v>
      </c>
      <c r="F71" s="14">
        <v>0.071433763</v>
      </c>
      <c r="G71" s="15">
        <v>92.0</v>
      </c>
      <c r="H71" s="15">
        <v>78.0</v>
      </c>
      <c r="I71" s="15">
        <v>110.0</v>
      </c>
      <c r="J71" s="15">
        <v>78.0</v>
      </c>
      <c r="K71" s="15">
        <v>101.0</v>
      </c>
      <c r="L71" s="15">
        <v>122.0</v>
      </c>
      <c r="M71" s="16">
        <v>113.0</v>
      </c>
      <c r="N71" s="16">
        <v>97.0</v>
      </c>
    </row>
    <row r="72">
      <c r="A72" s="10">
        <v>502671.0</v>
      </c>
      <c r="B72" s="11" t="s">
        <v>76</v>
      </c>
      <c r="C72" s="12">
        <v>2601.0</v>
      </c>
      <c r="D72" s="10">
        <v>1235.0</v>
      </c>
      <c r="E72" s="13">
        <v>411.0</v>
      </c>
      <c r="F72" s="14">
        <v>-0.018188526</v>
      </c>
      <c r="G72" s="15">
        <v>93.0</v>
      </c>
      <c r="H72" s="15">
        <v>100.0</v>
      </c>
      <c r="I72" s="15">
        <v>95.0</v>
      </c>
      <c r="J72" s="15">
        <v>102.0</v>
      </c>
      <c r="K72" s="15">
        <v>95.0</v>
      </c>
      <c r="L72" s="15">
        <v>117.0</v>
      </c>
      <c r="M72" s="16">
        <v>113.0</v>
      </c>
      <c r="N72" s="16">
        <v>104.0</v>
      </c>
    </row>
    <row r="73">
      <c r="A73" s="10">
        <v>671218.0</v>
      </c>
      <c r="B73" s="11" t="s">
        <v>119</v>
      </c>
      <c r="C73" s="12">
        <v>1889.0</v>
      </c>
      <c r="D73" s="10">
        <v>950.0</v>
      </c>
      <c r="E73" s="13">
        <v>321.0</v>
      </c>
      <c r="F73" s="14">
        <v>0.025398429</v>
      </c>
      <c r="G73" s="15">
        <v>116.0</v>
      </c>
      <c r="H73" s="15">
        <v>99.0</v>
      </c>
      <c r="I73" s="15">
        <v>106.0</v>
      </c>
      <c r="J73" s="15">
        <v>96.0</v>
      </c>
      <c r="K73" s="15">
        <v>86.0</v>
      </c>
      <c r="L73" s="15">
        <v>122.0</v>
      </c>
      <c r="M73" s="16">
        <v>113.0</v>
      </c>
      <c r="N73" s="16">
        <v>111.0</v>
      </c>
    </row>
    <row r="74">
      <c r="A74" s="10">
        <v>669394.0</v>
      </c>
      <c r="B74" s="11" t="s">
        <v>205</v>
      </c>
      <c r="C74" s="12">
        <v>1948.0</v>
      </c>
      <c r="D74" s="10">
        <v>1014.0</v>
      </c>
      <c r="E74" s="13">
        <v>357.0</v>
      </c>
      <c r="F74" s="14">
        <v>0.056492889</v>
      </c>
      <c r="G74" s="15">
        <v>80.0</v>
      </c>
      <c r="H74" s="15">
        <v>76.0</v>
      </c>
      <c r="I74" s="15">
        <v>99.0</v>
      </c>
      <c r="J74" s="15">
        <v>79.0</v>
      </c>
      <c r="K74" s="15">
        <v>101.0</v>
      </c>
      <c r="L74" s="15">
        <v>122.0</v>
      </c>
      <c r="M74" s="16">
        <v>113.0</v>
      </c>
      <c r="N74" s="16">
        <v>104.0</v>
      </c>
    </row>
    <row r="75">
      <c r="A75" s="10">
        <v>672386.0</v>
      </c>
      <c r="B75" s="11" t="s">
        <v>35</v>
      </c>
      <c r="C75" s="12">
        <v>1407.0</v>
      </c>
      <c r="D75" s="10">
        <v>658.0</v>
      </c>
      <c r="E75" s="13">
        <v>276.0</v>
      </c>
      <c r="F75" s="14">
        <v>-0.003397976</v>
      </c>
      <c r="G75" s="15">
        <v>97.0</v>
      </c>
      <c r="H75" s="15">
        <v>108.0</v>
      </c>
      <c r="I75" s="15">
        <v>118.0</v>
      </c>
      <c r="J75" s="15">
        <v>101.0</v>
      </c>
      <c r="K75" s="15">
        <v>117.0</v>
      </c>
      <c r="L75" s="15">
        <v>100.0</v>
      </c>
      <c r="M75" s="16">
        <v>113.0</v>
      </c>
      <c r="N75" s="16">
        <v>98.0</v>
      </c>
    </row>
    <row r="76">
      <c r="A76" s="10">
        <v>681351.0</v>
      </c>
      <c r="B76" s="11" t="s">
        <v>112</v>
      </c>
      <c r="C76" s="12">
        <v>1884.0</v>
      </c>
      <c r="D76" s="10">
        <v>982.0</v>
      </c>
      <c r="E76" s="13">
        <v>311.0</v>
      </c>
      <c r="F76" s="14">
        <v>0.039113236</v>
      </c>
      <c r="G76" s="15">
        <v>98.0</v>
      </c>
      <c r="H76" s="15">
        <v>95.0</v>
      </c>
      <c r="I76" s="15">
        <v>106.0</v>
      </c>
      <c r="J76" s="15">
        <v>93.0</v>
      </c>
      <c r="K76" s="15">
        <v>83.0</v>
      </c>
      <c r="L76" s="15">
        <v>126.0</v>
      </c>
      <c r="M76" s="16">
        <v>113.0</v>
      </c>
      <c r="N76" s="16">
        <v>104.0</v>
      </c>
    </row>
    <row r="77">
      <c r="A77" s="10">
        <v>681393.0</v>
      </c>
      <c r="B77" s="11" t="s">
        <v>159</v>
      </c>
      <c r="C77" s="12">
        <v>608.0</v>
      </c>
      <c r="D77" s="10">
        <v>347.0</v>
      </c>
      <c r="E77" s="13">
        <v>96.0</v>
      </c>
      <c r="F77" s="14">
        <v>0.060828919</v>
      </c>
      <c r="G77" s="15">
        <v>119.0</v>
      </c>
      <c r="H77" s="15">
        <v>130.0</v>
      </c>
      <c r="I77" s="15">
        <v>138.0</v>
      </c>
      <c r="J77" s="15">
        <v>115.0</v>
      </c>
      <c r="K77" s="15">
        <v>75.0</v>
      </c>
      <c r="L77" s="15">
        <v>116.0</v>
      </c>
      <c r="M77" s="16">
        <v>113.0</v>
      </c>
      <c r="N77" s="16">
        <v>119.0</v>
      </c>
    </row>
    <row r="78">
      <c r="A78" s="10">
        <v>608385.0</v>
      </c>
      <c r="B78" s="11" t="s">
        <v>451</v>
      </c>
      <c r="C78" s="12">
        <v>2009.0</v>
      </c>
      <c r="D78" s="10">
        <v>864.0</v>
      </c>
      <c r="E78" s="13">
        <v>317.0</v>
      </c>
      <c r="F78" s="14">
        <v>-0.067013575</v>
      </c>
      <c r="G78" s="15">
        <v>118.0</v>
      </c>
      <c r="H78" s="15">
        <v>122.0</v>
      </c>
      <c r="I78" s="15">
        <v>92.0</v>
      </c>
      <c r="J78" s="15">
        <v>125.0</v>
      </c>
      <c r="K78" s="15">
        <v>101.0</v>
      </c>
      <c r="L78" s="15">
        <v>101.0</v>
      </c>
      <c r="M78" s="16">
        <v>113.0</v>
      </c>
      <c r="N78" s="16">
        <v>117.0</v>
      </c>
    </row>
    <row r="79">
      <c r="A79" s="10">
        <v>641933.0</v>
      </c>
      <c r="B79" s="11" t="s">
        <v>185</v>
      </c>
      <c r="C79" s="12">
        <v>1904.0</v>
      </c>
      <c r="D79" s="10">
        <v>841.0</v>
      </c>
      <c r="E79" s="13">
        <v>246.0</v>
      </c>
      <c r="F79" s="14">
        <v>-0.036276992</v>
      </c>
      <c r="G79" s="15">
        <v>106.0</v>
      </c>
      <c r="H79" s="15">
        <v>103.0</v>
      </c>
      <c r="I79" s="15">
        <v>85.0</v>
      </c>
      <c r="J79" s="15">
        <v>108.0</v>
      </c>
      <c r="K79" s="15">
        <v>74.0</v>
      </c>
      <c r="L79" s="15">
        <v>132.0</v>
      </c>
      <c r="M79" s="16">
        <v>113.0</v>
      </c>
      <c r="N79" s="16">
        <v>123.0</v>
      </c>
    </row>
    <row r="80">
      <c r="A80" s="10">
        <v>671213.0</v>
      </c>
      <c r="B80" s="11" t="s">
        <v>170</v>
      </c>
      <c r="C80" s="12">
        <v>822.0</v>
      </c>
      <c r="D80" s="10">
        <v>370.0</v>
      </c>
      <c r="E80" s="13">
        <v>110.0</v>
      </c>
      <c r="F80" s="14">
        <v>-0.041943473</v>
      </c>
      <c r="G80" s="15">
        <v>94.0</v>
      </c>
      <c r="H80" s="15">
        <v>95.0</v>
      </c>
      <c r="I80" s="15">
        <v>69.0</v>
      </c>
      <c r="J80" s="15">
        <v>106.0</v>
      </c>
      <c r="K80" s="15">
        <v>87.0</v>
      </c>
      <c r="L80" s="15">
        <v>127.0</v>
      </c>
      <c r="M80" s="16">
        <v>112.0</v>
      </c>
      <c r="N80" s="16">
        <v>112.0</v>
      </c>
    </row>
    <row r="81">
      <c r="A81" s="10">
        <v>516782.0</v>
      </c>
      <c r="B81" s="11" t="s">
        <v>256</v>
      </c>
      <c r="C81" s="12">
        <v>1314.0</v>
      </c>
      <c r="D81" s="10">
        <v>664.0</v>
      </c>
      <c r="E81" s="13">
        <v>237.0</v>
      </c>
      <c r="F81" s="14">
        <v>0.006452314</v>
      </c>
      <c r="G81" s="15">
        <v>101.0</v>
      </c>
      <c r="H81" s="15">
        <v>104.0</v>
      </c>
      <c r="I81" s="15">
        <v>103.0</v>
      </c>
      <c r="J81" s="15">
        <v>102.0</v>
      </c>
      <c r="K81" s="15">
        <v>102.0</v>
      </c>
      <c r="L81" s="15">
        <v>108.0</v>
      </c>
      <c r="M81" s="16">
        <v>112.0</v>
      </c>
      <c r="N81" s="16">
        <v>105.0</v>
      </c>
    </row>
    <row r="82">
      <c r="A82" s="10">
        <v>669743.0</v>
      </c>
      <c r="B82" s="11" t="s">
        <v>246</v>
      </c>
      <c r="C82" s="12">
        <v>488.0</v>
      </c>
      <c r="D82" s="10">
        <v>212.0</v>
      </c>
      <c r="E82" s="13">
        <v>79.0</v>
      </c>
      <c r="F82" s="14">
        <v>-0.071549784</v>
      </c>
      <c r="G82" s="15">
        <v>119.0</v>
      </c>
      <c r="H82" s="15">
        <v>143.0</v>
      </c>
      <c r="I82" s="15">
        <v>121.0</v>
      </c>
      <c r="J82" s="15">
        <v>135.0</v>
      </c>
      <c r="K82" s="15">
        <v>104.0</v>
      </c>
      <c r="L82" s="15">
        <v>88.0</v>
      </c>
      <c r="M82" s="16">
        <v>112.0</v>
      </c>
      <c r="N82" s="16">
        <v>145.0</v>
      </c>
    </row>
    <row r="83">
      <c r="A83" s="10">
        <v>664761.0</v>
      </c>
      <c r="B83" s="11" t="s">
        <v>140</v>
      </c>
      <c r="C83" s="12">
        <v>1960.0</v>
      </c>
      <c r="D83" s="10">
        <v>982.0</v>
      </c>
      <c r="E83" s="13">
        <v>440.0</v>
      </c>
      <c r="F83" s="14">
        <v>0.017946013</v>
      </c>
      <c r="G83" s="15">
        <v>112.0</v>
      </c>
      <c r="H83" s="15">
        <v>101.0</v>
      </c>
      <c r="I83" s="15">
        <v>103.0</v>
      </c>
      <c r="J83" s="15">
        <v>100.0</v>
      </c>
      <c r="K83" s="15">
        <v>115.0</v>
      </c>
      <c r="L83" s="15">
        <v>102.0</v>
      </c>
      <c r="M83" s="16">
        <v>112.0</v>
      </c>
      <c r="N83" s="16">
        <v>114.0</v>
      </c>
    </row>
    <row r="84">
      <c r="A84" s="10">
        <v>694671.0</v>
      </c>
      <c r="B84" s="11" t="s">
        <v>161</v>
      </c>
      <c r="C84" s="12">
        <v>2134.0</v>
      </c>
      <c r="D84" s="10">
        <v>916.0</v>
      </c>
      <c r="E84" s="13">
        <v>365.0</v>
      </c>
      <c r="F84" s="14">
        <v>-0.055112216</v>
      </c>
      <c r="G84" s="15">
        <v>107.0</v>
      </c>
      <c r="H84" s="15">
        <v>108.0</v>
      </c>
      <c r="I84" s="15">
        <v>74.0</v>
      </c>
      <c r="J84" s="15">
        <v>116.0</v>
      </c>
      <c r="K84" s="15">
        <v>108.0</v>
      </c>
      <c r="L84" s="15">
        <v>103.0</v>
      </c>
      <c r="M84" s="16">
        <v>112.0</v>
      </c>
      <c r="N84" s="16">
        <v>107.0</v>
      </c>
    </row>
    <row r="85">
      <c r="A85" s="10">
        <v>502054.0</v>
      </c>
      <c r="B85" s="11" t="s">
        <v>274</v>
      </c>
      <c r="C85" s="12">
        <v>1810.0</v>
      </c>
      <c r="D85" s="10">
        <v>733.0</v>
      </c>
      <c r="E85" s="13">
        <v>313.0</v>
      </c>
      <c r="F85" s="14">
        <v>-0.09835292</v>
      </c>
      <c r="G85" s="15">
        <v>102.0</v>
      </c>
      <c r="H85" s="15">
        <v>113.0</v>
      </c>
      <c r="I85" s="15">
        <v>81.0</v>
      </c>
      <c r="J85" s="15">
        <v>121.0</v>
      </c>
      <c r="K85" s="15">
        <v>105.0</v>
      </c>
      <c r="L85" s="15">
        <v>102.0</v>
      </c>
      <c r="M85" s="16">
        <v>112.0</v>
      </c>
      <c r="N85" s="16">
        <v>103.0</v>
      </c>
    </row>
    <row r="86">
      <c r="A86" s="10">
        <v>683734.0</v>
      </c>
      <c r="B86" s="11" t="s">
        <v>107</v>
      </c>
      <c r="C86" s="12">
        <v>2222.0</v>
      </c>
      <c r="D86" s="10">
        <v>1085.0</v>
      </c>
      <c r="E86" s="13">
        <v>418.0</v>
      </c>
      <c r="F86" s="14">
        <v>0.007194268</v>
      </c>
      <c r="G86" s="15">
        <v>82.0</v>
      </c>
      <c r="H86" s="15">
        <v>89.0</v>
      </c>
      <c r="I86" s="15">
        <v>99.0</v>
      </c>
      <c r="J86" s="15">
        <v>90.0</v>
      </c>
      <c r="K86" s="15">
        <v>108.0</v>
      </c>
      <c r="L86" s="15">
        <v>111.0</v>
      </c>
      <c r="M86" s="16">
        <v>112.0</v>
      </c>
      <c r="N86" s="16">
        <v>103.0</v>
      </c>
    </row>
    <row r="87">
      <c r="A87" s="10">
        <v>608701.0</v>
      </c>
      <c r="B87" s="11" t="s">
        <v>148</v>
      </c>
      <c r="C87" s="12">
        <v>1199.0</v>
      </c>
      <c r="D87" s="10">
        <v>553.0</v>
      </c>
      <c r="E87" s="13">
        <v>194.0</v>
      </c>
      <c r="F87" s="14">
        <v>-0.044161854</v>
      </c>
      <c r="G87" s="15">
        <v>109.0</v>
      </c>
      <c r="H87" s="15">
        <v>117.0</v>
      </c>
      <c r="I87" s="15">
        <v>93.0</v>
      </c>
      <c r="J87" s="15">
        <v>119.0</v>
      </c>
      <c r="K87" s="15">
        <v>93.0</v>
      </c>
      <c r="L87" s="15">
        <v>107.0</v>
      </c>
      <c r="M87" s="16">
        <v>112.0</v>
      </c>
      <c r="N87" s="16">
        <v>121.0</v>
      </c>
    </row>
    <row r="88">
      <c r="A88" s="10">
        <v>606192.0</v>
      </c>
      <c r="B88" s="11" t="s">
        <v>111</v>
      </c>
      <c r="C88" s="12">
        <v>2439.0</v>
      </c>
      <c r="D88" s="10">
        <v>1244.0</v>
      </c>
      <c r="E88" s="13">
        <v>380.0</v>
      </c>
      <c r="F88" s="14">
        <v>0.022033483</v>
      </c>
      <c r="G88" s="15">
        <v>112.0</v>
      </c>
      <c r="H88" s="15">
        <v>108.0</v>
      </c>
      <c r="I88" s="15">
        <v>120.0</v>
      </c>
      <c r="J88" s="15">
        <v>100.0</v>
      </c>
      <c r="K88" s="15">
        <v>82.0</v>
      </c>
      <c r="L88" s="15">
        <v>120.0</v>
      </c>
      <c r="M88" s="16">
        <v>112.0</v>
      </c>
      <c r="N88" s="16">
        <v>116.0</v>
      </c>
    </row>
    <row r="89">
      <c r="A89" s="10">
        <v>650333.0</v>
      </c>
      <c r="B89" s="11" t="s">
        <v>293</v>
      </c>
      <c r="C89" s="12">
        <v>2285.0</v>
      </c>
      <c r="D89" s="10">
        <v>1141.0</v>
      </c>
      <c r="E89" s="13">
        <v>583.0</v>
      </c>
      <c r="F89" s="14">
        <v>0.041732091</v>
      </c>
      <c r="G89" s="15">
        <v>72.0</v>
      </c>
      <c r="H89" s="15">
        <v>87.0</v>
      </c>
      <c r="I89" s="15">
        <v>121.0</v>
      </c>
      <c r="J89" s="15">
        <v>79.0</v>
      </c>
      <c r="K89" s="15">
        <v>142.0</v>
      </c>
      <c r="L89" s="15">
        <v>95.0</v>
      </c>
      <c r="M89" s="16">
        <v>111.0</v>
      </c>
      <c r="N89" s="16">
        <v>109.0</v>
      </c>
    </row>
    <row r="90">
      <c r="A90" s="10">
        <v>677594.0</v>
      </c>
      <c r="B90" s="11" t="s">
        <v>179</v>
      </c>
      <c r="C90" s="12">
        <v>2267.0</v>
      </c>
      <c r="D90" s="10">
        <v>1215.0</v>
      </c>
      <c r="E90" s="13">
        <v>386.0</v>
      </c>
      <c r="F90" s="14">
        <v>0.055673009</v>
      </c>
      <c r="G90" s="15">
        <v>97.0</v>
      </c>
      <c r="H90" s="15">
        <v>85.0</v>
      </c>
      <c r="I90" s="15">
        <v>106.0</v>
      </c>
      <c r="J90" s="15">
        <v>84.0</v>
      </c>
      <c r="K90" s="15">
        <v>94.0</v>
      </c>
      <c r="L90" s="15">
        <v>122.0</v>
      </c>
      <c r="M90" s="16">
        <v>111.0</v>
      </c>
      <c r="N90" s="16">
        <v>105.0</v>
      </c>
    </row>
    <row r="91">
      <c r="A91" s="10">
        <v>680757.0</v>
      </c>
      <c r="B91" s="11" t="s">
        <v>198</v>
      </c>
      <c r="C91" s="12">
        <v>2116.0</v>
      </c>
      <c r="D91" s="10">
        <v>828.0</v>
      </c>
      <c r="E91" s="13">
        <v>423.0</v>
      </c>
      <c r="F91" s="14">
        <v>-0.079724437</v>
      </c>
      <c r="G91" s="15">
        <v>94.0</v>
      </c>
      <c r="H91" s="15">
        <v>113.0</v>
      </c>
      <c r="I91" s="15">
        <v>95.0</v>
      </c>
      <c r="J91" s="15">
        <v>114.0</v>
      </c>
      <c r="K91" s="15">
        <v>132.0</v>
      </c>
      <c r="L91" s="15">
        <v>91.0</v>
      </c>
      <c r="M91" s="16">
        <v>111.0</v>
      </c>
      <c r="N91" s="16">
        <v>118.0</v>
      </c>
    </row>
    <row r="92">
      <c r="A92" s="10">
        <v>605170.0</v>
      </c>
      <c r="B92" s="11" t="s">
        <v>175</v>
      </c>
      <c r="C92" s="12">
        <v>926.0</v>
      </c>
      <c r="D92" s="10">
        <v>436.0</v>
      </c>
      <c r="E92" s="13">
        <v>178.0</v>
      </c>
      <c r="F92" s="14">
        <v>-0.00946889</v>
      </c>
      <c r="G92" s="15">
        <v>104.0</v>
      </c>
      <c r="H92" s="15">
        <v>100.0</v>
      </c>
      <c r="I92" s="15">
        <v>95.0</v>
      </c>
      <c r="J92" s="15">
        <v>102.0</v>
      </c>
      <c r="K92" s="15">
        <v>113.0</v>
      </c>
      <c r="L92" s="15">
        <v>103.0</v>
      </c>
      <c r="M92" s="16">
        <v>111.0</v>
      </c>
      <c r="N92" s="16">
        <v>111.0</v>
      </c>
    </row>
    <row r="93">
      <c r="A93" s="10">
        <v>553993.0</v>
      </c>
      <c r="B93" s="11" t="s">
        <v>80</v>
      </c>
      <c r="C93" s="12">
        <v>2406.0</v>
      </c>
      <c r="D93" s="10">
        <v>1139.0</v>
      </c>
      <c r="E93" s="13">
        <v>390.0</v>
      </c>
      <c r="F93" s="14">
        <v>-0.01914833</v>
      </c>
      <c r="G93" s="15">
        <v>107.0</v>
      </c>
      <c r="H93" s="15">
        <v>102.0</v>
      </c>
      <c r="I93" s="15">
        <v>101.0</v>
      </c>
      <c r="J93" s="15">
        <v>102.0</v>
      </c>
      <c r="K93" s="15">
        <v>94.0</v>
      </c>
      <c r="L93" s="15">
        <v>113.0</v>
      </c>
      <c r="M93" s="16">
        <v>111.0</v>
      </c>
      <c r="N93" s="16">
        <v>114.0</v>
      </c>
    </row>
    <row r="94">
      <c r="A94" s="10">
        <v>672515.0</v>
      </c>
      <c r="B94" s="11" t="s">
        <v>104</v>
      </c>
      <c r="C94" s="12">
        <v>1425.0</v>
      </c>
      <c r="D94" s="10">
        <v>593.0</v>
      </c>
      <c r="E94" s="13">
        <v>240.0</v>
      </c>
      <c r="F94" s="14">
        <v>-0.092169273</v>
      </c>
      <c r="G94" s="15">
        <v>87.0</v>
      </c>
      <c r="H94" s="15">
        <v>120.0</v>
      </c>
      <c r="I94" s="15">
        <v>99.0</v>
      </c>
      <c r="J94" s="15">
        <v>120.0</v>
      </c>
      <c r="K94" s="15">
        <v>117.0</v>
      </c>
      <c r="L94" s="15">
        <v>91.0</v>
      </c>
      <c r="M94" s="16">
        <v>111.0</v>
      </c>
      <c r="N94" s="16">
        <v>112.0</v>
      </c>
    </row>
    <row r="95">
      <c r="A95" s="10">
        <v>593428.0</v>
      </c>
      <c r="B95" s="11" t="s">
        <v>134</v>
      </c>
      <c r="C95" s="12">
        <v>1669.0</v>
      </c>
      <c r="D95" s="10">
        <v>732.0</v>
      </c>
      <c r="E95" s="13">
        <v>331.0</v>
      </c>
      <c r="F95" s="14">
        <v>-0.072218062</v>
      </c>
      <c r="G95" s="15">
        <v>87.0</v>
      </c>
      <c r="H95" s="15">
        <v>116.0</v>
      </c>
      <c r="I95" s="15">
        <v>94.0</v>
      </c>
      <c r="J95" s="15">
        <v>119.0</v>
      </c>
      <c r="K95" s="15">
        <v>118.0</v>
      </c>
      <c r="L95" s="15">
        <v>94.0</v>
      </c>
      <c r="M95" s="16">
        <v>111.0</v>
      </c>
      <c r="N95" s="16">
        <v>105.0</v>
      </c>
    </row>
    <row r="96">
      <c r="A96" s="10">
        <v>608324.0</v>
      </c>
      <c r="B96" s="11" t="s">
        <v>74</v>
      </c>
      <c r="C96" s="12">
        <v>2301.0</v>
      </c>
      <c r="D96" s="10">
        <v>1034.0</v>
      </c>
      <c r="E96" s="13">
        <v>479.0</v>
      </c>
      <c r="F96" s="14">
        <v>-0.03518791</v>
      </c>
      <c r="G96" s="15">
        <v>107.0</v>
      </c>
      <c r="H96" s="15">
        <v>116.0</v>
      </c>
      <c r="I96" s="15">
        <v>111.0</v>
      </c>
      <c r="J96" s="15">
        <v>111.0</v>
      </c>
      <c r="K96" s="15">
        <v>121.0</v>
      </c>
      <c r="L96" s="15">
        <v>92.0</v>
      </c>
      <c r="M96" s="16">
        <v>111.0</v>
      </c>
      <c r="N96" s="16">
        <v>113.0</v>
      </c>
    </row>
    <row r="97">
      <c r="A97" s="10">
        <v>642715.0</v>
      </c>
      <c r="B97" s="11" t="s">
        <v>181</v>
      </c>
      <c r="C97" s="12">
        <v>2591.0</v>
      </c>
      <c r="D97" s="10">
        <v>1276.0</v>
      </c>
      <c r="E97" s="13">
        <v>408.0</v>
      </c>
      <c r="F97" s="14">
        <v>-6.54459E-4</v>
      </c>
      <c r="G97" s="15">
        <v>111.0</v>
      </c>
      <c r="H97" s="15">
        <v>109.0</v>
      </c>
      <c r="I97" s="15">
        <v>105.0</v>
      </c>
      <c r="J97" s="15">
        <v>106.0</v>
      </c>
      <c r="K97" s="15">
        <v>89.0</v>
      </c>
      <c r="L97" s="15">
        <v>113.0</v>
      </c>
      <c r="M97" s="16">
        <v>110.0</v>
      </c>
      <c r="N97" s="16">
        <v>112.0</v>
      </c>
    </row>
    <row r="98">
      <c r="A98" s="10">
        <v>660670.0</v>
      </c>
      <c r="B98" s="11" t="s">
        <v>22</v>
      </c>
      <c r="C98" s="12">
        <v>902.0</v>
      </c>
      <c r="D98" s="10">
        <v>425.0</v>
      </c>
      <c r="E98" s="13">
        <v>139.0</v>
      </c>
      <c r="F98" s="14">
        <v>-0.038555606</v>
      </c>
      <c r="G98" s="15">
        <v>131.0</v>
      </c>
      <c r="H98" s="15">
        <v>122.0</v>
      </c>
      <c r="I98" s="15">
        <v>105.0</v>
      </c>
      <c r="J98" s="15">
        <v>120.0</v>
      </c>
      <c r="K98" s="15">
        <v>81.0</v>
      </c>
      <c r="L98" s="15">
        <v>110.0</v>
      </c>
      <c r="M98" s="16">
        <v>110.0</v>
      </c>
      <c r="N98" s="16">
        <v>104.0</v>
      </c>
    </row>
    <row r="99">
      <c r="A99" s="10">
        <v>681807.0</v>
      </c>
      <c r="B99" s="11" t="s">
        <v>452</v>
      </c>
      <c r="C99" s="12">
        <v>1497.0</v>
      </c>
      <c r="D99" s="10">
        <v>737.0</v>
      </c>
      <c r="E99" s="13">
        <v>250.0</v>
      </c>
      <c r="F99" s="14">
        <v>0.007524713</v>
      </c>
      <c r="G99" s="15">
        <v>109.0</v>
      </c>
      <c r="H99" s="15">
        <v>109.0</v>
      </c>
      <c r="I99" s="15">
        <v>97.0</v>
      </c>
      <c r="J99" s="15">
        <v>109.0</v>
      </c>
      <c r="K99" s="15">
        <v>99.0</v>
      </c>
      <c r="L99" s="15">
        <v>105.0</v>
      </c>
      <c r="M99" s="16">
        <v>110.0</v>
      </c>
      <c r="N99" s="16">
        <v>116.0</v>
      </c>
    </row>
    <row r="100">
      <c r="A100" s="10">
        <v>624585.0</v>
      </c>
      <c r="B100" s="11" t="s">
        <v>226</v>
      </c>
      <c r="C100" s="12">
        <v>2226.0</v>
      </c>
      <c r="D100" s="10">
        <v>990.0</v>
      </c>
      <c r="E100" s="13">
        <v>335.0</v>
      </c>
      <c r="F100" s="14">
        <v>-0.03604593</v>
      </c>
      <c r="G100" s="15">
        <v>103.0</v>
      </c>
      <c r="H100" s="15">
        <v>102.0</v>
      </c>
      <c r="I100" s="15">
        <v>84.0</v>
      </c>
      <c r="J100" s="15">
        <v>106.0</v>
      </c>
      <c r="K100" s="15">
        <v>99.0</v>
      </c>
      <c r="L100" s="15">
        <v>110.0</v>
      </c>
      <c r="M100" s="16">
        <v>110.0</v>
      </c>
      <c r="N100" s="16">
        <v>106.0</v>
      </c>
    </row>
    <row r="101">
      <c r="A101" s="10">
        <v>572138.0</v>
      </c>
      <c r="B101" s="11" t="s">
        <v>453</v>
      </c>
      <c r="C101" s="12">
        <v>1546.0</v>
      </c>
      <c r="D101" s="10">
        <v>628.0</v>
      </c>
      <c r="E101" s="13">
        <v>239.0</v>
      </c>
      <c r="F101" s="14">
        <v>-0.064786671</v>
      </c>
      <c r="G101" s="15">
        <v>96.0</v>
      </c>
      <c r="H101" s="15">
        <v>101.0</v>
      </c>
      <c r="I101" s="15">
        <v>73.0</v>
      </c>
      <c r="J101" s="15">
        <v>110.0</v>
      </c>
      <c r="K101" s="15">
        <v>99.0</v>
      </c>
      <c r="L101" s="15">
        <v>110.0</v>
      </c>
      <c r="M101" s="16">
        <v>110.0</v>
      </c>
      <c r="N101" s="16">
        <v>105.0</v>
      </c>
    </row>
    <row r="102">
      <c r="A102" s="10">
        <v>543807.0</v>
      </c>
      <c r="B102" s="11" t="s">
        <v>24</v>
      </c>
      <c r="C102" s="12">
        <v>2206.0</v>
      </c>
      <c r="D102" s="10">
        <v>1084.0</v>
      </c>
      <c r="E102" s="13">
        <v>413.0</v>
      </c>
      <c r="F102" s="14">
        <v>-0.01308478</v>
      </c>
      <c r="G102" s="15">
        <v>131.0</v>
      </c>
      <c r="H102" s="15">
        <v>138.0</v>
      </c>
      <c r="I102" s="15">
        <v>128.0</v>
      </c>
      <c r="J102" s="15">
        <v>126.0</v>
      </c>
      <c r="K102" s="15">
        <v>100.0</v>
      </c>
      <c r="L102" s="15">
        <v>91.0</v>
      </c>
      <c r="M102" s="16">
        <v>110.0</v>
      </c>
      <c r="N102" s="16">
        <v>101.0</v>
      </c>
    </row>
    <row r="103">
      <c r="A103" s="10">
        <v>602104.0</v>
      </c>
      <c r="B103" s="11" t="s">
        <v>222</v>
      </c>
      <c r="C103" s="12">
        <v>1054.0</v>
      </c>
      <c r="D103" s="10">
        <v>516.0</v>
      </c>
      <c r="E103" s="13">
        <v>194.0</v>
      </c>
      <c r="F103" s="14">
        <v>0.005510577</v>
      </c>
      <c r="G103" s="15">
        <v>129.0</v>
      </c>
      <c r="H103" s="15">
        <v>121.0</v>
      </c>
      <c r="I103" s="15">
        <v>115.0</v>
      </c>
      <c r="J103" s="15">
        <v>113.0</v>
      </c>
      <c r="K103" s="15">
        <v>96.0</v>
      </c>
      <c r="L103" s="15">
        <v>101.0</v>
      </c>
      <c r="M103" s="16">
        <v>109.0</v>
      </c>
      <c r="N103" s="16">
        <v>110.0</v>
      </c>
    </row>
    <row r="104">
      <c r="A104" s="10">
        <v>641857.0</v>
      </c>
      <c r="B104" s="11" t="s">
        <v>201</v>
      </c>
      <c r="C104" s="12">
        <v>2573.0</v>
      </c>
      <c r="D104" s="10">
        <v>1205.0</v>
      </c>
      <c r="E104" s="13">
        <v>367.0</v>
      </c>
      <c r="F104" s="14">
        <v>-0.019718536</v>
      </c>
      <c r="G104" s="15">
        <v>102.0</v>
      </c>
      <c r="H104" s="15">
        <v>99.0</v>
      </c>
      <c r="I104" s="15">
        <v>98.0</v>
      </c>
      <c r="J104" s="15">
        <v>100.0</v>
      </c>
      <c r="K104" s="15">
        <v>86.0</v>
      </c>
      <c r="L104" s="15">
        <v>120.0</v>
      </c>
      <c r="M104" s="16">
        <v>109.0</v>
      </c>
      <c r="N104" s="16">
        <v>103.0</v>
      </c>
    </row>
    <row r="105">
      <c r="A105" s="10">
        <v>620443.0</v>
      </c>
      <c r="B105" s="11" t="s">
        <v>62</v>
      </c>
      <c r="C105" s="12">
        <v>467.0</v>
      </c>
      <c r="D105" s="10">
        <v>215.0</v>
      </c>
      <c r="E105" s="13">
        <v>81.0</v>
      </c>
      <c r="F105" s="14">
        <v>-0.042697613</v>
      </c>
      <c r="G105" s="15">
        <v>101.0</v>
      </c>
      <c r="H105" s="15">
        <v>107.0</v>
      </c>
      <c r="I105" s="15">
        <v>87.0</v>
      </c>
      <c r="J105" s="15">
        <v>111.0</v>
      </c>
      <c r="K105" s="15">
        <v>104.0</v>
      </c>
      <c r="L105" s="15">
        <v>103.0</v>
      </c>
      <c r="M105" s="16">
        <v>109.0</v>
      </c>
      <c r="N105" s="16">
        <v>101.0</v>
      </c>
    </row>
    <row r="106">
      <c r="A106" s="10">
        <v>681297.0</v>
      </c>
      <c r="B106" s="11" t="s">
        <v>195</v>
      </c>
      <c r="C106" s="12">
        <v>2195.0</v>
      </c>
      <c r="D106" s="10">
        <v>983.0</v>
      </c>
      <c r="E106" s="13">
        <v>316.0</v>
      </c>
      <c r="F106" s="14">
        <v>-0.02838211</v>
      </c>
      <c r="G106" s="15">
        <v>99.0</v>
      </c>
      <c r="H106" s="15">
        <v>97.0</v>
      </c>
      <c r="I106" s="15">
        <v>91.0</v>
      </c>
      <c r="J106" s="15">
        <v>100.0</v>
      </c>
      <c r="K106" s="15">
        <v>89.0</v>
      </c>
      <c r="L106" s="15">
        <v>119.0</v>
      </c>
      <c r="M106" s="16">
        <v>109.0</v>
      </c>
      <c r="N106" s="16">
        <v>110.0</v>
      </c>
    </row>
    <row r="107">
      <c r="A107" s="10">
        <v>663698.0</v>
      </c>
      <c r="B107" s="11" t="s">
        <v>186</v>
      </c>
      <c r="C107" s="12">
        <v>1027.0</v>
      </c>
      <c r="D107" s="10">
        <v>448.0</v>
      </c>
      <c r="E107" s="13">
        <v>167.0</v>
      </c>
      <c r="F107" s="14">
        <v>-0.074303657</v>
      </c>
      <c r="G107" s="15">
        <v>87.0</v>
      </c>
      <c r="H107" s="15">
        <v>88.0</v>
      </c>
      <c r="I107" s="15">
        <v>57.0</v>
      </c>
      <c r="J107" s="15">
        <v>105.0</v>
      </c>
      <c r="K107" s="15">
        <v>96.0</v>
      </c>
      <c r="L107" s="15">
        <v>117.0</v>
      </c>
      <c r="M107" s="16">
        <v>109.0</v>
      </c>
      <c r="N107" s="16">
        <v>120.0</v>
      </c>
    </row>
    <row r="108">
      <c r="A108" s="10">
        <v>650402.0</v>
      </c>
      <c r="B108" s="11" t="s">
        <v>25</v>
      </c>
      <c r="C108" s="12">
        <v>2702.0</v>
      </c>
      <c r="D108" s="10">
        <v>1231.0</v>
      </c>
      <c r="E108" s="13">
        <v>441.0</v>
      </c>
      <c r="F108" s="14">
        <v>-0.046408527</v>
      </c>
      <c r="G108" s="15">
        <v>120.0</v>
      </c>
      <c r="H108" s="15">
        <v>125.0</v>
      </c>
      <c r="I108" s="15">
        <v>104.0</v>
      </c>
      <c r="J108" s="15">
        <v>122.0</v>
      </c>
      <c r="K108" s="15">
        <v>100.0</v>
      </c>
      <c r="L108" s="15">
        <v>96.0</v>
      </c>
      <c r="M108" s="16">
        <v>109.0</v>
      </c>
      <c r="N108" s="16">
        <v>108.0</v>
      </c>
    </row>
    <row r="109">
      <c r="A109" s="10">
        <v>664023.0</v>
      </c>
      <c r="B109" s="11" t="s">
        <v>187</v>
      </c>
      <c r="C109" s="12">
        <v>2578.0</v>
      </c>
      <c r="D109" s="10">
        <v>1191.0</v>
      </c>
      <c r="E109" s="13">
        <v>384.0</v>
      </c>
      <c r="F109" s="14">
        <v>-0.018509186</v>
      </c>
      <c r="G109" s="15">
        <v>111.0</v>
      </c>
      <c r="H109" s="15">
        <v>111.0</v>
      </c>
      <c r="I109" s="15">
        <v>102.0</v>
      </c>
      <c r="J109" s="15">
        <v>110.0</v>
      </c>
      <c r="K109" s="15">
        <v>86.0</v>
      </c>
      <c r="L109" s="15">
        <v>112.0</v>
      </c>
      <c r="M109" s="16">
        <v>109.0</v>
      </c>
      <c r="N109" s="16">
        <v>113.0</v>
      </c>
    </row>
    <row r="110">
      <c r="A110" s="10">
        <v>669004.0</v>
      </c>
      <c r="B110" s="11" t="s">
        <v>454</v>
      </c>
      <c r="C110" s="12">
        <v>1760.0</v>
      </c>
      <c r="D110" s="10">
        <v>924.0</v>
      </c>
      <c r="E110" s="13">
        <v>294.0</v>
      </c>
      <c r="F110" s="14">
        <v>0.040438984</v>
      </c>
      <c r="G110" s="15">
        <v>120.0</v>
      </c>
      <c r="H110" s="15">
        <v>103.0</v>
      </c>
      <c r="I110" s="15">
        <v>115.0</v>
      </c>
      <c r="J110" s="15">
        <v>97.0</v>
      </c>
      <c r="K110" s="15">
        <v>95.0</v>
      </c>
      <c r="L110" s="15">
        <v>110.0</v>
      </c>
      <c r="M110" s="16">
        <v>109.0</v>
      </c>
      <c r="N110" s="16">
        <v>98.0</v>
      </c>
    </row>
    <row r="111">
      <c r="A111" s="10">
        <v>630105.0</v>
      </c>
      <c r="B111" s="11" t="s">
        <v>253</v>
      </c>
      <c r="C111" s="12">
        <v>2587.0</v>
      </c>
      <c r="D111" s="10">
        <v>1173.0</v>
      </c>
      <c r="E111" s="13">
        <v>441.0</v>
      </c>
      <c r="F111" s="14">
        <v>-0.023059196</v>
      </c>
      <c r="G111" s="15">
        <v>105.0</v>
      </c>
      <c r="H111" s="15">
        <v>113.0</v>
      </c>
      <c r="I111" s="15">
        <v>116.0</v>
      </c>
      <c r="J111" s="15">
        <v>106.0</v>
      </c>
      <c r="K111" s="15">
        <v>105.0</v>
      </c>
      <c r="L111" s="15">
        <v>99.0</v>
      </c>
      <c r="M111" s="16">
        <v>109.0</v>
      </c>
      <c r="N111" s="16">
        <v>105.0</v>
      </c>
    </row>
    <row r="112">
      <c r="A112" s="10">
        <v>500743.0</v>
      </c>
      <c r="B112" s="11" t="s">
        <v>336</v>
      </c>
      <c r="C112" s="12">
        <v>1147.0</v>
      </c>
      <c r="D112" s="10">
        <v>536.0</v>
      </c>
      <c r="E112" s="13">
        <v>270.0</v>
      </c>
      <c r="F112" s="14">
        <v>-0.012575973</v>
      </c>
      <c r="G112" s="15">
        <v>100.0</v>
      </c>
      <c r="H112" s="15">
        <v>111.0</v>
      </c>
      <c r="I112" s="15">
        <v>104.0</v>
      </c>
      <c r="J112" s="15">
        <v>108.0</v>
      </c>
      <c r="K112" s="15">
        <v>131.0</v>
      </c>
      <c r="L112" s="15">
        <v>90.0</v>
      </c>
      <c r="M112" s="16">
        <v>109.0</v>
      </c>
      <c r="N112" s="16">
        <v>114.0</v>
      </c>
    </row>
    <row r="113">
      <c r="A113" s="10">
        <v>669127.0</v>
      </c>
      <c r="B113" s="11" t="s">
        <v>176</v>
      </c>
      <c r="C113" s="12">
        <v>1864.0</v>
      </c>
      <c r="D113" s="10">
        <v>922.0</v>
      </c>
      <c r="E113" s="13">
        <v>325.0</v>
      </c>
      <c r="F113" s="14">
        <v>0.019776873</v>
      </c>
      <c r="G113" s="15">
        <v>97.0</v>
      </c>
      <c r="H113" s="15">
        <v>85.0</v>
      </c>
      <c r="I113" s="15">
        <v>74.0</v>
      </c>
      <c r="J113" s="15">
        <v>94.0</v>
      </c>
      <c r="K113" s="15">
        <v>94.0</v>
      </c>
      <c r="L113" s="15">
        <v>119.0</v>
      </c>
      <c r="M113" s="16">
        <v>109.0</v>
      </c>
      <c r="N113" s="16">
        <v>106.0</v>
      </c>
    </row>
    <row r="114">
      <c r="A114" s="10">
        <v>694384.0</v>
      </c>
      <c r="B114" s="11" t="s">
        <v>172</v>
      </c>
      <c r="C114" s="12">
        <v>2309.0</v>
      </c>
      <c r="D114" s="10">
        <v>966.0</v>
      </c>
      <c r="E114" s="13">
        <v>419.0</v>
      </c>
      <c r="F114" s="14">
        <v>-0.04311537</v>
      </c>
      <c r="G114" s="15">
        <v>103.0</v>
      </c>
      <c r="H114" s="15">
        <v>109.0</v>
      </c>
      <c r="I114" s="15">
        <v>85.0</v>
      </c>
      <c r="J114" s="15">
        <v>113.0</v>
      </c>
      <c r="K114" s="15">
        <v>123.0</v>
      </c>
      <c r="L114" s="15">
        <v>93.0</v>
      </c>
      <c r="M114" s="16">
        <v>109.0</v>
      </c>
      <c r="N114" s="16">
        <v>104.0</v>
      </c>
    </row>
    <row r="115">
      <c r="A115" s="10">
        <v>680977.0</v>
      </c>
      <c r="B115" s="11" t="s">
        <v>58</v>
      </c>
      <c r="C115" s="12">
        <v>2349.0</v>
      </c>
      <c r="D115" s="10">
        <v>1025.0</v>
      </c>
      <c r="E115" s="13">
        <v>482.0</v>
      </c>
      <c r="F115" s="14">
        <v>-0.026113154</v>
      </c>
      <c r="G115" s="15">
        <v>94.0</v>
      </c>
      <c r="H115" s="15">
        <v>99.0</v>
      </c>
      <c r="I115" s="15">
        <v>97.0</v>
      </c>
      <c r="J115" s="15">
        <v>100.0</v>
      </c>
      <c r="K115" s="15">
        <v>123.0</v>
      </c>
      <c r="L115" s="15">
        <v>97.0</v>
      </c>
      <c r="M115" s="16">
        <v>109.0</v>
      </c>
      <c r="N115" s="16">
        <v>107.0</v>
      </c>
    </row>
    <row r="116">
      <c r="A116" s="10">
        <v>665839.0</v>
      </c>
      <c r="B116" s="11" t="s">
        <v>455</v>
      </c>
      <c r="C116" s="12">
        <v>871.0</v>
      </c>
      <c r="D116" s="10">
        <v>385.0</v>
      </c>
      <c r="E116" s="13">
        <v>145.0</v>
      </c>
      <c r="F116" s="14">
        <v>-0.03037765</v>
      </c>
      <c r="G116" s="15">
        <v>91.0</v>
      </c>
      <c r="H116" s="15">
        <v>95.0</v>
      </c>
      <c r="I116" s="15">
        <v>90.0</v>
      </c>
      <c r="J116" s="15">
        <v>98.0</v>
      </c>
      <c r="K116" s="15">
        <v>101.0</v>
      </c>
      <c r="L116" s="15">
        <v>110.0</v>
      </c>
      <c r="M116" s="16">
        <v>109.0</v>
      </c>
      <c r="N116" s="16">
        <v>91.0</v>
      </c>
    </row>
    <row r="117">
      <c r="A117" s="10">
        <v>658668.0</v>
      </c>
      <c r="B117" s="11" t="s">
        <v>456</v>
      </c>
      <c r="C117" s="12">
        <v>757.0</v>
      </c>
      <c r="D117" s="10">
        <v>385.0</v>
      </c>
      <c r="E117" s="13">
        <v>140.0</v>
      </c>
      <c r="F117" s="14">
        <v>0.007615623</v>
      </c>
      <c r="G117" s="15">
        <v>96.0</v>
      </c>
      <c r="H117" s="15">
        <v>99.0</v>
      </c>
      <c r="I117" s="15">
        <v>121.0</v>
      </c>
      <c r="J117" s="15">
        <v>92.0</v>
      </c>
      <c r="K117" s="15">
        <v>112.0</v>
      </c>
      <c r="L117" s="15">
        <v>100.0</v>
      </c>
      <c r="M117" s="16">
        <v>108.0</v>
      </c>
      <c r="N117" s="16">
        <v>92.0</v>
      </c>
    </row>
    <row r="118">
      <c r="A118" s="10">
        <v>607043.0</v>
      </c>
      <c r="B118" s="11" t="s">
        <v>124</v>
      </c>
      <c r="C118" s="12">
        <v>2550.0</v>
      </c>
      <c r="D118" s="10">
        <v>1130.0</v>
      </c>
      <c r="E118" s="13">
        <v>386.0</v>
      </c>
      <c r="F118" s="14">
        <v>-0.037793794</v>
      </c>
      <c r="G118" s="15">
        <v>110.0</v>
      </c>
      <c r="H118" s="15">
        <v>116.0</v>
      </c>
      <c r="I118" s="15">
        <v>97.0</v>
      </c>
      <c r="J118" s="15">
        <v>116.0</v>
      </c>
      <c r="K118" s="15">
        <v>95.0</v>
      </c>
      <c r="L118" s="15">
        <v>102.0</v>
      </c>
      <c r="M118" s="16">
        <v>108.0</v>
      </c>
      <c r="N118" s="16">
        <v>106.0</v>
      </c>
    </row>
    <row r="119">
      <c r="A119" s="10">
        <v>578428.0</v>
      </c>
      <c r="B119" s="11" t="s">
        <v>335</v>
      </c>
      <c r="C119" s="12">
        <v>940.0</v>
      </c>
      <c r="D119" s="10">
        <v>491.0</v>
      </c>
      <c r="E119" s="13">
        <v>205.0</v>
      </c>
      <c r="F119" s="14">
        <v>0.049689369</v>
      </c>
      <c r="G119" s="15">
        <v>67.0</v>
      </c>
      <c r="H119" s="15">
        <v>83.0</v>
      </c>
      <c r="I119" s="15">
        <v>111.0</v>
      </c>
      <c r="J119" s="15">
        <v>79.0</v>
      </c>
      <c r="K119" s="15">
        <v>127.0</v>
      </c>
      <c r="L119" s="15">
        <v>99.0</v>
      </c>
      <c r="M119" s="16">
        <v>108.0</v>
      </c>
      <c r="N119" s="16">
        <v>123.0</v>
      </c>
    </row>
    <row r="120">
      <c r="A120" s="10">
        <v>677588.0</v>
      </c>
      <c r="B120" s="11" t="s">
        <v>241</v>
      </c>
      <c r="C120" s="12">
        <v>573.0</v>
      </c>
      <c r="D120" s="10">
        <v>288.0</v>
      </c>
      <c r="E120" s="13">
        <v>105.0</v>
      </c>
      <c r="F120" s="14">
        <v>0.026512985</v>
      </c>
      <c r="G120" s="15">
        <v>86.0</v>
      </c>
      <c r="H120" s="15">
        <v>77.0</v>
      </c>
      <c r="I120" s="15">
        <v>102.0</v>
      </c>
      <c r="J120" s="15">
        <v>78.0</v>
      </c>
      <c r="K120" s="15">
        <v>112.0</v>
      </c>
      <c r="L120" s="15">
        <v>110.0</v>
      </c>
      <c r="M120" s="16">
        <v>108.0</v>
      </c>
      <c r="N120" s="16">
        <v>106.0</v>
      </c>
    </row>
    <row r="121">
      <c r="A121" s="10">
        <v>457759.0</v>
      </c>
      <c r="B121" s="11" t="s">
        <v>276</v>
      </c>
      <c r="C121" s="12">
        <v>2212.0</v>
      </c>
      <c r="D121" s="10">
        <v>1003.0</v>
      </c>
      <c r="E121" s="13">
        <v>352.0</v>
      </c>
      <c r="F121" s="14">
        <v>-0.035219216</v>
      </c>
      <c r="G121" s="15">
        <v>99.0</v>
      </c>
      <c r="H121" s="15">
        <v>103.0</v>
      </c>
      <c r="I121" s="15">
        <v>97.0</v>
      </c>
      <c r="J121" s="15">
        <v>104.0</v>
      </c>
      <c r="K121" s="15">
        <v>114.0</v>
      </c>
      <c r="L121" s="15">
        <v>97.0</v>
      </c>
      <c r="M121" s="16">
        <v>108.0</v>
      </c>
      <c r="N121" s="16">
        <v>108.0</v>
      </c>
    </row>
    <row r="122">
      <c r="A122" s="10">
        <v>663886.0</v>
      </c>
      <c r="B122" s="11" t="s">
        <v>231</v>
      </c>
      <c r="C122" s="12">
        <v>1836.0</v>
      </c>
      <c r="D122" s="10">
        <v>788.0</v>
      </c>
      <c r="E122" s="13">
        <v>321.0</v>
      </c>
      <c r="F122" s="14">
        <v>-0.04270545</v>
      </c>
      <c r="G122" s="15">
        <v>110.0</v>
      </c>
      <c r="H122" s="15">
        <v>112.0</v>
      </c>
      <c r="I122" s="15">
        <v>87.0</v>
      </c>
      <c r="J122" s="15">
        <v>115.0</v>
      </c>
      <c r="K122" s="15">
        <v>98.0</v>
      </c>
      <c r="L122" s="15">
        <v>102.0</v>
      </c>
      <c r="M122" s="16">
        <v>108.0</v>
      </c>
      <c r="N122" s="16">
        <v>118.0</v>
      </c>
    </row>
    <row r="123">
      <c r="A123" s="10">
        <v>680776.0</v>
      </c>
      <c r="B123" s="11" t="s">
        <v>218</v>
      </c>
      <c r="C123" s="12">
        <v>2660.0</v>
      </c>
      <c r="D123" s="10">
        <v>1283.0</v>
      </c>
      <c r="E123" s="13">
        <v>477.0</v>
      </c>
      <c r="F123" s="14">
        <v>0.005660452</v>
      </c>
      <c r="G123" s="15">
        <v>99.0</v>
      </c>
      <c r="H123" s="15">
        <v>95.0</v>
      </c>
      <c r="I123" s="15">
        <v>113.0</v>
      </c>
      <c r="J123" s="15">
        <v>91.0</v>
      </c>
      <c r="K123" s="15">
        <v>106.0</v>
      </c>
      <c r="L123" s="15">
        <v>105.0</v>
      </c>
      <c r="M123" s="16">
        <v>108.0</v>
      </c>
      <c r="N123" s="16">
        <v>118.0</v>
      </c>
    </row>
    <row r="124">
      <c r="A124" s="10">
        <v>669257.0</v>
      </c>
      <c r="B124" s="11" t="s">
        <v>34</v>
      </c>
      <c r="C124" s="12">
        <v>2162.0</v>
      </c>
      <c r="D124" s="10">
        <v>1001.0</v>
      </c>
      <c r="E124" s="13">
        <v>360.0</v>
      </c>
      <c r="F124" s="14">
        <v>-0.021658906</v>
      </c>
      <c r="G124" s="15">
        <v>101.0</v>
      </c>
      <c r="H124" s="15">
        <v>103.0</v>
      </c>
      <c r="I124" s="15">
        <v>94.0</v>
      </c>
      <c r="J124" s="15">
        <v>104.0</v>
      </c>
      <c r="K124" s="15">
        <v>105.0</v>
      </c>
      <c r="L124" s="15">
        <v>103.0</v>
      </c>
      <c r="M124" s="16">
        <v>108.0</v>
      </c>
      <c r="N124" s="16">
        <v>107.0</v>
      </c>
    </row>
    <row r="125">
      <c r="A125" s="10">
        <v>657041.0</v>
      </c>
      <c r="B125" s="11" t="s">
        <v>367</v>
      </c>
      <c r="C125" s="12">
        <v>1996.0</v>
      </c>
      <c r="D125" s="10">
        <v>863.0</v>
      </c>
      <c r="E125" s="13">
        <v>321.0</v>
      </c>
      <c r="F125" s="14">
        <v>-0.055438647</v>
      </c>
      <c r="G125" s="15">
        <v>106.0</v>
      </c>
      <c r="H125" s="15">
        <v>112.0</v>
      </c>
      <c r="I125" s="15">
        <v>82.0</v>
      </c>
      <c r="J125" s="15">
        <v>118.0</v>
      </c>
      <c r="K125" s="15">
        <v>91.0</v>
      </c>
      <c r="L125" s="15">
        <v>106.0</v>
      </c>
      <c r="M125" s="16">
        <v>107.0</v>
      </c>
      <c r="N125" s="16">
        <v>108.0</v>
      </c>
    </row>
    <row r="126">
      <c r="A126" s="10">
        <v>673490.0</v>
      </c>
      <c r="B126" s="11" t="s">
        <v>457</v>
      </c>
      <c r="C126" s="12">
        <v>1953.0</v>
      </c>
      <c r="D126" s="10">
        <v>740.0</v>
      </c>
      <c r="E126" s="13">
        <v>328.0</v>
      </c>
      <c r="F126" s="14">
        <v>-0.121664347</v>
      </c>
      <c r="G126" s="15">
        <v>89.0</v>
      </c>
      <c r="H126" s="15">
        <v>119.0</v>
      </c>
      <c r="I126" s="15">
        <v>93.0</v>
      </c>
      <c r="J126" s="15">
        <v>121.0</v>
      </c>
      <c r="K126" s="15">
        <v>124.0</v>
      </c>
      <c r="L126" s="15">
        <v>86.0</v>
      </c>
      <c r="M126" s="16">
        <v>107.0</v>
      </c>
      <c r="N126" s="16">
        <v>108.0</v>
      </c>
    </row>
    <row r="127">
      <c r="A127" s="10">
        <v>621466.0</v>
      </c>
      <c r="B127" s="11" t="s">
        <v>458</v>
      </c>
      <c r="C127" s="12">
        <v>737.0</v>
      </c>
      <c r="D127" s="10">
        <v>305.0</v>
      </c>
      <c r="E127" s="13">
        <v>109.0</v>
      </c>
      <c r="F127" s="14">
        <v>-0.045826505</v>
      </c>
      <c r="G127" s="15">
        <v>130.0</v>
      </c>
      <c r="H127" s="15">
        <v>134.0</v>
      </c>
      <c r="I127" s="15">
        <v>107.0</v>
      </c>
      <c r="J127" s="15">
        <v>129.0</v>
      </c>
      <c r="K127" s="15">
        <v>91.0</v>
      </c>
      <c r="L127" s="15">
        <v>93.0</v>
      </c>
      <c r="M127" s="16">
        <v>107.0</v>
      </c>
      <c r="N127" s="16">
        <v>97.0</v>
      </c>
    </row>
    <row r="128">
      <c r="A128" s="10">
        <v>671277.0</v>
      </c>
      <c r="B128" s="11" t="s">
        <v>115</v>
      </c>
      <c r="C128" s="12">
        <v>1787.0</v>
      </c>
      <c r="D128" s="10">
        <v>918.0</v>
      </c>
      <c r="E128" s="13">
        <v>388.0</v>
      </c>
      <c r="F128" s="14">
        <v>0.055176007</v>
      </c>
      <c r="G128" s="15">
        <v>85.0</v>
      </c>
      <c r="H128" s="15">
        <v>79.0</v>
      </c>
      <c r="I128" s="15">
        <v>99.0</v>
      </c>
      <c r="J128" s="15">
        <v>81.0</v>
      </c>
      <c r="K128" s="15">
        <v>116.0</v>
      </c>
      <c r="L128" s="15">
        <v>106.0</v>
      </c>
      <c r="M128" s="16">
        <v>107.0</v>
      </c>
      <c r="N128" s="16">
        <v>104.0</v>
      </c>
    </row>
    <row r="129">
      <c r="A129" s="10">
        <v>669016.0</v>
      </c>
      <c r="B129" s="11" t="s">
        <v>162</v>
      </c>
      <c r="C129" s="12">
        <v>1888.0</v>
      </c>
      <c r="D129" s="10">
        <v>786.0</v>
      </c>
      <c r="E129" s="13">
        <v>254.0</v>
      </c>
      <c r="F129" s="14">
        <v>-0.053555434</v>
      </c>
      <c r="G129" s="15">
        <v>94.0</v>
      </c>
      <c r="H129" s="15">
        <v>96.0</v>
      </c>
      <c r="I129" s="15">
        <v>74.0</v>
      </c>
      <c r="J129" s="15">
        <v>104.0</v>
      </c>
      <c r="K129" s="15">
        <v>84.0</v>
      </c>
      <c r="L129" s="15">
        <v>121.0</v>
      </c>
      <c r="M129" s="16">
        <v>107.0</v>
      </c>
      <c r="N129" s="16">
        <v>111.0</v>
      </c>
    </row>
    <row r="130">
      <c r="A130" s="10">
        <v>641487.0</v>
      </c>
      <c r="B130" s="11" t="s">
        <v>188</v>
      </c>
      <c r="C130" s="12">
        <v>1812.0</v>
      </c>
      <c r="D130" s="10">
        <v>738.0</v>
      </c>
      <c r="E130" s="13">
        <v>270.0</v>
      </c>
      <c r="F130" s="14">
        <v>-0.07102062</v>
      </c>
      <c r="G130" s="15">
        <v>109.0</v>
      </c>
      <c r="H130" s="15">
        <v>121.0</v>
      </c>
      <c r="I130" s="15">
        <v>107.0</v>
      </c>
      <c r="J130" s="15">
        <v>117.0</v>
      </c>
      <c r="K130" s="15">
        <v>98.0</v>
      </c>
      <c r="L130" s="15">
        <v>96.0</v>
      </c>
      <c r="M130" s="16">
        <v>107.0</v>
      </c>
      <c r="N130" s="16">
        <v>101.0</v>
      </c>
    </row>
    <row r="131">
      <c r="A131" s="10">
        <v>543510.0</v>
      </c>
      <c r="B131" s="11" t="s">
        <v>459</v>
      </c>
      <c r="C131" s="12">
        <v>819.0</v>
      </c>
      <c r="D131" s="10">
        <v>426.0</v>
      </c>
      <c r="E131" s="13">
        <v>153.0</v>
      </c>
      <c r="F131" s="14">
        <v>0.026800323</v>
      </c>
      <c r="G131" s="15">
        <v>92.0</v>
      </c>
      <c r="H131" s="15">
        <v>81.0</v>
      </c>
      <c r="I131" s="15">
        <v>91.0</v>
      </c>
      <c r="J131" s="15">
        <v>85.0</v>
      </c>
      <c r="K131" s="15">
        <v>106.0</v>
      </c>
      <c r="L131" s="15">
        <v>111.0</v>
      </c>
      <c r="M131" s="16">
        <v>107.0</v>
      </c>
      <c r="N131" s="16">
        <v>95.0</v>
      </c>
    </row>
    <row r="132">
      <c r="A132" s="10">
        <v>663624.0</v>
      </c>
      <c r="B132" s="11" t="s">
        <v>180</v>
      </c>
      <c r="C132" s="12">
        <v>1815.0</v>
      </c>
      <c r="D132" s="10">
        <v>1017.0</v>
      </c>
      <c r="E132" s="13">
        <v>348.0</v>
      </c>
      <c r="F132" s="14">
        <v>0.068070792</v>
      </c>
      <c r="G132" s="15">
        <v>98.0</v>
      </c>
      <c r="H132" s="15">
        <v>86.0</v>
      </c>
      <c r="I132" s="15">
        <v>125.0</v>
      </c>
      <c r="J132" s="15">
        <v>78.0</v>
      </c>
      <c r="K132" s="15">
        <v>104.0</v>
      </c>
      <c r="L132" s="15">
        <v>110.0</v>
      </c>
      <c r="M132" s="16">
        <v>107.0</v>
      </c>
      <c r="N132" s="16">
        <v>102.0</v>
      </c>
    </row>
    <row r="133">
      <c r="A133" s="10">
        <v>666971.0</v>
      </c>
      <c r="B133" s="11" t="s">
        <v>213</v>
      </c>
      <c r="C133" s="12">
        <v>1984.0</v>
      </c>
      <c r="D133" s="10">
        <v>1007.0</v>
      </c>
      <c r="E133" s="13">
        <v>393.0</v>
      </c>
      <c r="F133" s="14">
        <v>0.015314509</v>
      </c>
      <c r="G133" s="15">
        <v>97.0</v>
      </c>
      <c r="H133" s="15">
        <v>95.0</v>
      </c>
      <c r="I133" s="15">
        <v>113.0</v>
      </c>
      <c r="J133" s="15">
        <v>90.0</v>
      </c>
      <c r="K133" s="15">
        <v>113.0</v>
      </c>
      <c r="L133" s="15">
        <v>101.0</v>
      </c>
      <c r="M133" s="16">
        <v>107.0</v>
      </c>
      <c r="N133" s="16">
        <v>108.0</v>
      </c>
    </row>
    <row r="134">
      <c r="A134" s="10">
        <v>663728.0</v>
      </c>
      <c r="B134" s="11" t="s">
        <v>79</v>
      </c>
      <c r="C134" s="12">
        <v>2398.0</v>
      </c>
      <c r="D134" s="10">
        <v>1241.0</v>
      </c>
      <c r="E134" s="13">
        <v>352.0</v>
      </c>
      <c r="F134" s="14">
        <v>0.038451181</v>
      </c>
      <c r="G134" s="15">
        <v>101.0</v>
      </c>
      <c r="H134" s="15">
        <v>89.0</v>
      </c>
      <c r="I134" s="15">
        <v>96.0</v>
      </c>
      <c r="J134" s="15">
        <v>91.0</v>
      </c>
      <c r="K134" s="15">
        <v>88.0</v>
      </c>
      <c r="L134" s="15">
        <v>122.0</v>
      </c>
      <c r="M134" s="16">
        <v>107.0</v>
      </c>
      <c r="N134" s="16">
        <v>100.0</v>
      </c>
    </row>
    <row r="135">
      <c r="A135" s="10">
        <v>621566.0</v>
      </c>
      <c r="B135" s="11" t="s">
        <v>52</v>
      </c>
      <c r="C135" s="12">
        <v>2779.0</v>
      </c>
      <c r="D135" s="10">
        <v>1384.0</v>
      </c>
      <c r="E135" s="13">
        <v>410.0</v>
      </c>
      <c r="F135" s="14">
        <v>0.025673735</v>
      </c>
      <c r="G135" s="15">
        <v>106.0</v>
      </c>
      <c r="H135" s="15">
        <v>93.0</v>
      </c>
      <c r="I135" s="15">
        <v>107.0</v>
      </c>
      <c r="J135" s="15">
        <v>91.0</v>
      </c>
      <c r="K135" s="15">
        <v>91.0</v>
      </c>
      <c r="L135" s="15">
        <v>117.0</v>
      </c>
      <c r="M135" s="16">
        <v>107.0</v>
      </c>
      <c r="N135" s="16">
        <v>105.0</v>
      </c>
    </row>
    <row r="136">
      <c r="A136" s="10">
        <v>683737.0</v>
      </c>
      <c r="B136" s="11" t="s">
        <v>26</v>
      </c>
      <c r="C136" s="12">
        <v>2249.0</v>
      </c>
      <c r="D136" s="10">
        <v>1026.0</v>
      </c>
      <c r="E136" s="13">
        <v>326.0</v>
      </c>
      <c r="F136" s="14">
        <v>-0.016443993</v>
      </c>
      <c r="G136" s="15">
        <v>116.0</v>
      </c>
      <c r="H136" s="15">
        <v>106.0</v>
      </c>
      <c r="I136" s="15">
        <v>90.0</v>
      </c>
      <c r="J136" s="15">
        <v>108.0</v>
      </c>
      <c r="K136" s="15">
        <v>83.0</v>
      </c>
      <c r="L136" s="15">
        <v>115.0</v>
      </c>
      <c r="M136" s="16">
        <v>107.0</v>
      </c>
      <c r="N136" s="16">
        <v>113.0</v>
      </c>
    </row>
    <row r="137">
      <c r="A137" s="10">
        <v>518735.0</v>
      </c>
      <c r="B137" s="11" t="s">
        <v>460</v>
      </c>
      <c r="C137" s="12">
        <v>924.0</v>
      </c>
      <c r="D137" s="10">
        <v>379.0</v>
      </c>
      <c r="E137" s="13">
        <v>167.0</v>
      </c>
      <c r="F137" s="14">
        <v>-0.071641254</v>
      </c>
      <c r="G137" s="15">
        <v>68.0</v>
      </c>
      <c r="H137" s="15">
        <v>99.0</v>
      </c>
      <c r="I137" s="15">
        <v>86.0</v>
      </c>
      <c r="J137" s="15">
        <v>104.0</v>
      </c>
      <c r="K137" s="15">
        <v>112.0</v>
      </c>
      <c r="L137" s="15">
        <v>101.0</v>
      </c>
      <c r="M137" s="16">
        <v>107.0</v>
      </c>
      <c r="N137" s="16">
        <v>100.0</v>
      </c>
    </row>
    <row r="138">
      <c r="A138" s="10">
        <v>686469.0</v>
      </c>
      <c r="B138" s="11" t="s">
        <v>123</v>
      </c>
      <c r="C138" s="12">
        <v>2100.0</v>
      </c>
      <c r="D138" s="10">
        <v>1007.0</v>
      </c>
      <c r="E138" s="13">
        <v>433.0</v>
      </c>
      <c r="F138" s="14">
        <v>0.018558033</v>
      </c>
      <c r="G138" s="15">
        <v>85.0</v>
      </c>
      <c r="H138" s="15">
        <v>87.0</v>
      </c>
      <c r="I138" s="15">
        <v>98.0</v>
      </c>
      <c r="J138" s="15">
        <v>88.0</v>
      </c>
      <c r="K138" s="15">
        <v>128.0</v>
      </c>
      <c r="L138" s="15">
        <v>97.0</v>
      </c>
      <c r="M138" s="16">
        <v>107.0</v>
      </c>
      <c r="N138" s="16">
        <v>103.0</v>
      </c>
    </row>
    <row r="139">
      <c r="A139" s="10">
        <v>669224.0</v>
      </c>
      <c r="B139" s="11" t="s">
        <v>212</v>
      </c>
      <c r="C139" s="12">
        <v>1520.0</v>
      </c>
      <c r="D139" s="10">
        <v>757.0</v>
      </c>
      <c r="E139" s="13">
        <v>256.0</v>
      </c>
      <c r="F139" s="14">
        <v>0.023417747</v>
      </c>
      <c r="G139" s="15">
        <v>116.0</v>
      </c>
      <c r="H139" s="15">
        <v>105.0</v>
      </c>
      <c r="I139" s="15">
        <v>112.0</v>
      </c>
      <c r="J139" s="15">
        <v>100.0</v>
      </c>
      <c r="K139" s="15">
        <v>98.0</v>
      </c>
      <c r="L139" s="15">
        <v>104.0</v>
      </c>
      <c r="M139" s="16">
        <v>107.0</v>
      </c>
      <c r="N139" s="16">
        <v>102.0</v>
      </c>
    </row>
    <row r="140">
      <c r="A140" s="10">
        <v>663837.0</v>
      </c>
      <c r="B140" s="11" t="s">
        <v>461</v>
      </c>
      <c r="C140" s="12">
        <v>2175.0</v>
      </c>
      <c r="D140" s="10">
        <v>936.0</v>
      </c>
      <c r="E140" s="13">
        <v>385.0</v>
      </c>
      <c r="F140" s="14">
        <v>-0.077982923</v>
      </c>
      <c r="G140" s="15">
        <v>100.0</v>
      </c>
      <c r="H140" s="15">
        <v>108.0</v>
      </c>
      <c r="I140" s="15">
        <v>81.0</v>
      </c>
      <c r="J140" s="15">
        <v>115.0</v>
      </c>
      <c r="K140" s="15">
        <v>113.0</v>
      </c>
      <c r="L140" s="15">
        <v>96.0</v>
      </c>
      <c r="M140" s="16">
        <v>107.0</v>
      </c>
      <c r="N140" s="16">
        <v>110.0</v>
      </c>
    </row>
    <row r="141">
      <c r="A141" s="10">
        <v>663993.0</v>
      </c>
      <c r="B141" s="11" t="s">
        <v>232</v>
      </c>
      <c r="C141" s="12">
        <v>2193.0</v>
      </c>
      <c r="D141" s="10">
        <v>936.0</v>
      </c>
      <c r="E141" s="13">
        <v>340.0</v>
      </c>
      <c r="F141" s="14">
        <v>-0.048058822</v>
      </c>
      <c r="G141" s="15">
        <v>103.0</v>
      </c>
      <c r="H141" s="15">
        <v>110.0</v>
      </c>
      <c r="I141" s="15">
        <v>94.0</v>
      </c>
      <c r="J141" s="15">
        <v>112.0</v>
      </c>
      <c r="K141" s="15">
        <v>99.0</v>
      </c>
      <c r="L141" s="15">
        <v>101.0</v>
      </c>
      <c r="M141" s="16">
        <v>106.0</v>
      </c>
      <c r="N141" s="16">
        <v>108.0</v>
      </c>
    </row>
    <row r="142">
      <c r="A142" s="10">
        <v>647304.0</v>
      </c>
      <c r="B142" s="11" t="s">
        <v>177</v>
      </c>
      <c r="C142" s="12">
        <v>2173.0</v>
      </c>
      <c r="D142" s="10">
        <v>1098.0</v>
      </c>
      <c r="E142" s="13">
        <v>443.0</v>
      </c>
      <c r="F142" s="14">
        <v>0.082952587</v>
      </c>
      <c r="G142" s="15">
        <v>106.0</v>
      </c>
      <c r="H142" s="15">
        <v>85.0</v>
      </c>
      <c r="I142" s="15">
        <v>110.0</v>
      </c>
      <c r="J142" s="15">
        <v>84.0</v>
      </c>
      <c r="K142" s="15">
        <v>107.0</v>
      </c>
      <c r="L142" s="15">
        <v>108.0</v>
      </c>
      <c r="M142" s="16">
        <v>106.0</v>
      </c>
      <c r="N142" s="16">
        <v>105.0</v>
      </c>
    </row>
    <row r="143">
      <c r="A143" s="10">
        <v>608348.0</v>
      </c>
      <c r="B143" s="11" t="s">
        <v>71</v>
      </c>
      <c r="C143" s="12">
        <v>1110.0</v>
      </c>
      <c r="D143" s="10">
        <v>504.0</v>
      </c>
      <c r="E143" s="13">
        <v>215.0</v>
      </c>
      <c r="F143" s="14">
        <v>-0.029589891</v>
      </c>
      <c r="G143" s="15">
        <v>111.0</v>
      </c>
      <c r="H143" s="15">
        <v>119.0</v>
      </c>
      <c r="I143" s="15">
        <v>107.0</v>
      </c>
      <c r="J143" s="15">
        <v>115.0</v>
      </c>
      <c r="K143" s="15">
        <v>109.0</v>
      </c>
      <c r="L143" s="15">
        <v>92.0</v>
      </c>
      <c r="M143" s="16">
        <v>106.0</v>
      </c>
      <c r="N143" s="16">
        <v>102.0</v>
      </c>
    </row>
    <row r="144">
      <c r="A144" s="10">
        <v>668904.0</v>
      </c>
      <c r="B144" s="11" t="s">
        <v>154</v>
      </c>
      <c r="C144" s="12">
        <v>1097.0</v>
      </c>
      <c r="D144" s="10">
        <v>581.0</v>
      </c>
      <c r="E144" s="13">
        <v>197.0</v>
      </c>
      <c r="F144" s="14">
        <v>0.055967178</v>
      </c>
      <c r="G144" s="15">
        <v>103.0</v>
      </c>
      <c r="H144" s="15">
        <v>89.0</v>
      </c>
      <c r="I144" s="15">
        <v>118.0</v>
      </c>
      <c r="J144" s="15">
        <v>84.0</v>
      </c>
      <c r="K144" s="15">
        <v>98.0</v>
      </c>
      <c r="L144" s="15">
        <v>111.0</v>
      </c>
      <c r="M144" s="16">
        <v>106.0</v>
      </c>
      <c r="N144" s="16">
        <v>112.0</v>
      </c>
    </row>
    <row r="145">
      <c r="A145" s="10">
        <v>671739.0</v>
      </c>
      <c r="B145" s="11" t="s">
        <v>322</v>
      </c>
      <c r="C145" s="12">
        <v>1546.0</v>
      </c>
      <c r="D145" s="10">
        <v>854.0</v>
      </c>
      <c r="E145" s="13">
        <v>320.0</v>
      </c>
      <c r="F145" s="14">
        <v>0.076413681</v>
      </c>
      <c r="G145" s="15">
        <v>78.0</v>
      </c>
      <c r="H145" s="15">
        <v>75.0</v>
      </c>
      <c r="I145" s="15">
        <v>118.0</v>
      </c>
      <c r="J145" s="15">
        <v>69.0</v>
      </c>
      <c r="K145" s="15">
        <v>107.0</v>
      </c>
      <c r="L145" s="15">
        <v>111.0</v>
      </c>
      <c r="M145" s="16">
        <v>106.0</v>
      </c>
      <c r="N145" s="16">
        <v>98.0</v>
      </c>
    </row>
    <row r="146">
      <c r="A146" s="10">
        <v>694192.0</v>
      </c>
      <c r="B146" s="11" t="s">
        <v>245</v>
      </c>
      <c r="C146" s="12">
        <v>1977.0</v>
      </c>
      <c r="D146" s="10">
        <v>969.0</v>
      </c>
      <c r="E146" s="13">
        <v>388.0</v>
      </c>
      <c r="F146" s="14">
        <v>0.007085101</v>
      </c>
      <c r="G146" s="15">
        <v>88.0</v>
      </c>
      <c r="H146" s="15">
        <v>91.0</v>
      </c>
      <c r="I146" s="15">
        <v>102.0</v>
      </c>
      <c r="J146" s="15">
        <v>91.0</v>
      </c>
      <c r="K146" s="15">
        <v>104.0</v>
      </c>
      <c r="L146" s="15">
        <v>106.0</v>
      </c>
      <c r="M146" s="16">
        <v>106.0</v>
      </c>
      <c r="N146" s="16">
        <v>112.0</v>
      </c>
    </row>
    <row r="147">
      <c r="A147" s="10">
        <v>680700.0</v>
      </c>
      <c r="B147" s="11" t="s">
        <v>462</v>
      </c>
      <c r="C147" s="12">
        <v>1172.0</v>
      </c>
      <c r="D147" s="10">
        <v>545.0</v>
      </c>
      <c r="E147" s="13">
        <v>184.0</v>
      </c>
      <c r="F147" s="14">
        <v>-0.007724891</v>
      </c>
      <c r="G147" s="15">
        <v>124.0</v>
      </c>
      <c r="H147" s="15">
        <v>120.0</v>
      </c>
      <c r="I147" s="15">
        <v>110.0</v>
      </c>
      <c r="J147" s="15">
        <v>115.0</v>
      </c>
      <c r="K147" s="15">
        <v>96.0</v>
      </c>
      <c r="L147" s="15">
        <v>97.0</v>
      </c>
      <c r="M147" s="16">
        <v>106.0</v>
      </c>
      <c r="N147" s="16">
        <v>99.0</v>
      </c>
    </row>
    <row r="148">
      <c r="A148" s="10">
        <v>686611.0</v>
      </c>
      <c r="B148" s="11" t="s">
        <v>151</v>
      </c>
      <c r="C148" s="12">
        <v>406.0</v>
      </c>
      <c r="D148" s="10">
        <v>173.0</v>
      </c>
      <c r="E148" s="13">
        <v>73.0</v>
      </c>
      <c r="F148" s="14">
        <v>-0.063836461</v>
      </c>
      <c r="G148" s="15">
        <v>83.0</v>
      </c>
      <c r="H148" s="15">
        <v>92.0</v>
      </c>
      <c r="I148" s="15">
        <v>71.0</v>
      </c>
      <c r="J148" s="15">
        <v>103.0</v>
      </c>
      <c r="K148" s="15">
        <v>112.0</v>
      </c>
      <c r="L148" s="15">
        <v>103.0</v>
      </c>
      <c r="M148" s="16">
        <v>106.0</v>
      </c>
      <c r="N148" s="16">
        <v>90.0</v>
      </c>
    </row>
    <row r="149">
      <c r="A149" s="10">
        <v>444482.0</v>
      </c>
      <c r="B149" s="11" t="s">
        <v>463</v>
      </c>
      <c r="C149" s="12">
        <v>942.0</v>
      </c>
      <c r="D149" s="10">
        <v>482.0</v>
      </c>
      <c r="E149" s="13">
        <v>171.0</v>
      </c>
      <c r="F149" s="14">
        <v>0.016132925</v>
      </c>
      <c r="G149" s="15">
        <v>97.0</v>
      </c>
      <c r="H149" s="15">
        <v>106.0</v>
      </c>
      <c r="I149" s="15">
        <v>105.0</v>
      </c>
      <c r="J149" s="15">
        <v>103.0</v>
      </c>
      <c r="K149" s="15">
        <v>106.0</v>
      </c>
      <c r="L149" s="15">
        <v>99.0</v>
      </c>
      <c r="M149" s="16">
        <v>106.0</v>
      </c>
      <c r="N149" s="16">
        <v>111.0</v>
      </c>
    </row>
    <row r="150">
      <c r="A150" s="10">
        <v>668709.0</v>
      </c>
      <c r="B150" s="11" t="s">
        <v>363</v>
      </c>
      <c r="C150" s="12">
        <v>2370.0</v>
      </c>
      <c r="D150" s="10">
        <v>1068.0</v>
      </c>
      <c r="E150" s="13">
        <v>425.0</v>
      </c>
      <c r="F150" s="14">
        <v>-0.003539161</v>
      </c>
      <c r="G150" s="15">
        <v>108.0</v>
      </c>
      <c r="H150" s="15">
        <v>111.0</v>
      </c>
      <c r="I150" s="15">
        <v>108.0</v>
      </c>
      <c r="J150" s="15">
        <v>107.0</v>
      </c>
      <c r="K150" s="15">
        <v>104.0</v>
      </c>
      <c r="L150" s="15">
        <v>98.0</v>
      </c>
      <c r="M150" s="16">
        <v>106.0</v>
      </c>
      <c r="N150" s="16">
        <v>109.0</v>
      </c>
    </row>
    <row r="151">
      <c r="A151" s="10">
        <v>681624.0</v>
      </c>
      <c r="B151" s="11" t="s">
        <v>125</v>
      </c>
      <c r="C151" s="12">
        <v>1634.0</v>
      </c>
      <c r="D151" s="10">
        <v>839.0</v>
      </c>
      <c r="E151" s="13">
        <v>288.0</v>
      </c>
      <c r="F151" s="14">
        <v>0.012645093</v>
      </c>
      <c r="G151" s="15">
        <v>111.0</v>
      </c>
      <c r="H151" s="15">
        <v>105.0</v>
      </c>
      <c r="I151" s="15">
        <v>113.0</v>
      </c>
      <c r="J151" s="15">
        <v>100.0</v>
      </c>
      <c r="K151" s="15">
        <v>98.0</v>
      </c>
      <c r="L151" s="15">
        <v>104.0</v>
      </c>
      <c r="M151" s="16">
        <v>106.0</v>
      </c>
      <c r="N151" s="16">
        <v>103.0</v>
      </c>
    </row>
    <row r="152">
      <c r="A152" s="10">
        <v>666624.0</v>
      </c>
      <c r="B152" s="11" t="s">
        <v>228</v>
      </c>
      <c r="C152" s="12">
        <v>2227.0</v>
      </c>
      <c r="D152" s="10">
        <v>1046.0</v>
      </c>
      <c r="E152" s="13">
        <v>362.0</v>
      </c>
      <c r="F152" s="14">
        <v>-0.027052586</v>
      </c>
      <c r="G152" s="15">
        <v>112.0</v>
      </c>
      <c r="H152" s="15">
        <v>110.0</v>
      </c>
      <c r="I152" s="15">
        <v>83.0</v>
      </c>
      <c r="J152" s="15">
        <v>115.0</v>
      </c>
      <c r="K152" s="15">
        <v>93.0</v>
      </c>
      <c r="L152" s="15">
        <v>104.0</v>
      </c>
      <c r="M152" s="16">
        <v>106.0</v>
      </c>
      <c r="N152" s="16">
        <v>93.0</v>
      </c>
    </row>
    <row r="153">
      <c r="A153" s="10">
        <v>518595.0</v>
      </c>
      <c r="B153" s="11" t="s">
        <v>223</v>
      </c>
      <c r="C153" s="12">
        <v>1270.0</v>
      </c>
      <c r="D153" s="10">
        <v>647.0</v>
      </c>
      <c r="E153" s="13">
        <v>212.0</v>
      </c>
      <c r="F153" s="14">
        <v>0.020968233</v>
      </c>
      <c r="G153" s="15">
        <v>120.0</v>
      </c>
      <c r="H153" s="15">
        <v>111.0</v>
      </c>
      <c r="I153" s="15">
        <v>109.0</v>
      </c>
      <c r="J153" s="15">
        <v>107.0</v>
      </c>
      <c r="K153" s="15">
        <v>87.0</v>
      </c>
      <c r="L153" s="15">
        <v>107.0</v>
      </c>
      <c r="M153" s="16">
        <v>105.0</v>
      </c>
      <c r="N153" s="16">
        <v>103.0</v>
      </c>
    </row>
    <row r="154">
      <c r="A154" s="10">
        <v>668227.0</v>
      </c>
      <c r="B154" s="11" t="s">
        <v>96</v>
      </c>
      <c r="C154" s="12">
        <v>2620.0</v>
      </c>
      <c r="D154" s="10">
        <v>1072.0</v>
      </c>
      <c r="E154" s="13">
        <v>366.0</v>
      </c>
      <c r="F154" s="14">
        <v>-0.063616297</v>
      </c>
      <c r="G154" s="15">
        <v>94.0</v>
      </c>
      <c r="H154" s="15">
        <v>109.0</v>
      </c>
      <c r="I154" s="15">
        <v>87.0</v>
      </c>
      <c r="J154" s="15">
        <v>112.0</v>
      </c>
      <c r="K154" s="15">
        <v>93.0</v>
      </c>
      <c r="L154" s="15">
        <v>104.0</v>
      </c>
      <c r="M154" s="16">
        <v>105.0</v>
      </c>
      <c r="N154" s="16">
        <v>109.0</v>
      </c>
    </row>
    <row r="155">
      <c r="A155" s="10">
        <v>592663.0</v>
      </c>
      <c r="B155" s="11" t="s">
        <v>193</v>
      </c>
      <c r="C155" s="12">
        <v>1451.0</v>
      </c>
      <c r="D155" s="10">
        <v>739.0</v>
      </c>
      <c r="E155" s="13">
        <v>262.0</v>
      </c>
      <c r="F155" s="14">
        <v>0.012699778</v>
      </c>
      <c r="G155" s="15">
        <v>95.0</v>
      </c>
      <c r="H155" s="15">
        <v>89.0</v>
      </c>
      <c r="I155" s="15">
        <v>99.0</v>
      </c>
      <c r="J155" s="15">
        <v>90.0</v>
      </c>
      <c r="K155" s="15">
        <v>96.0</v>
      </c>
      <c r="L155" s="15">
        <v>112.0</v>
      </c>
      <c r="M155" s="16">
        <v>105.0</v>
      </c>
      <c r="N155" s="16">
        <v>111.0</v>
      </c>
    </row>
    <row r="156">
      <c r="A156" s="10">
        <v>676475.0</v>
      </c>
      <c r="B156" s="11" t="s">
        <v>110</v>
      </c>
      <c r="C156" s="12">
        <v>2005.0</v>
      </c>
      <c r="D156" s="10">
        <v>1116.0</v>
      </c>
      <c r="E156" s="13">
        <v>451.0</v>
      </c>
      <c r="F156" s="14">
        <v>0.125047807</v>
      </c>
      <c r="G156" s="15">
        <v>101.0</v>
      </c>
      <c r="H156" s="15">
        <v>82.0</v>
      </c>
      <c r="I156" s="15">
        <v>126.0</v>
      </c>
      <c r="J156" s="15">
        <v>73.0</v>
      </c>
      <c r="K156" s="15">
        <v>117.0</v>
      </c>
      <c r="L156" s="15">
        <v>102.0</v>
      </c>
      <c r="M156" s="16">
        <v>105.0</v>
      </c>
      <c r="N156" s="16">
        <v>99.0</v>
      </c>
    </row>
    <row r="157">
      <c r="A157" s="10">
        <v>678877.0</v>
      </c>
      <c r="B157" s="11" t="s">
        <v>384</v>
      </c>
      <c r="C157" s="12">
        <v>681.0</v>
      </c>
      <c r="D157" s="10">
        <v>366.0</v>
      </c>
      <c r="E157" s="13">
        <v>109.0</v>
      </c>
      <c r="F157" s="14">
        <v>0.08111322</v>
      </c>
      <c r="G157" s="15">
        <v>57.0</v>
      </c>
      <c r="H157" s="15">
        <v>66.0</v>
      </c>
      <c r="I157" s="15">
        <v>94.0</v>
      </c>
      <c r="J157" s="15">
        <v>72.0</v>
      </c>
      <c r="K157" s="15">
        <v>97.0</v>
      </c>
      <c r="L157" s="15">
        <v>125.0</v>
      </c>
      <c r="M157" s="16">
        <v>105.0</v>
      </c>
      <c r="N157" s="16">
        <v>115.0</v>
      </c>
    </row>
    <row r="158">
      <c r="A158" s="10">
        <v>669221.0</v>
      </c>
      <c r="B158" s="11" t="s">
        <v>92</v>
      </c>
      <c r="C158" s="12">
        <v>999.0</v>
      </c>
      <c r="D158" s="10">
        <v>457.0</v>
      </c>
      <c r="E158" s="13">
        <v>159.0</v>
      </c>
      <c r="F158" s="14">
        <v>-0.04732347</v>
      </c>
      <c r="G158" s="15">
        <v>86.0</v>
      </c>
      <c r="H158" s="15">
        <v>95.0</v>
      </c>
      <c r="I158" s="15">
        <v>84.0</v>
      </c>
      <c r="J158" s="15">
        <v>101.0</v>
      </c>
      <c r="K158" s="15">
        <v>97.0</v>
      </c>
      <c r="L158" s="15">
        <v>109.0</v>
      </c>
      <c r="M158" s="16">
        <v>105.0</v>
      </c>
      <c r="N158" s="16">
        <v>92.0</v>
      </c>
    </row>
    <row r="159">
      <c r="A159" s="10">
        <v>669304.0</v>
      </c>
      <c r="B159" s="11" t="s">
        <v>464</v>
      </c>
      <c r="C159" s="12">
        <v>1516.0</v>
      </c>
      <c r="D159" s="10">
        <v>794.0</v>
      </c>
      <c r="E159" s="13">
        <v>336.0</v>
      </c>
      <c r="F159" s="14">
        <v>0.060078929</v>
      </c>
      <c r="G159" s="15">
        <v>97.0</v>
      </c>
      <c r="H159" s="15">
        <v>87.0</v>
      </c>
      <c r="I159" s="15">
        <v>113.0</v>
      </c>
      <c r="J159" s="15">
        <v>84.0</v>
      </c>
      <c r="K159" s="15">
        <v>116.0</v>
      </c>
      <c r="L159" s="15">
        <v>101.0</v>
      </c>
      <c r="M159" s="16">
        <v>105.0</v>
      </c>
      <c r="N159" s="16">
        <v>113.0</v>
      </c>
    </row>
    <row r="160">
      <c r="A160" s="10">
        <v>596142.0</v>
      </c>
      <c r="B160" s="11" t="s">
        <v>143</v>
      </c>
      <c r="C160" s="12">
        <v>1032.0</v>
      </c>
      <c r="D160" s="10">
        <v>423.0</v>
      </c>
      <c r="E160" s="13">
        <v>155.0</v>
      </c>
      <c r="F160" s="14">
        <v>-0.079932499</v>
      </c>
      <c r="G160" s="15">
        <v>73.0</v>
      </c>
      <c r="H160" s="15">
        <v>95.0</v>
      </c>
      <c r="I160" s="15">
        <v>78.0</v>
      </c>
      <c r="J160" s="15">
        <v>102.0</v>
      </c>
      <c r="K160" s="15">
        <v>102.0</v>
      </c>
      <c r="L160" s="15">
        <v>106.0</v>
      </c>
      <c r="M160" s="16">
        <v>105.0</v>
      </c>
      <c r="N160" s="16">
        <v>100.0</v>
      </c>
    </row>
    <row r="161">
      <c r="A161" s="10">
        <v>670623.0</v>
      </c>
      <c r="B161" s="11" t="s">
        <v>133</v>
      </c>
      <c r="C161" s="12">
        <v>2691.0</v>
      </c>
      <c r="D161" s="10">
        <v>1202.0</v>
      </c>
      <c r="E161" s="13">
        <v>420.0</v>
      </c>
      <c r="F161" s="14">
        <v>-0.031394389</v>
      </c>
      <c r="G161" s="15">
        <v>103.0</v>
      </c>
      <c r="H161" s="15">
        <v>115.0</v>
      </c>
      <c r="I161" s="15">
        <v>114.0</v>
      </c>
      <c r="J161" s="15">
        <v>109.0</v>
      </c>
      <c r="K161" s="15">
        <v>118.0</v>
      </c>
      <c r="L161" s="15">
        <v>85.0</v>
      </c>
      <c r="M161" s="16">
        <v>105.0</v>
      </c>
      <c r="N161" s="16">
        <v>110.0</v>
      </c>
    </row>
    <row r="162">
      <c r="A162" s="10">
        <v>621020.0</v>
      </c>
      <c r="B162" s="11" t="s">
        <v>98</v>
      </c>
      <c r="C162" s="12">
        <v>2260.0</v>
      </c>
      <c r="D162" s="10">
        <v>1098.0</v>
      </c>
      <c r="E162" s="13">
        <v>373.0</v>
      </c>
      <c r="F162" s="14">
        <v>-0.02676389</v>
      </c>
      <c r="G162" s="15">
        <v>121.0</v>
      </c>
      <c r="H162" s="15">
        <v>123.0</v>
      </c>
      <c r="I162" s="15">
        <v>110.0</v>
      </c>
      <c r="J162" s="15">
        <v>119.0</v>
      </c>
      <c r="K162" s="15">
        <v>86.0</v>
      </c>
      <c r="L162" s="15">
        <v>101.0</v>
      </c>
      <c r="M162" s="16">
        <v>105.0</v>
      </c>
      <c r="N162" s="16">
        <v>104.0</v>
      </c>
    </row>
    <row r="163">
      <c r="A163" s="10">
        <v>672640.0</v>
      </c>
      <c r="B163" s="11" t="s">
        <v>73</v>
      </c>
      <c r="C163" s="12">
        <v>1446.0</v>
      </c>
      <c r="D163" s="10">
        <v>747.0</v>
      </c>
      <c r="E163" s="13">
        <v>311.0</v>
      </c>
      <c r="F163" s="14">
        <v>0.030809315</v>
      </c>
      <c r="G163" s="15">
        <v>95.0</v>
      </c>
      <c r="H163" s="15">
        <v>104.0</v>
      </c>
      <c r="I163" s="15">
        <v>117.0</v>
      </c>
      <c r="J163" s="15">
        <v>98.0</v>
      </c>
      <c r="K163" s="15">
        <v>113.0</v>
      </c>
      <c r="L163" s="15">
        <v>95.0</v>
      </c>
      <c r="M163" s="16">
        <v>105.0</v>
      </c>
      <c r="N163" s="16">
        <v>100.0</v>
      </c>
    </row>
    <row r="164">
      <c r="A164" s="10">
        <v>592206.0</v>
      </c>
      <c r="B164" s="11" t="s">
        <v>166</v>
      </c>
      <c r="C164" s="12">
        <v>2176.0</v>
      </c>
      <c r="D164" s="10">
        <v>1263.0</v>
      </c>
      <c r="E164" s="13">
        <v>437.0</v>
      </c>
      <c r="F164" s="14">
        <v>0.085728899</v>
      </c>
      <c r="G164" s="15">
        <v>108.0</v>
      </c>
      <c r="H164" s="15">
        <v>92.0</v>
      </c>
      <c r="I164" s="15">
        <v>107.0</v>
      </c>
      <c r="J164" s="15">
        <v>90.0</v>
      </c>
      <c r="K164" s="15">
        <v>106.0</v>
      </c>
      <c r="L164" s="15">
        <v>103.0</v>
      </c>
      <c r="M164" s="16">
        <v>105.0</v>
      </c>
      <c r="N164" s="16">
        <v>102.0</v>
      </c>
    </row>
    <row r="165">
      <c r="A165" s="10">
        <v>608070.0</v>
      </c>
      <c r="B165" s="11" t="s">
        <v>171</v>
      </c>
      <c r="C165" s="12">
        <v>2609.0</v>
      </c>
      <c r="D165" s="10">
        <v>1290.0</v>
      </c>
      <c r="E165" s="13">
        <v>522.0</v>
      </c>
      <c r="F165" s="14">
        <v>0.026933745</v>
      </c>
      <c r="G165" s="15">
        <v>92.0</v>
      </c>
      <c r="H165" s="15">
        <v>91.0</v>
      </c>
      <c r="I165" s="15">
        <v>114.0</v>
      </c>
      <c r="J165" s="15">
        <v>87.0</v>
      </c>
      <c r="K165" s="15">
        <v>121.0</v>
      </c>
      <c r="L165" s="15">
        <v>96.0</v>
      </c>
      <c r="M165" s="16">
        <v>105.0</v>
      </c>
      <c r="N165" s="16">
        <v>118.0</v>
      </c>
    </row>
    <row r="166">
      <c r="A166" s="10">
        <v>456781.0</v>
      </c>
      <c r="B166" s="11" t="s">
        <v>270</v>
      </c>
      <c r="C166" s="12">
        <v>1196.0</v>
      </c>
      <c r="D166" s="10">
        <v>566.0</v>
      </c>
      <c r="E166" s="13">
        <v>208.0</v>
      </c>
      <c r="F166" s="14">
        <v>-0.021771711</v>
      </c>
      <c r="G166" s="15">
        <v>84.0</v>
      </c>
      <c r="H166" s="15">
        <v>103.0</v>
      </c>
      <c r="I166" s="15">
        <v>110.0</v>
      </c>
      <c r="J166" s="15">
        <v>99.0</v>
      </c>
      <c r="K166" s="15">
        <v>103.0</v>
      </c>
      <c r="L166" s="15">
        <v>101.0</v>
      </c>
      <c r="M166" s="16">
        <v>105.0</v>
      </c>
      <c r="N166" s="16">
        <v>111.0</v>
      </c>
    </row>
    <row r="167">
      <c r="A167" s="10">
        <v>807799.0</v>
      </c>
      <c r="B167" s="11" t="s">
        <v>465</v>
      </c>
      <c r="C167" s="12">
        <v>1507.0</v>
      </c>
      <c r="D167" s="10">
        <v>675.0</v>
      </c>
      <c r="E167" s="13">
        <v>308.0</v>
      </c>
      <c r="F167" s="14">
        <v>-0.01051657</v>
      </c>
      <c r="G167" s="15">
        <v>99.0</v>
      </c>
      <c r="H167" s="15">
        <v>99.0</v>
      </c>
      <c r="I167" s="15">
        <v>106.0</v>
      </c>
      <c r="J167" s="15">
        <v>97.0</v>
      </c>
      <c r="K167" s="15">
        <v>119.0</v>
      </c>
      <c r="L167" s="15">
        <v>95.0</v>
      </c>
      <c r="M167" s="16">
        <v>105.0</v>
      </c>
      <c r="N167" s="16">
        <v>114.0</v>
      </c>
    </row>
    <row r="168">
      <c r="A168" s="10">
        <v>672275.0</v>
      </c>
      <c r="B168" s="11" t="s">
        <v>348</v>
      </c>
      <c r="C168" s="12">
        <v>1679.0</v>
      </c>
      <c r="D168" s="10">
        <v>814.0</v>
      </c>
      <c r="E168" s="13">
        <v>292.0</v>
      </c>
      <c r="F168" s="14">
        <v>-0.001940069</v>
      </c>
      <c r="G168" s="15">
        <v>117.0</v>
      </c>
      <c r="H168" s="15">
        <v>101.0</v>
      </c>
      <c r="I168" s="15">
        <v>98.0</v>
      </c>
      <c r="J168" s="15">
        <v>101.0</v>
      </c>
      <c r="K168" s="15">
        <v>105.0</v>
      </c>
      <c r="L168" s="15">
        <v>101.0</v>
      </c>
      <c r="M168" s="16">
        <v>104.0</v>
      </c>
      <c r="N168" s="16">
        <v>90.0</v>
      </c>
    </row>
    <row r="169">
      <c r="A169" s="10">
        <v>668939.0</v>
      </c>
      <c r="B169" s="11" t="s">
        <v>90</v>
      </c>
      <c r="C169" s="12">
        <v>2458.0</v>
      </c>
      <c r="D169" s="10">
        <v>1082.0</v>
      </c>
      <c r="E169" s="13">
        <v>447.0</v>
      </c>
      <c r="F169" s="14">
        <v>-0.043513379</v>
      </c>
      <c r="G169" s="15">
        <v>75.0</v>
      </c>
      <c r="H169" s="15">
        <v>92.0</v>
      </c>
      <c r="I169" s="15">
        <v>88.0</v>
      </c>
      <c r="J169" s="15">
        <v>96.0</v>
      </c>
      <c r="K169" s="15">
        <v>124.0</v>
      </c>
      <c r="L169" s="15">
        <v>95.0</v>
      </c>
      <c r="M169" s="16">
        <v>104.0</v>
      </c>
      <c r="N169" s="16">
        <v>102.0</v>
      </c>
    </row>
    <row r="170">
      <c r="A170" s="10">
        <v>666135.0</v>
      </c>
      <c r="B170" s="11" t="s">
        <v>466</v>
      </c>
      <c r="C170" s="12">
        <v>669.0</v>
      </c>
      <c r="D170" s="10">
        <v>329.0</v>
      </c>
      <c r="E170" s="13">
        <v>115.0</v>
      </c>
      <c r="F170" s="14">
        <v>0.012887538</v>
      </c>
      <c r="G170" s="15">
        <v>99.0</v>
      </c>
      <c r="H170" s="15">
        <v>106.0</v>
      </c>
      <c r="I170" s="15">
        <v>113.0</v>
      </c>
      <c r="J170" s="15">
        <v>101.0</v>
      </c>
      <c r="K170" s="15">
        <v>93.0</v>
      </c>
      <c r="L170" s="15">
        <v>105.0</v>
      </c>
      <c r="M170" s="16">
        <v>104.0</v>
      </c>
      <c r="N170" s="16">
        <v>93.0</v>
      </c>
    </row>
    <row r="171">
      <c r="A171" s="10">
        <v>686668.0</v>
      </c>
      <c r="B171" s="11" t="s">
        <v>282</v>
      </c>
      <c r="C171" s="12">
        <v>2107.0</v>
      </c>
      <c r="D171" s="10">
        <v>1083.0</v>
      </c>
      <c r="E171" s="13">
        <v>390.0</v>
      </c>
      <c r="F171" s="14">
        <v>0.038177376</v>
      </c>
      <c r="G171" s="15">
        <v>113.0</v>
      </c>
      <c r="H171" s="15">
        <v>98.0</v>
      </c>
      <c r="I171" s="15">
        <v>105.0</v>
      </c>
      <c r="J171" s="15">
        <v>97.0</v>
      </c>
      <c r="K171" s="15">
        <v>91.0</v>
      </c>
      <c r="L171" s="15">
        <v>109.0</v>
      </c>
      <c r="M171" s="16">
        <v>104.0</v>
      </c>
      <c r="N171" s="16">
        <v>104.0</v>
      </c>
    </row>
    <row r="172">
      <c r="A172" s="10">
        <v>669357.0</v>
      </c>
      <c r="B172" s="11" t="s">
        <v>174</v>
      </c>
      <c r="C172" s="12">
        <v>1573.0</v>
      </c>
      <c r="D172" s="10">
        <v>802.0</v>
      </c>
      <c r="E172" s="13">
        <v>211.0</v>
      </c>
      <c r="F172" s="14">
        <v>0.025507223</v>
      </c>
      <c r="G172" s="15">
        <v>104.0</v>
      </c>
      <c r="H172" s="15">
        <v>97.0</v>
      </c>
      <c r="I172" s="15">
        <v>101.0</v>
      </c>
      <c r="J172" s="15">
        <v>96.0</v>
      </c>
      <c r="K172" s="15">
        <v>70.0</v>
      </c>
      <c r="L172" s="15">
        <v>130.0</v>
      </c>
      <c r="M172" s="16">
        <v>104.0</v>
      </c>
      <c r="N172" s="16">
        <v>96.0</v>
      </c>
    </row>
    <row r="173">
      <c r="A173" s="10">
        <v>681146.0</v>
      </c>
      <c r="B173" s="11" t="s">
        <v>356</v>
      </c>
      <c r="C173" s="12">
        <v>1012.0</v>
      </c>
      <c r="D173" s="10">
        <v>382.0</v>
      </c>
      <c r="E173" s="13">
        <v>158.0</v>
      </c>
      <c r="F173" s="14">
        <v>-0.123135435</v>
      </c>
      <c r="G173" s="15">
        <v>69.0</v>
      </c>
      <c r="H173" s="15">
        <v>109.0</v>
      </c>
      <c r="I173" s="15">
        <v>76.0</v>
      </c>
      <c r="J173" s="15">
        <v>118.0</v>
      </c>
      <c r="K173" s="15">
        <v>113.0</v>
      </c>
      <c r="L173" s="15">
        <v>92.0</v>
      </c>
      <c r="M173" s="16">
        <v>104.0</v>
      </c>
      <c r="N173" s="16">
        <v>113.0</v>
      </c>
    </row>
    <row r="174">
      <c r="A174" s="10">
        <v>664034.0</v>
      </c>
      <c r="B174" s="11" t="s">
        <v>97</v>
      </c>
      <c r="C174" s="12">
        <v>1948.0</v>
      </c>
      <c r="D174" s="10">
        <v>992.0</v>
      </c>
      <c r="E174" s="13">
        <v>355.0</v>
      </c>
      <c r="F174" s="14">
        <v>0.023627069</v>
      </c>
      <c r="G174" s="15">
        <v>123.0</v>
      </c>
      <c r="H174" s="15">
        <v>109.0</v>
      </c>
      <c r="I174" s="15">
        <v>109.0</v>
      </c>
      <c r="J174" s="15">
        <v>105.0</v>
      </c>
      <c r="K174" s="15">
        <v>98.0</v>
      </c>
      <c r="L174" s="15">
        <v>100.0</v>
      </c>
      <c r="M174" s="16">
        <v>104.0</v>
      </c>
      <c r="N174" s="16">
        <v>102.0</v>
      </c>
    </row>
    <row r="175">
      <c r="A175" s="10">
        <v>622534.0</v>
      </c>
      <c r="B175" s="11" t="s">
        <v>467</v>
      </c>
      <c r="C175" s="12">
        <v>1229.0</v>
      </c>
      <c r="D175" s="10">
        <v>610.0</v>
      </c>
      <c r="E175" s="13">
        <v>251.0</v>
      </c>
      <c r="F175" s="14">
        <v>0.014228017</v>
      </c>
      <c r="G175" s="15">
        <v>99.0</v>
      </c>
      <c r="H175" s="15">
        <v>108.0</v>
      </c>
      <c r="I175" s="15">
        <v>124.0</v>
      </c>
      <c r="J175" s="15">
        <v>98.0</v>
      </c>
      <c r="K175" s="15">
        <v>119.0</v>
      </c>
      <c r="L175" s="15">
        <v>90.0</v>
      </c>
      <c r="M175" s="16">
        <v>104.0</v>
      </c>
      <c r="N175" s="16">
        <v>92.0</v>
      </c>
    </row>
    <row r="176">
      <c r="A176" s="10">
        <v>657077.0</v>
      </c>
      <c r="B176" s="11" t="s">
        <v>220</v>
      </c>
      <c r="C176" s="12">
        <v>2284.0</v>
      </c>
      <c r="D176" s="10">
        <v>1012.0</v>
      </c>
      <c r="E176" s="13">
        <v>464.0</v>
      </c>
      <c r="F176" s="14">
        <v>-0.048784474</v>
      </c>
      <c r="G176" s="15">
        <v>88.0</v>
      </c>
      <c r="H176" s="15">
        <v>107.0</v>
      </c>
      <c r="I176" s="15">
        <v>90.0</v>
      </c>
      <c r="J176" s="15">
        <v>112.0</v>
      </c>
      <c r="K176" s="15">
        <v>119.0</v>
      </c>
      <c r="L176" s="15">
        <v>91.0</v>
      </c>
      <c r="M176" s="16">
        <v>104.0</v>
      </c>
      <c r="N176" s="16">
        <v>95.0</v>
      </c>
    </row>
    <row r="177">
      <c r="A177" s="10">
        <v>672820.0</v>
      </c>
      <c r="B177" s="11" t="s">
        <v>182</v>
      </c>
      <c r="C177" s="12">
        <v>1268.0</v>
      </c>
      <c r="D177" s="10">
        <v>665.0</v>
      </c>
      <c r="E177" s="13">
        <v>257.0</v>
      </c>
      <c r="F177" s="14">
        <v>0.045613063</v>
      </c>
      <c r="G177" s="15">
        <v>73.0</v>
      </c>
      <c r="H177" s="15">
        <v>73.0</v>
      </c>
      <c r="I177" s="15">
        <v>107.0</v>
      </c>
      <c r="J177" s="15">
        <v>73.0</v>
      </c>
      <c r="K177" s="15">
        <v>109.0</v>
      </c>
      <c r="L177" s="15">
        <v>109.0</v>
      </c>
      <c r="M177" s="16">
        <v>103.0</v>
      </c>
      <c r="N177" s="16">
        <v>86.0</v>
      </c>
    </row>
    <row r="178">
      <c r="A178" s="10">
        <v>666397.0</v>
      </c>
      <c r="B178" s="11" t="s">
        <v>113</v>
      </c>
      <c r="C178" s="12">
        <v>1179.0</v>
      </c>
      <c r="D178" s="10">
        <v>476.0</v>
      </c>
      <c r="E178" s="13">
        <v>154.0</v>
      </c>
      <c r="F178" s="14">
        <v>-0.09655039</v>
      </c>
      <c r="G178" s="15">
        <v>112.0</v>
      </c>
      <c r="H178" s="15">
        <v>115.0</v>
      </c>
      <c r="I178" s="15">
        <v>58.0</v>
      </c>
      <c r="J178" s="15">
        <v>128.0</v>
      </c>
      <c r="K178" s="15">
        <v>83.0</v>
      </c>
      <c r="L178" s="15">
        <v>105.0</v>
      </c>
      <c r="M178" s="16">
        <v>103.0</v>
      </c>
      <c r="N178" s="16">
        <v>97.0</v>
      </c>
    </row>
    <row r="179">
      <c r="A179" s="10">
        <v>808982.0</v>
      </c>
      <c r="B179" s="11" t="s">
        <v>190</v>
      </c>
      <c r="C179" s="12">
        <v>566.0</v>
      </c>
      <c r="D179" s="10">
        <v>249.0</v>
      </c>
      <c r="E179" s="13">
        <v>133.0</v>
      </c>
      <c r="F179" s="14">
        <v>-0.03516954</v>
      </c>
      <c r="G179" s="15">
        <v>75.0</v>
      </c>
      <c r="H179" s="15">
        <v>96.0</v>
      </c>
      <c r="I179" s="15">
        <v>95.0</v>
      </c>
      <c r="J179" s="15">
        <v>98.0</v>
      </c>
      <c r="K179" s="15">
        <v>142.0</v>
      </c>
      <c r="L179" s="15">
        <v>87.0</v>
      </c>
      <c r="M179" s="16">
        <v>103.0</v>
      </c>
      <c r="N179" s="16">
        <v>93.0</v>
      </c>
    </row>
    <row r="180">
      <c r="A180" s="10">
        <v>686527.0</v>
      </c>
      <c r="B180" s="11" t="s">
        <v>468</v>
      </c>
      <c r="C180" s="12">
        <v>688.0</v>
      </c>
      <c r="D180" s="10">
        <v>360.0</v>
      </c>
      <c r="E180" s="13">
        <v>116.0</v>
      </c>
      <c r="F180" s="14">
        <v>0.068941728</v>
      </c>
      <c r="G180" s="15">
        <v>80.0</v>
      </c>
      <c r="H180" s="15">
        <v>85.0</v>
      </c>
      <c r="I180" s="15">
        <v>104.0</v>
      </c>
      <c r="J180" s="15">
        <v>84.0</v>
      </c>
      <c r="K180" s="15">
        <v>96.0</v>
      </c>
      <c r="L180" s="15">
        <v>113.0</v>
      </c>
      <c r="M180" s="16">
        <v>103.0</v>
      </c>
      <c r="N180" s="16">
        <v>88.0</v>
      </c>
    </row>
    <row r="181">
      <c r="A181" s="10">
        <v>693304.0</v>
      </c>
      <c r="B181" s="11" t="s">
        <v>102</v>
      </c>
      <c r="C181" s="12">
        <v>1258.0</v>
      </c>
      <c r="D181" s="10">
        <v>705.0</v>
      </c>
      <c r="E181" s="13">
        <v>272.0</v>
      </c>
      <c r="F181" s="14">
        <v>0.064883506</v>
      </c>
      <c r="G181" s="15">
        <v>112.0</v>
      </c>
      <c r="H181" s="15">
        <v>96.0</v>
      </c>
      <c r="I181" s="15">
        <v>116.0</v>
      </c>
      <c r="J181" s="15">
        <v>90.0</v>
      </c>
      <c r="K181" s="15">
        <v>98.0</v>
      </c>
      <c r="L181" s="15">
        <v>105.0</v>
      </c>
      <c r="M181" s="16">
        <v>103.0</v>
      </c>
      <c r="N181" s="16">
        <v>102.0</v>
      </c>
    </row>
    <row r="182">
      <c r="A182" s="10">
        <v>682998.0</v>
      </c>
      <c r="B182" s="11" t="s">
        <v>49</v>
      </c>
      <c r="C182" s="12">
        <v>2507.0</v>
      </c>
      <c r="D182" s="10">
        <v>1036.0</v>
      </c>
      <c r="E182" s="13">
        <v>453.0</v>
      </c>
      <c r="F182" s="14">
        <v>-0.034026817</v>
      </c>
      <c r="G182" s="15">
        <v>96.0</v>
      </c>
      <c r="H182" s="15">
        <v>100.0</v>
      </c>
      <c r="I182" s="15">
        <v>88.0</v>
      </c>
      <c r="J182" s="15">
        <v>104.0</v>
      </c>
      <c r="K182" s="15">
        <v>112.0</v>
      </c>
      <c r="L182" s="15">
        <v>96.0</v>
      </c>
      <c r="M182" s="16">
        <v>103.0</v>
      </c>
      <c r="N182" s="16">
        <v>105.0</v>
      </c>
    </row>
    <row r="183">
      <c r="A183" s="10">
        <v>543309.0</v>
      </c>
      <c r="B183" s="11" t="s">
        <v>299</v>
      </c>
      <c r="C183" s="12">
        <v>991.0</v>
      </c>
      <c r="D183" s="10">
        <v>454.0</v>
      </c>
      <c r="E183" s="13">
        <v>160.0</v>
      </c>
      <c r="F183" s="14">
        <v>-0.033546156</v>
      </c>
      <c r="G183" s="15">
        <v>91.0</v>
      </c>
      <c r="H183" s="15">
        <v>87.0</v>
      </c>
      <c r="I183" s="15">
        <v>82.0</v>
      </c>
      <c r="J183" s="15">
        <v>94.0</v>
      </c>
      <c r="K183" s="15">
        <v>101.0</v>
      </c>
      <c r="L183" s="15">
        <v>108.0</v>
      </c>
      <c r="M183" s="16">
        <v>103.0</v>
      </c>
      <c r="N183" s="16">
        <v>106.0</v>
      </c>
    </row>
    <row r="184">
      <c r="A184" s="10">
        <v>641432.0</v>
      </c>
      <c r="B184" s="11" t="s">
        <v>469</v>
      </c>
      <c r="C184" s="12">
        <v>950.0</v>
      </c>
      <c r="D184" s="10">
        <v>414.0</v>
      </c>
      <c r="E184" s="13">
        <v>198.0</v>
      </c>
      <c r="F184" s="14">
        <v>-0.017376605</v>
      </c>
      <c r="G184" s="15">
        <v>104.0</v>
      </c>
      <c r="H184" s="15">
        <v>108.0</v>
      </c>
      <c r="I184" s="15">
        <v>104.0</v>
      </c>
      <c r="J184" s="15">
        <v>106.0</v>
      </c>
      <c r="K184" s="15">
        <v>119.0</v>
      </c>
      <c r="L184" s="15">
        <v>91.0</v>
      </c>
      <c r="M184" s="16">
        <v>103.0</v>
      </c>
      <c r="N184" s="16">
        <v>103.0</v>
      </c>
    </row>
    <row r="185">
      <c r="A185" s="10">
        <v>690993.0</v>
      </c>
      <c r="B185" s="11" t="s">
        <v>59</v>
      </c>
      <c r="C185" s="12">
        <v>1940.0</v>
      </c>
      <c r="D185" s="10">
        <v>938.0</v>
      </c>
      <c r="E185" s="13">
        <v>392.0</v>
      </c>
      <c r="F185" s="14">
        <v>0.018632181</v>
      </c>
      <c r="G185" s="15">
        <v>99.0</v>
      </c>
      <c r="H185" s="15">
        <v>92.0</v>
      </c>
      <c r="I185" s="15">
        <v>106.0</v>
      </c>
      <c r="J185" s="15">
        <v>90.0</v>
      </c>
      <c r="K185" s="15">
        <v>110.0</v>
      </c>
      <c r="L185" s="15">
        <v>101.0</v>
      </c>
      <c r="M185" s="16">
        <v>103.0</v>
      </c>
      <c r="N185" s="16">
        <v>98.0</v>
      </c>
    </row>
    <row r="186">
      <c r="A186" s="10">
        <v>668670.0</v>
      </c>
      <c r="B186" s="11" t="s">
        <v>470</v>
      </c>
      <c r="C186" s="12">
        <v>1193.0</v>
      </c>
      <c r="D186" s="10">
        <v>563.0</v>
      </c>
      <c r="E186" s="13">
        <v>200.0</v>
      </c>
      <c r="F186" s="14">
        <v>-0.014049105</v>
      </c>
      <c r="G186" s="15">
        <v>104.0</v>
      </c>
      <c r="H186" s="15">
        <v>103.0</v>
      </c>
      <c r="I186" s="15">
        <v>96.0</v>
      </c>
      <c r="J186" s="15">
        <v>104.0</v>
      </c>
      <c r="K186" s="15">
        <v>85.0</v>
      </c>
      <c r="L186" s="15">
        <v>109.0</v>
      </c>
      <c r="M186" s="16">
        <v>103.0</v>
      </c>
      <c r="N186" s="16">
        <v>89.0</v>
      </c>
    </row>
    <row r="187">
      <c r="A187" s="10">
        <v>687263.0</v>
      </c>
      <c r="B187" s="11" t="s">
        <v>53</v>
      </c>
      <c r="C187" s="12">
        <v>2207.0</v>
      </c>
      <c r="D187" s="10">
        <v>1078.0</v>
      </c>
      <c r="E187" s="13">
        <v>397.0</v>
      </c>
      <c r="F187" s="14">
        <v>0.017755833</v>
      </c>
      <c r="G187" s="15">
        <v>96.0</v>
      </c>
      <c r="H187" s="15">
        <v>86.0</v>
      </c>
      <c r="I187" s="15">
        <v>101.0</v>
      </c>
      <c r="J187" s="15">
        <v>86.0</v>
      </c>
      <c r="K187" s="15">
        <v>104.0</v>
      </c>
      <c r="L187" s="15">
        <v>106.0</v>
      </c>
      <c r="M187" s="16">
        <v>103.0</v>
      </c>
      <c r="N187" s="16">
        <v>106.0</v>
      </c>
    </row>
    <row r="188">
      <c r="A188" s="10">
        <v>669364.0</v>
      </c>
      <c r="B188" s="11" t="s">
        <v>332</v>
      </c>
      <c r="C188" s="12">
        <v>1033.0</v>
      </c>
      <c r="D188" s="10">
        <v>487.0</v>
      </c>
      <c r="E188" s="13">
        <v>192.0</v>
      </c>
      <c r="F188" s="14">
        <v>-0.014604525</v>
      </c>
      <c r="G188" s="15">
        <v>119.0</v>
      </c>
      <c r="H188" s="15">
        <v>120.0</v>
      </c>
      <c r="I188" s="15">
        <v>104.0</v>
      </c>
      <c r="J188" s="15">
        <v>117.0</v>
      </c>
      <c r="K188" s="15">
        <v>111.0</v>
      </c>
      <c r="L188" s="15">
        <v>87.0</v>
      </c>
      <c r="M188" s="16">
        <v>103.0</v>
      </c>
      <c r="N188" s="16">
        <v>116.0</v>
      </c>
    </row>
    <row r="189">
      <c r="A189" s="10">
        <v>514888.0</v>
      </c>
      <c r="B189" s="11" t="s">
        <v>277</v>
      </c>
      <c r="C189" s="12">
        <v>2366.0</v>
      </c>
      <c r="D189" s="10">
        <v>1223.0</v>
      </c>
      <c r="E189" s="13">
        <v>494.0</v>
      </c>
      <c r="F189" s="14">
        <v>0.080411434</v>
      </c>
      <c r="G189" s="15">
        <v>84.0</v>
      </c>
      <c r="H189" s="15">
        <v>82.0</v>
      </c>
      <c r="I189" s="15">
        <v>111.0</v>
      </c>
      <c r="J189" s="15">
        <v>81.0</v>
      </c>
      <c r="K189" s="15">
        <v>111.0</v>
      </c>
      <c r="L189" s="15">
        <v>104.0</v>
      </c>
      <c r="M189" s="16">
        <v>102.0</v>
      </c>
      <c r="N189" s="16">
        <v>114.0</v>
      </c>
    </row>
    <row r="190">
      <c r="A190" s="10">
        <v>668715.0</v>
      </c>
      <c r="B190" s="11" t="s">
        <v>317</v>
      </c>
      <c r="C190" s="12">
        <v>2487.0</v>
      </c>
      <c r="D190" s="10">
        <v>1099.0</v>
      </c>
      <c r="E190" s="13">
        <v>421.0</v>
      </c>
      <c r="F190" s="14">
        <v>-0.034344192</v>
      </c>
      <c r="G190" s="15">
        <v>106.0</v>
      </c>
      <c r="H190" s="15">
        <v>113.0</v>
      </c>
      <c r="I190" s="15">
        <v>102.0</v>
      </c>
      <c r="J190" s="15">
        <v>111.0</v>
      </c>
      <c r="K190" s="15">
        <v>101.0</v>
      </c>
      <c r="L190" s="15">
        <v>94.0</v>
      </c>
      <c r="M190" s="16">
        <v>102.0</v>
      </c>
      <c r="N190" s="16">
        <v>106.0</v>
      </c>
    </row>
    <row r="191">
      <c r="A191" s="10">
        <v>676694.0</v>
      </c>
      <c r="B191" s="11" t="s">
        <v>145</v>
      </c>
      <c r="C191" s="12">
        <v>1749.0</v>
      </c>
      <c r="D191" s="10">
        <v>857.0</v>
      </c>
      <c r="E191" s="13">
        <v>334.0</v>
      </c>
      <c r="F191" s="14">
        <v>0.011636675</v>
      </c>
      <c r="G191" s="15">
        <v>99.0</v>
      </c>
      <c r="H191" s="15">
        <v>100.0</v>
      </c>
      <c r="I191" s="15">
        <v>97.0</v>
      </c>
      <c r="J191" s="15">
        <v>101.0</v>
      </c>
      <c r="K191" s="15">
        <v>103.0</v>
      </c>
      <c r="L191" s="15">
        <v>100.0</v>
      </c>
      <c r="M191" s="16">
        <v>102.0</v>
      </c>
      <c r="N191" s="16">
        <v>96.0</v>
      </c>
    </row>
    <row r="192">
      <c r="A192" s="10">
        <v>656555.0</v>
      </c>
      <c r="B192" s="11" t="s">
        <v>158</v>
      </c>
      <c r="C192" s="12">
        <v>2126.0</v>
      </c>
      <c r="D192" s="10">
        <v>912.0</v>
      </c>
      <c r="E192" s="13">
        <v>295.0</v>
      </c>
      <c r="F192" s="14">
        <v>-0.081997338</v>
      </c>
      <c r="G192" s="15">
        <v>87.0</v>
      </c>
      <c r="H192" s="15">
        <v>111.0</v>
      </c>
      <c r="I192" s="15">
        <v>92.0</v>
      </c>
      <c r="J192" s="15">
        <v>114.0</v>
      </c>
      <c r="K192" s="15">
        <v>91.0</v>
      </c>
      <c r="L192" s="15">
        <v>100.0</v>
      </c>
      <c r="M192" s="16">
        <v>102.0</v>
      </c>
      <c r="N192" s="16">
        <v>108.0</v>
      </c>
    </row>
    <row r="193">
      <c r="A193" s="10">
        <v>649966.0</v>
      </c>
      <c r="B193" s="11" t="s">
        <v>221</v>
      </c>
      <c r="C193" s="12">
        <v>436.0</v>
      </c>
      <c r="D193" s="10">
        <v>207.0</v>
      </c>
      <c r="E193" s="13">
        <v>56.0</v>
      </c>
      <c r="F193" s="14">
        <v>-0.037601593</v>
      </c>
      <c r="G193" s="15">
        <v>96.0</v>
      </c>
      <c r="H193" s="15">
        <v>101.0</v>
      </c>
      <c r="I193" s="15">
        <v>74.0</v>
      </c>
      <c r="J193" s="15">
        <v>111.0</v>
      </c>
      <c r="K193" s="15">
        <v>82.0</v>
      </c>
      <c r="L193" s="15">
        <v>114.0</v>
      </c>
      <c r="M193" s="16">
        <v>102.0</v>
      </c>
      <c r="N193" s="16">
        <v>103.0</v>
      </c>
    </row>
    <row r="194">
      <c r="A194" s="10">
        <v>682829.0</v>
      </c>
      <c r="B194" s="11" t="s">
        <v>150</v>
      </c>
      <c r="C194" s="12">
        <v>2624.0</v>
      </c>
      <c r="D194" s="10">
        <v>1128.0</v>
      </c>
      <c r="E194" s="13">
        <v>385.0</v>
      </c>
      <c r="F194" s="14">
        <v>-0.044058138</v>
      </c>
      <c r="G194" s="15">
        <v>89.0</v>
      </c>
      <c r="H194" s="15">
        <v>85.0</v>
      </c>
      <c r="I194" s="15">
        <v>67.0</v>
      </c>
      <c r="J194" s="15">
        <v>97.0</v>
      </c>
      <c r="K194" s="15">
        <v>93.0</v>
      </c>
      <c r="L194" s="15">
        <v>114.0</v>
      </c>
      <c r="M194" s="16">
        <v>102.0</v>
      </c>
      <c r="N194" s="16">
        <v>110.0</v>
      </c>
    </row>
    <row r="195">
      <c r="A195" s="10">
        <v>607732.0</v>
      </c>
      <c r="B195" s="11" t="s">
        <v>382</v>
      </c>
      <c r="C195" s="12">
        <v>1028.0</v>
      </c>
      <c r="D195" s="10">
        <v>464.0</v>
      </c>
      <c r="E195" s="13">
        <v>173.0</v>
      </c>
      <c r="F195" s="14">
        <v>-0.03023322</v>
      </c>
      <c r="G195" s="15">
        <v>104.0</v>
      </c>
      <c r="H195" s="15">
        <v>106.0</v>
      </c>
      <c r="I195" s="15">
        <v>94.0</v>
      </c>
      <c r="J195" s="15">
        <v>108.0</v>
      </c>
      <c r="K195" s="15">
        <v>91.0</v>
      </c>
      <c r="L195" s="15">
        <v>104.0</v>
      </c>
      <c r="M195" s="16">
        <v>102.0</v>
      </c>
      <c r="N195" s="16">
        <v>115.0</v>
      </c>
    </row>
    <row r="196">
      <c r="A196" s="10">
        <v>677800.0</v>
      </c>
      <c r="B196" s="11" t="s">
        <v>70</v>
      </c>
      <c r="C196" s="12">
        <v>1673.0</v>
      </c>
      <c r="D196" s="10">
        <v>801.0</v>
      </c>
      <c r="E196" s="13">
        <v>254.0</v>
      </c>
      <c r="F196" s="14">
        <v>0.019074705</v>
      </c>
      <c r="G196" s="15">
        <v>104.0</v>
      </c>
      <c r="H196" s="15">
        <v>91.0</v>
      </c>
      <c r="I196" s="15">
        <v>108.0</v>
      </c>
      <c r="J196" s="15">
        <v>89.0</v>
      </c>
      <c r="K196" s="15">
        <v>90.0</v>
      </c>
      <c r="L196" s="15">
        <v>112.0</v>
      </c>
      <c r="M196" s="16">
        <v>102.0</v>
      </c>
      <c r="N196" s="16">
        <v>109.0</v>
      </c>
    </row>
    <row r="197">
      <c r="A197" s="10">
        <v>641343.0</v>
      </c>
      <c r="B197" s="11" t="s">
        <v>149</v>
      </c>
      <c r="C197" s="12">
        <v>1440.0</v>
      </c>
      <c r="D197" s="10">
        <v>657.0</v>
      </c>
      <c r="E197" s="13">
        <v>174.0</v>
      </c>
      <c r="F197" s="14">
        <v>-0.046490426</v>
      </c>
      <c r="G197" s="15">
        <v>123.0</v>
      </c>
      <c r="H197" s="15">
        <v>119.0</v>
      </c>
      <c r="I197" s="15">
        <v>97.0</v>
      </c>
      <c r="J197" s="15">
        <v>120.0</v>
      </c>
      <c r="K197" s="15">
        <v>72.0</v>
      </c>
      <c r="L197" s="15">
        <v>109.0</v>
      </c>
      <c r="M197" s="16">
        <v>102.0</v>
      </c>
      <c r="N197" s="16">
        <v>97.0</v>
      </c>
    </row>
    <row r="198">
      <c r="A198" s="10">
        <v>656896.0</v>
      </c>
      <c r="B198" s="11" t="s">
        <v>471</v>
      </c>
      <c r="C198" s="12">
        <v>1098.0</v>
      </c>
      <c r="D198" s="10">
        <v>536.0</v>
      </c>
      <c r="E198" s="13">
        <v>192.0</v>
      </c>
      <c r="F198" s="14">
        <v>0.010927553</v>
      </c>
      <c r="G198" s="15">
        <v>105.0</v>
      </c>
      <c r="H198" s="15">
        <v>110.0</v>
      </c>
      <c r="I198" s="15">
        <v>107.0</v>
      </c>
      <c r="J198" s="15">
        <v>106.0</v>
      </c>
      <c r="K198" s="15">
        <v>99.0</v>
      </c>
      <c r="L198" s="15">
        <v>97.0</v>
      </c>
      <c r="M198" s="16">
        <v>102.0</v>
      </c>
      <c r="N198" s="16">
        <v>90.0</v>
      </c>
    </row>
    <row r="199">
      <c r="A199" s="10">
        <v>676914.0</v>
      </c>
      <c r="B199" s="11" t="s">
        <v>260</v>
      </c>
      <c r="C199" s="12">
        <v>1869.0</v>
      </c>
      <c r="D199" s="10">
        <v>800.0</v>
      </c>
      <c r="E199" s="13">
        <v>249.0</v>
      </c>
      <c r="F199" s="14">
        <v>-0.050259259</v>
      </c>
      <c r="G199" s="15">
        <v>110.0</v>
      </c>
      <c r="H199" s="15">
        <v>116.0</v>
      </c>
      <c r="I199" s="15">
        <v>97.0</v>
      </c>
      <c r="J199" s="15">
        <v>115.0</v>
      </c>
      <c r="K199" s="15">
        <v>80.0</v>
      </c>
      <c r="L199" s="15">
        <v>104.0</v>
      </c>
      <c r="M199" s="16">
        <v>102.0</v>
      </c>
      <c r="N199" s="16">
        <v>95.0</v>
      </c>
    </row>
    <row r="200">
      <c r="A200" s="10">
        <v>672580.0</v>
      </c>
      <c r="B200" s="11" t="s">
        <v>109</v>
      </c>
      <c r="C200" s="12">
        <v>2234.0</v>
      </c>
      <c r="D200" s="10">
        <v>970.0</v>
      </c>
      <c r="E200" s="13">
        <v>458.0</v>
      </c>
      <c r="F200" s="14">
        <v>-0.0660127</v>
      </c>
      <c r="G200" s="15">
        <v>103.0</v>
      </c>
      <c r="H200" s="15">
        <v>104.0</v>
      </c>
      <c r="I200" s="15">
        <v>79.0</v>
      </c>
      <c r="J200" s="15">
        <v>113.0</v>
      </c>
      <c r="K200" s="15">
        <v>122.0</v>
      </c>
      <c r="L200" s="15">
        <v>90.0</v>
      </c>
      <c r="M200" s="16">
        <v>102.0</v>
      </c>
      <c r="N200" s="16">
        <v>90.0</v>
      </c>
    </row>
    <row r="201">
      <c r="A201" s="10">
        <v>571745.0</v>
      </c>
      <c r="B201" s="11" t="s">
        <v>472</v>
      </c>
      <c r="C201" s="12">
        <v>1705.0</v>
      </c>
      <c r="D201" s="10">
        <v>747.0</v>
      </c>
      <c r="E201" s="13">
        <v>247.0</v>
      </c>
      <c r="F201" s="14">
        <v>-0.057569042</v>
      </c>
      <c r="G201" s="15">
        <v>104.0</v>
      </c>
      <c r="H201" s="15">
        <v>117.0</v>
      </c>
      <c r="I201" s="15">
        <v>95.0</v>
      </c>
      <c r="J201" s="15">
        <v>118.0</v>
      </c>
      <c r="K201" s="15">
        <v>82.0</v>
      </c>
      <c r="L201" s="15">
        <v>102.0</v>
      </c>
      <c r="M201" s="16">
        <v>101.0</v>
      </c>
      <c r="N201" s="16">
        <v>98.0</v>
      </c>
    </row>
    <row r="202">
      <c r="A202" s="10">
        <v>680777.0</v>
      </c>
      <c r="B202" s="11" t="s">
        <v>72</v>
      </c>
      <c r="C202" s="12">
        <v>1720.0</v>
      </c>
      <c r="D202" s="10">
        <v>834.0</v>
      </c>
      <c r="E202" s="13">
        <v>303.0</v>
      </c>
      <c r="F202" s="14">
        <v>0.013970184</v>
      </c>
      <c r="G202" s="15">
        <v>84.0</v>
      </c>
      <c r="H202" s="15">
        <v>84.0</v>
      </c>
      <c r="I202" s="15">
        <v>92.0</v>
      </c>
      <c r="J202" s="15">
        <v>88.0</v>
      </c>
      <c r="K202" s="15">
        <v>112.0</v>
      </c>
      <c r="L202" s="15">
        <v>101.0</v>
      </c>
      <c r="M202" s="16">
        <v>101.0</v>
      </c>
      <c r="N202" s="16">
        <v>106.0</v>
      </c>
    </row>
    <row r="203">
      <c r="A203" s="10">
        <v>467793.0</v>
      </c>
      <c r="B203" s="11" t="s">
        <v>264</v>
      </c>
      <c r="C203" s="12">
        <v>2269.0</v>
      </c>
      <c r="D203" s="10">
        <v>991.0</v>
      </c>
      <c r="E203" s="13">
        <v>394.0</v>
      </c>
      <c r="F203" s="14">
        <v>-0.032872246</v>
      </c>
      <c r="G203" s="15">
        <v>107.0</v>
      </c>
      <c r="H203" s="15">
        <v>105.0</v>
      </c>
      <c r="I203" s="15">
        <v>110.0</v>
      </c>
      <c r="J203" s="15">
        <v>101.0</v>
      </c>
      <c r="K203" s="15">
        <v>106.0</v>
      </c>
      <c r="L203" s="15">
        <v>94.0</v>
      </c>
      <c r="M203" s="16">
        <v>101.0</v>
      </c>
      <c r="N203" s="16">
        <v>102.0</v>
      </c>
    </row>
    <row r="204">
      <c r="A204" s="10">
        <v>621438.0</v>
      </c>
      <c r="B204" s="11" t="s">
        <v>315</v>
      </c>
      <c r="C204" s="12">
        <v>1196.0</v>
      </c>
      <c r="D204" s="10">
        <v>585.0</v>
      </c>
      <c r="E204" s="13">
        <v>217.0</v>
      </c>
      <c r="F204" s="14">
        <v>-0.005233698</v>
      </c>
      <c r="G204" s="15">
        <v>83.0</v>
      </c>
      <c r="H204" s="15">
        <v>86.0</v>
      </c>
      <c r="I204" s="15">
        <v>93.0</v>
      </c>
      <c r="J204" s="15">
        <v>89.0</v>
      </c>
      <c r="K204" s="15">
        <v>109.0</v>
      </c>
      <c r="L204" s="15">
        <v>102.0</v>
      </c>
      <c r="M204" s="16">
        <v>101.0</v>
      </c>
      <c r="N204" s="16">
        <v>105.0</v>
      </c>
    </row>
    <row r="205">
      <c r="A205" s="10">
        <v>680474.0</v>
      </c>
      <c r="B205" s="11" t="s">
        <v>219</v>
      </c>
      <c r="C205" s="12">
        <v>1765.0</v>
      </c>
      <c r="D205" s="10">
        <v>754.0</v>
      </c>
      <c r="E205" s="13">
        <v>276.0</v>
      </c>
      <c r="F205" s="14">
        <v>-0.070243489</v>
      </c>
      <c r="G205" s="15">
        <v>102.0</v>
      </c>
      <c r="H205" s="15">
        <v>121.0</v>
      </c>
      <c r="I205" s="15">
        <v>88.0</v>
      </c>
      <c r="J205" s="15">
        <v>124.0</v>
      </c>
      <c r="K205" s="15">
        <v>93.0</v>
      </c>
      <c r="L205" s="15">
        <v>93.0</v>
      </c>
      <c r="M205" s="16">
        <v>101.0</v>
      </c>
      <c r="N205" s="16">
        <v>93.0</v>
      </c>
    </row>
    <row r="206">
      <c r="A206" s="10">
        <v>676369.0</v>
      </c>
      <c r="B206" s="11" t="s">
        <v>473</v>
      </c>
      <c r="C206" s="12">
        <v>891.0</v>
      </c>
      <c r="D206" s="10">
        <v>416.0</v>
      </c>
      <c r="E206" s="13">
        <v>147.0</v>
      </c>
      <c r="F206" s="14">
        <v>-0.012003303</v>
      </c>
      <c r="G206" s="15">
        <v>122.0</v>
      </c>
      <c r="H206" s="15">
        <v>112.0</v>
      </c>
      <c r="I206" s="15">
        <v>96.0</v>
      </c>
      <c r="J206" s="15">
        <v>112.0</v>
      </c>
      <c r="K206" s="15">
        <v>90.0</v>
      </c>
      <c r="L206" s="15">
        <v>100.0</v>
      </c>
      <c r="M206" s="16">
        <v>101.0</v>
      </c>
      <c r="N206" s="16">
        <v>91.0</v>
      </c>
    </row>
    <row r="207">
      <c r="A207" s="10">
        <v>623993.0</v>
      </c>
      <c r="B207" s="11" t="s">
        <v>309</v>
      </c>
      <c r="C207" s="12">
        <v>2599.0</v>
      </c>
      <c r="D207" s="10">
        <v>1303.0</v>
      </c>
      <c r="E207" s="13">
        <v>449.0</v>
      </c>
      <c r="F207" s="14">
        <v>0.028950132</v>
      </c>
      <c r="G207" s="15">
        <v>84.0</v>
      </c>
      <c r="H207" s="15">
        <v>70.0</v>
      </c>
      <c r="I207" s="15">
        <v>94.0</v>
      </c>
      <c r="J207" s="15">
        <v>75.0</v>
      </c>
      <c r="K207" s="15">
        <v>117.0</v>
      </c>
      <c r="L207" s="15">
        <v>104.0</v>
      </c>
      <c r="M207" s="16">
        <v>101.0</v>
      </c>
      <c r="N207" s="16">
        <v>109.0</v>
      </c>
    </row>
    <row r="208">
      <c r="A208" s="10">
        <v>663538.0</v>
      </c>
      <c r="B208" s="11" t="s">
        <v>290</v>
      </c>
      <c r="C208" s="12">
        <v>2212.0</v>
      </c>
      <c r="D208" s="10">
        <v>1062.0</v>
      </c>
      <c r="E208" s="13">
        <v>491.0</v>
      </c>
      <c r="F208" s="14">
        <v>0.006504078</v>
      </c>
      <c r="G208" s="15">
        <v>80.0</v>
      </c>
      <c r="H208" s="15">
        <v>97.0</v>
      </c>
      <c r="I208" s="15">
        <v>111.0</v>
      </c>
      <c r="J208" s="15">
        <v>93.0</v>
      </c>
      <c r="K208" s="15">
        <v>130.0</v>
      </c>
      <c r="L208" s="15">
        <v>88.0</v>
      </c>
      <c r="M208" s="16">
        <v>101.0</v>
      </c>
      <c r="N208" s="16">
        <v>105.0</v>
      </c>
    </row>
    <row r="209">
      <c r="A209" s="10">
        <v>669003.0</v>
      </c>
      <c r="B209" s="11" t="s">
        <v>474</v>
      </c>
      <c r="C209" s="12">
        <v>815.0</v>
      </c>
      <c r="D209" s="10">
        <v>359.0</v>
      </c>
      <c r="E209" s="13">
        <v>118.0</v>
      </c>
      <c r="F209" s="14">
        <v>-0.039423861</v>
      </c>
      <c r="G209" s="15">
        <v>127.0</v>
      </c>
      <c r="H209" s="15">
        <v>114.0</v>
      </c>
      <c r="I209" s="15">
        <v>82.0</v>
      </c>
      <c r="J209" s="15">
        <v>121.0</v>
      </c>
      <c r="K209" s="15">
        <v>83.0</v>
      </c>
      <c r="L209" s="15">
        <v>102.0</v>
      </c>
      <c r="M209" s="16">
        <v>101.0</v>
      </c>
      <c r="N209" s="16">
        <v>115.0</v>
      </c>
    </row>
    <row r="210">
      <c r="A210" s="10">
        <v>663898.0</v>
      </c>
      <c r="B210" s="11" t="s">
        <v>261</v>
      </c>
      <c r="C210" s="12">
        <v>2026.0</v>
      </c>
      <c r="D210" s="10">
        <v>1004.0</v>
      </c>
      <c r="E210" s="13">
        <v>364.0</v>
      </c>
      <c r="F210" s="14">
        <v>8.70939E-4</v>
      </c>
      <c r="G210" s="15">
        <v>109.0</v>
      </c>
      <c r="H210" s="15">
        <v>100.0</v>
      </c>
      <c r="I210" s="15">
        <v>99.0</v>
      </c>
      <c r="J210" s="15">
        <v>100.0</v>
      </c>
      <c r="K210" s="15">
        <v>97.0</v>
      </c>
      <c r="L210" s="15">
        <v>102.0</v>
      </c>
      <c r="M210" s="16">
        <v>101.0</v>
      </c>
      <c r="N210" s="16">
        <v>105.0</v>
      </c>
    </row>
    <row r="211">
      <c r="A211" s="10">
        <v>570482.0</v>
      </c>
      <c r="B211" s="11" t="s">
        <v>230</v>
      </c>
      <c r="C211" s="12">
        <v>1584.0</v>
      </c>
      <c r="D211" s="10">
        <v>861.0</v>
      </c>
      <c r="E211" s="13">
        <v>339.0</v>
      </c>
      <c r="F211" s="14">
        <v>0.056738247</v>
      </c>
      <c r="G211" s="15">
        <v>93.0</v>
      </c>
      <c r="H211" s="15">
        <v>94.0</v>
      </c>
      <c r="I211" s="15">
        <v>112.0</v>
      </c>
      <c r="J211" s="15">
        <v>89.0</v>
      </c>
      <c r="K211" s="15">
        <v>114.0</v>
      </c>
      <c r="L211" s="15">
        <v>95.0</v>
      </c>
      <c r="M211" s="16">
        <v>101.0</v>
      </c>
      <c r="N211" s="16">
        <v>90.0</v>
      </c>
    </row>
    <row r="212">
      <c r="A212" s="10">
        <v>663527.0</v>
      </c>
      <c r="B212" s="11" t="s">
        <v>475</v>
      </c>
      <c r="C212" s="12">
        <v>1032.0</v>
      </c>
      <c r="D212" s="10">
        <v>485.0</v>
      </c>
      <c r="E212" s="13">
        <v>174.0</v>
      </c>
      <c r="F212" s="14">
        <v>-0.026814024</v>
      </c>
      <c r="G212" s="15">
        <v>107.0</v>
      </c>
      <c r="H212" s="15">
        <v>120.0</v>
      </c>
      <c r="I212" s="15">
        <v>129.0</v>
      </c>
      <c r="J212" s="15">
        <v>108.0</v>
      </c>
      <c r="K212" s="15">
        <v>96.0</v>
      </c>
      <c r="L212" s="15">
        <v>92.0</v>
      </c>
      <c r="M212" s="16">
        <v>101.0</v>
      </c>
      <c r="N212" s="16">
        <v>92.0</v>
      </c>
    </row>
    <row r="213">
      <c r="A213" s="10">
        <v>645302.0</v>
      </c>
      <c r="B213" s="11" t="s">
        <v>476</v>
      </c>
      <c r="C213" s="12">
        <v>907.0</v>
      </c>
      <c r="D213" s="10">
        <v>493.0</v>
      </c>
      <c r="E213" s="13">
        <v>186.0</v>
      </c>
      <c r="F213" s="14">
        <v>0.074440116</v>
      </c>
      <c r="G213" s="15">
        <v>121.0</v>
      </c>
      <c r="H213" s="15">
        <v>106.0</v>
      </c>
      <c r="I213" s="15">
        <v>120.0</v>
      </c>
      <c r="J213" s="15">
        <v>99.0</v>
      </c>
      <c r="K213" s="15">
        <v>101.0</v>
      </c>
      <c r="L213" s="15">
        <v>97.0</v>
      </c>
      <c r="M213" s="16">
        <v>101.0</v>
      </c>
      <c r="N213" s="16">
        <v>118.0</v>
      </c>
    </row>
    <row r="214">
      <c r="A214" s="10">
        <v>665953.0</v>
      </c>
      <c r="B214" s="11" t="s">
        <v>477</v>
      </c>
      <c r="C214" s="12">
        <v>508.0</v>
      </c>
      <c r="D214" s="10">
        <v>271.0</v>
      </c>
      <c r="E214" s="13">
        <v>93.0</v>
      </c>
      <c r="F214" s="14">
        <v>0.047308876</v>
      </c>
      <c r="G214" s="15">
        <v>120.0</v>
      </c>
      <c r="H214" s="15">
        <v>103.0</v>
      </c>
      <c r="I214" s="15">
        <v>120.0</v>
      </c>
      <c r="J214" s="15">
        <v>96.0</v>
      </c>
      <c r="K214" s="15">
        <v>105.0</v>
      </c>
      <c r="L214" s="15">
        <v>96.0</v>
      </c>
      <c r="M214" s="16">
        <v>101.0</v>
      </c>
      <c r="N214" s="16">
        <v>99.0</v>
      </c>
    </row>
    <row r="215">
      <c r="A215" s="10">
        <v>527038.0</v>
      </c>
      <c r="B215" s="11" t="s">
        <v>288</v>
      </c>
      <c r="C215" s="12">
        <v>955.0</v>
      </c>
      <c r="D215" s="10">
        <v>417.0</v>
      </c>
      <c r="E215" s="13">
        <v>184.0</v>
      </c>
      <c r="F215" s="14">
        <v>-0.046573754</v>
      </c>
      <c r="G215" s="15">
        <v>83.0</v>
      </c>
      <c r="H215" s="15">
        <v>102.0</v>
      </c>
      <c r="I215" s="15">
        <v>101.0</v>
      </c>
      <c r="J215" s="15">
        <v>101.0</v>
      </c>
      <c r="K215" s="15">
        <v>131.0</v>
      </c>
      <c r="L215" s="15">
        <v>84.0</v>
      </c>
      <c r="M215" s="16">
        <v>100.0</v>
      </c>
      <c r="N215" s="16">
        <v>90.0</v>
      </c>
    </row>
    <row r="216">
      <c r="A216" s="10">
        <v>657656.0</v>
      </c>
      <c r="B216" s="11" t="s">
        <v>81</v>
      </c>
      <c r="C216" s="12">
        <v>1058.0</v>
      </c>
      <c r="D216" s="10">
        <v>544.0</v>
      </c>
      <c r="E216" s="13">
        <v>173.0</v>
      </c>
      <c r="F216" s="14">
        <v>0.040426791</v>
      </c>
      <c r="G216" s="15">
        <v>107.0</v>
      </c>
      <c r="H216" s="15">
        <v>95.0</v>
      </c>
      <c r="I216" s="15">
        <v>102.0</v>
      </c>
      <c r="J216" s="15">
        <v>94.0</v>
      </c>
      <c r="K216" s="15">
        <v>78.0</v>
      </c>
      <c r="L216" s="15">
        <v>117.0</v>
      </c>
      <c r="M216" s="16">
        <v>100.0</v>
      </c>
      <c r="N216" s="16">
        <v>110.0</v>
      </c>
    </row>
    <row r="217">
      <c r="A217" s="10">
        <v>687952.0</v>
      </c>
      <c r="B217" s="11" t="s">
        <v>292</v>
      </c>
      <c r="C217" s="12">
        <v>444.0</v>
      </c>
      <c r="D217" s="10">
        <v>248.0</v>
      </c>
      <c r="E217" s="13">
        <v>82.0</v>
      </c>
      <c r="F217" s="14">
        <v>0.072262898</v>
      </c>
      <c r="G217" s="15">
        <v>78.0</v>
      </c>
      <c r="H217" s="15">
        <v>63.0</v>
      </c>
      <c r="I217" s="15">
        <v>103.0</v>
      </c>
      <c r="J217" s="15">
        <v>65.0</v>
      </c>
      <c r="K217" s="15">
        <v>97.0</v>
      </c>
      <c r="L217" s="15">
        <v>119.0</v>
      </c>
      <c r="M217" s="16">
        <v>100.0</v>
      </c>
      <c r="N217" s="16">
        <v>66.0</v>
      </c>
    </row>
    <row r="218">
      <c r="A218" s="10">
        <v>682928.0</v>
      </c>
      <c r="B218" s="11" t="s">
        <v>210</v>
      </c>
      <c r="C218" s="12">
        <v>2255.0</v>
      </c>
      <c r="D218" s="10">
        <v>1202.0</v>
      </c>
      <c r="E218" s="13">
        <v>417.0</v>
      </c>
      <c r="F218" s="14">
        <v>0.059140072</v>
      </c>
      <c r="G218" s="15">
        <v>91.0</v>
      </c>
      <c r="H218" s="15">
        <v>85.0</v>
      </c>
      <c r="I218" s="15">
        <v>105.0</v>
      </c>
      <c r="J218" s="15">
        <v>83.0</v>
      </c>
      <c r="K218" s="15">
        <v>104.0</v>
      </c>
      <c r="L218" s="15">
        <v>104.0</v>
      </c>
      <c r="M218" s="16">
        <v>100.0</v>
      </c>
      <c r="N218" s="16">
        <v>108.0</v>
      </c>
    </row>
    <row r="219">
      <c r="A219" s="10">
        <v>643565.0</v>
      </c>
      <c r="B219" s="11" t="s">
        <v>192</v>
      </c>
      <c r="C219" s="12">
        <v>1431.0</v>
      </c>
      <c r="D219" s="10">
        <v>665.0</v>
      </c>
      <c r="E219" s="13">
        <v>216.0</v>
      </c>
      <c r="F219" s="14">
        <v>-0.038229507</v>
      </c>
      <c r="G219" s="15">
        <v>120.0</v>
      </c>
      <c r="H219" s="15">
        <v>119.0</v>
      </c>
      <c r="I219" s="15">
        <v>116.0</v>
      </c>
      <c r="J219" s="15">
        <v>112.0</v>
      </c>
      <c r="K219" s="15">
        <v>96.0</v>
      </c>
      <c r="L219" s="15">
        <v>91.0</v>
      </c>
      <c r="M219" s="16">
        <v>100.0</v>
      </c>
      <c r="N219" s="16">
        <v>103.0</v>
      </c>
    </row>
    <row r="220">
      <c r="A220" s="10">
        <v>666176.0</v>
      </c>
      <c r="B220" s="11" t="s">
        <v>29</v>
      </c>
      <c r="C220" s="12">
        <v>1827.0</v>
      </c>
      <c r="D220" s="10">
        <v>909.0</v>
      </c>
      <c r="E220" s="13">
        <v>281.0</v>
      </c>
      <c r="F220" s="14">
        <v>7.02672E-4</v>
      </c>
      <c r="G220" s="15">
        <v>114.0</v>
      </c>
      <c r="H220" s="15">
        <v>103.0</v>
      </c>
      <c r="I220" s="15">
        <v>108.0</v>
      </c>
      <c r="J220" s="15">
        <v>100.0</v>
      </c>
      <c r="K220" s="15">
        <v>93.0</v>
      </c>
      <c r="L220" s="15">
        <v>102.0</v>
      </c>
      <c r="M220" s="16">
        <v>100.0</v>
      </c>
      <c r="N220" s="16">
        <v>96.0</v>
      </c>
    </row>
    <row r="221">
      <c r="A221" s="10">
        <v>669222.0</v>
      </c>
      <c r="B221" s="11" t="s">
        <v>478</v>
      </c>
      <c r="C221" s="12">
        <v>993.0</v>
      </c>
      <c r="D221" s="10">
        <v>465.0</v>
      </c>
      <c r="E221" s="13">
        <v>175.0</v>
      </c>
      <c r="F221" s="14">
        <v>-0.024309594</v>
      </c>
      <c r="G221" s="15">
        <v>106.0</v>
      </c>
      <c r="H221" s="15">
        <v>115.0</v>
      </c>
      <c r="I221" s="15">
        <v>99.0</v>
      </c>
      <c r="J221" s="15">
        <v>115.0</v>
      </c>
      <c r="K221" s="15">
        <v>100.0</v>
      </c>
      <c r="L221" s="15">
        <v>92.0</v>
      </c>
      <c r="M221" s="16">
        <v>100.0</v>
      </c>
      <c r="N221" s="16">
        <v>90.0</v>
      </c>
    </row>
    <row r="222">
      <c r="A222" s="10">
        <v>668885.0</v>
      </c>
      <c r="B222" s="11" t="s">
        <v>479</v>
      </c>
      <c r="C222" s="12">
        <v>878.0</v>
      </c>
      <c r="D222" s="10">
        <v>398.0</v>
      </c>
      <c r="E222" s="13">
        <v>177.0</v>
      </c>
      <c r="F222" s="14">
        <v>-0.04035511</v>
      </c>
      <c r="G222" s="15">
        <v>127.0</v>
      </c>
      <c r="H222" s="15">
        <v>126.0</v>
      </c>
      <c r="I222" s="15">
        <v>103.0</v>
      </c>
      <c r="J222" s="15">
        <v>125.0</v>
      </c>
      <c r="K222" s="15">
        <v>103.0</v>
      </c>
      <c r="L222" s="15">
        <v>87.0</v>
      </c>
      <c r="M222" s="16">
        <v>100.0</v>
      </c>
      <c r="N222" s="16">
        <v>99.0</v>
      </c>
    </row>
    <row r="223">
      <c r="A223" s="10">
        <v>663757.0</v>
      </c>
      <c r="B223" s="11" t="s">
        <v>54</v>
      </c>
      <c r="C223" s="12">
        <v>818.0</v>
      </c>
      <c r="D223" s="10">
        <v>302.0</v>
      </c>
      <c r="E223" s="13">
        <v>122.0</v>
      </c>
      <c r="F223" s="14">
        <v>-0.138526452</v>
      </c>
      <c r="G223" s="15">
        <v>107.0</v>
      </c>
      <c r="H223" s="15">
        <v>125.0</v>
      </c>
      <c r="I223" s="15">
        <v>83.0</v>
      </c>
      <c r="J223" s="15">
        <v>134.0</v>
      </c>
      <c r="K223" s="15">
        <v>99.0</v>
      </c>
      <c r="L223" s="15">
        <v>85.0</v>
      </c>
      <c r="M223" s="16">
        <v>100.0</v>
      </c>
      <c r="N223" s="16">
        <v>97.0</v>
      </c>
    </row>
    <row r="224">
      <c r="A224" s="10">
        <v>650391.0</v>
      </c>
      <c r="B224" s="11" t="s">
        <v>480</v>
      </c>
      <c r="C224" s="12">
        <v>1191.0</v>
      </c>
      <c r="D224" s="10">
        <v>600.0</v>
      </c>
      <c r="E224" s="13">
        <v>253.0</v>
      </c>
      <c r="F224" s="14">
        <v>0.016412781</v>
      </c>
      <c r="G224" s="15">
        <v>96.0</v>
      </c>
      <c r="H224" s="15">
        <v>98.0</v>
      </c>
      <c r="I224" s="15">
        <v>91.0</v>
      </c>
      <c r="J224" s="15">
        <v>101.0</v>
      </c>
      <c r="K224" s="15">
        <v>108.0</v>
      </c>
      <c r="L224" s="15">
        <v>96.0</v>
      </c>
      <c r="M224" s="16">
        <v>100.0</v>
      </c>
      <c r="N224" s="16">
        <v>86.0</v>
      </c>
    </row>
    <row r="225">
      <c r="A225" s="10">
        <v>642133.0</v>
      </c>
      <c r="B225" s="11" t="s">
        <v>85</v>
      </c>
      <c r="C225" s="12">
        <v>1636.0</v>
      </c>
      <c r="D225" s="10">
        <v>706.0</v>
      </c>
      <c r="E225" s="13">
        <v>293.0</v>
      </c>
      <c r="F225" s="14">
        <v>-0.039803883</v>
      </c>
      <c r="G225" s="15">
        <v>74.0</v>
      </c>
      <c r="H225" s="15">
        <v>81.0</v>
      </c>
      <c r="I225" s="15">
        <v>78.0</v>
      </c>
      <c r="J225" s="15">
        <v>89.0</v>
      </c>
      <c r="K225" s="15">
        <v>120.0</v>
      </c>
      <c r="L225" s="15">
        <v>98.0</v>
      </c>
      <c r="M225" s="16">
        <v>100.0</v>
      </c>
      <c r="N225" s="16">
        <v>99.0</v>
      </c>
    </row>
    <row r="226">
      <c r="A226" s="10">
        <v>663853.0</v>
      </c>
      <c r="B226" s="11" t="s">
        <v>28</v>
      </c>
      <c r="C226" s="12">
        <v>741.0</v>
      </c>
      <c r="D226" s="10">
        <v>406.0</v>
      </c>
      <c r="E226" s="13">
        <v>128.0</v>
      </c>
      <c r="F226" s="14">
        <v>0.045594251</v>
      </c>
      <c r="G226" s="15">
        <v>104.0</v>
      </c>
      <c r="H226" s="15">
        <v>92.0</v>
      </c>
      <c r="I226" s="15">
        <v>111.0</v>
      </c>
      <c r="J226" s="15">
        <v>89.0</v>
      </c>
      <c r="K226" s="15">
        <v>98.0</v>
      </c>
      <c r="L226" s="15">
        <v>104.0</v>
      </c>
      <c r="M226" s="16">
        <v>100.0</v>
      </c>
      <c r="N226" s="16">
        <v>102.0</v>
      </c>
    </row>
    <row r="227">
      <c r="A227" s="10">
        <v>665862.0</v>
      </c>
      <c r="B227" s="11" t="s">
        <v>87</v>
      </c>
      <c r="C227" s="12">
        <v>2397.0</v>
      </c>
      <c r="D227" s="10">
        <v>1136.0</v>
      </c>
      <c r="E227" s="13">
        <v>388.0</v>
      </c>
      <c r="F227" s="14">
        <v>0.003226196</v>
      </c>
      <c r="G227" s="15">
        <v>98.0</v>
      </c>
      <c r="H227" s="15">
        <v>94.0</v>
      </c>
      <c r="I227" s="15">
        <v>100.0</v>
      </c>
      <c r="J227" s="15">
        <v>94.0</v>
      </c>
      <c r="K227" s="15">
        <v>95.0</v>
      </c>
      <c r="L227" s="15">
        <v>105.0</v>
      </c>
      <c r="M227" s="16">
        <v>100.0</v>
      </c>
      <c r="N227" s="16">
        <v>107.0</v>
      </c>
    </row>
    <row r="228">
      <c r="A228" s="10">
        <v>571448.0</v>
      </c>
      <c r="B228" s="11" t="s">
        <v>310</v>
      </c>
      <c r="C228" s="12">
        <v>2370.0</v>
      </c>
      <c r="D228" s="10">
        <v>1103.0</v>
      </c>
      <c r="E228" s="13">
        <v>472.0</v>
      </c>
      <c r="F228" s="14">
        <v>-0.016991188</v>
      </c>
      <c r="G228" s="15">
        <v>87.0</v>
      </c>
      <c r="H228" s="15">
        <v>93.0</v>
      </c>
      <c r="I228" s="15">
        <v>98.0</v>
      </c>
      <c r="J228" s="15">
        <v>94.0</v>
      </c>
      <c r="K228" s="15">
        <v>127.0</v>
      </c>
      <c r="L228" s="15">
        <v>89.0</v>
      </c>
      <c r="M228" s="16">
        <v>99.0</v>
      </c>
      <c r="N228" s="16">
        <v>105.0</v>
      </c>
    </row>
    <row r="229">
      <c r="A229" s="10">
        <v>573262.0</v>
      </c>
      <c r="B229" s="11" t="s">
        <v>267</v>
      </c>
      <c r="C229" s="12">
        <v>1862.0</v>
      </c>
      <c r="D229" s="10">
        <v>815.0</v>
      </c>
      <c r="E229" s="13">
        <v>284.0</v>
      </c>
      <c r="F229" s="14">
        <v>-0.039048364</v>
      </c>
      <c r="G229" s="15">
        <v>107.0</v>
      </c>
      <c r="H229" s="15">
        <v>109.0</v>
      </c>
      <c r="I229" s="15">
        <v>100.0</v>
      </c>
      <c r="J229" s="15">
        <v>109.0</v>
      </c>
      <c r="K229" s="15">
        <v>89.0</v>
      </c>
      <c r="L229" s="15">
        <v>99.0</v>
      </c>
      <c r="M229" s="16">
        <v>99.0</v>
      </c>
      <c r="N229" s="16">
        <v>108.0</v>
      </c>
    </row>
    <row r="230">
      <c r="A230" s="10">
        <v>680718.0</v>
      </c>
      <c r="B230" s="11" t="s">
        <v>68</v>
      </c>
      <c r="C230" s="12">
        <v>764.0</v>
      </c>
      <c r="D230" s="10">
        <v>363.0</v>
      </c>
      <c r="E230" s="13">
        <v>131.0</v>
      </c>
      <c r="F230" s="14">
        <v>-0.012140148</v>
      </c>
      <c r="G230" s="15">
        <v>69.0</v>
      </c>
      <c r="H230" s="15">
        <v>82.0</v>
      </c>
      <c r="I230" s="15">
        <v>84.0</v>
      </c>
      <c r="J230" s="15">
        <v>89.0</v>
      </c>
      <c r="K230" s="15">
        <v>101.0</v>
      </c>
      <c r="L230" s="15">
        <v>107.0</v>
      </c>
      <c r="M230" s="16">
        <v>99.0</v>
      </c>
      <c r="N230" s="16">
        <v>90.0</v>
      </c>
    </row>
    <row r="231">
      <c r="A231" s="10">
        <v>666158.0</v>
      </c>
      <c r="B231" s="11" t="s">
        <v>284</v>
      </c>
      <c r="C231" s="12">
        <v>1824.0</v>
      </c>
      <c r="D231" s="10">
        <v>821.0</v>
      </c>
      <c r="E231" s="13">
        <v>311.0</v>
      </c>
      <c r="F231" s="14">
        <v>-0.021053075</v>
      </c>
      <c r="G231" s="15">
        <v>109.0</v>
      </c>
      <c r="H231" s="15">
        <v>100.0</v>
      </c>
      <c r="I231" s="15">
        <v>87.0</v>
      </c>
      <c r="J231" s="15">
        <v>105.0</v>
      </c>
      <c r="K231" s="15">
        <v>101.0</v>
      </c>
      <c r="L231" s="15">
        <v>98.0</v>
      </c>
      <c r="M231" s="16">
        <v>99.0</v>
      </c>
      <c r="N231" s="16">
        <v>96.0</v>
      </c>
    </row>
    <row r="232">
      <c r="A232" s="10">
        <v>643217.0</v>
      </c>
      <c r="B232" s="11" t="s">
        <v>144</v>
      </c>
      <c r="C232" s="12">
        <v>1898.0</v>
      </c>
      <c r="D232" s="10">
        <v>910.0</v>
      </c>
      <c r="E232" s="13">
        <v>363.0</v>
      </c>
      <c r="F232" s="14">
        <v>0.011867973</v>
      </c>
      <c r="G232" s="15">
        <v>108.0</v>
      </c>
      <c r="H232" s="15">
        <v>108.0</v>
      </c>
      <c r="I232" s="15">
        <v>114.0</v>
      </c>
      <c r="J232" s="15">
        <v>102.0</v>
      </c>
      <c r="K232" s="15">
        <v>101.0</v>
      </c>
      <c r="L232" s="15">
        <v>95.0</v>
      </c>
      <c r="M232" s="16">
        <v>99.0</v>
      </c>
      <c r="N232" s="16">
        <v>99.0</v>
      </c>
    </row>
    <row r="233">
      <c r="A233" s="10">
        <v>686681.0</v>
      </c>
      <c r="B233" s="11" t="s">
        <v>368</v>
      </c>
      <c r="C233" s="12">
        <v>1217.0</v>
      </c>
      <c r="D233" s="10">
        <v>628.0</v>
      </c>
      <c r="E233" s="13">
        <v>262.0</v>
      </c>
      <c r="F233" s="14">
        <v>0.040732248</v>
      </c>
      <c r="G233" s="15">
        <v>74.0</v>
      </c>
      <c r="H233" s="15">
        <v>77.0</v>
      </c>
      <c r="I233" s="15">
        <v>110.0</v>
      </c>
      <c r="J233" s="15">
        <v>75.0</v>
      </c>
      <c r="K233" s="15">
        <v>129.0</v>
      </c>
      <c r="L233" s="15">
        <v>94.0</v>
      </c>
      <c r="M233" s="16">
        <v>99.0</v>
      </c>
      <c r="N233" s="16">
        <v>100.0</v>
      </c>
    </row>
    <row r="234">
      <c r="A234" s="10">
        <v>666182.0</v>
      </c>
      <c r="B234" s="11" t="s">
        <v>48</v>
      </c>
      <c r="C234" s="12">
        <v>1170.0</v>
      </c>
      <c r="D234" s="10">
        <v>660.0</v>
      </c>
      <c r="E234" s="13">
        <v>245.0</v>
      </c>
      <c r="F234" s="14">
        <v>0.069500578</v>
      </c>
      <c r="G234" s="15">
        <v>100.0</v>
      </c>
      <c r="H234" s="15">
        <v>89.0</v>
      </c>
      <c r="I234" s="15">
        <v>114.0</v>
      </c>
      <c r="J234" s="15">
        <v>84.0</v>
      </c>
      <c r="K234" s="15">
        <v>114.0</v>
      </c>
      <c r="L234" s="15">
        <v>95.0</v>
      </c>
      <c r="M234" s="16">
        <v>99.0</v>
      </c>
      <c r="N234" s="16">
        <v>85.0</v>
      </c>
    </row>
    <row r="235">
      <c r="A235" s="10">
        <v>608336.0</v>
      </c>
      <c r="B235" s="11" t="s">
        <v>481</v>
      </c>
      <c r="C235" s="12">
        <v>991.0</v>
      </c>
      <c r="D235" s="10">
        <v>440.0</v>
      </c>
      <c r="E235" s="13">
        <v>113.0</v>
      </c>
      <c r="F235" s="14">
        <v>-0.036729808</v>
      </c>
      <c r="G235" s="15">
        <v>124.0</v>
      </c>
      <c r="H235" s="15">
        <v>121.0</v>
      </c>
      <c r="I235" s="15">
        <v>91.0</v>
      </c>
      <c r="J235" s="15">
        <v>123.0</v>
      </c>
      <c r="K235" s="15">
        <v>63.0</v>
      </c>
      <c r="L235" s="15">
        <v>111.0</v>
      </c>
      <c r="M235" s="16">
        <v>99.0</v>
      </c>
      <c r="N235" s="16">
        <v>92.0</v>
      </c>
    </row>
    <row r="236">
      <c r="A236" s="10">
        <v>543685.0</v>
      </c>
      <c r="B236" s="11" t="s">
        <v>482</v>
      </c>
      <c r="C236" s="12">
        <v>960.0</v>
      </c>
      <c r="D236" s="10">
        <v>387.0</v>
      </c>
      <c r="E236" s="13">
        <v>172.0</v>
      </c>
      <c r="F236" s="14">
        <v>-0.09988891</v>
      </c>
      <c r="G236" s="15">
        <v>105.0</v>
      </c>
      <c r="H236" s="15">
        <v>125.0</v>
      </c>
      <c r="I236" s="15">
        <v>91.0</v>
      </c>
      <c r="J236" s="15">
        <v>130.0</v>
      </c>
      <c r="K236" s="15">
        <v>117.0</v>
      </c>
      <c r="L236" s="15">
        <v>78.0</v>
      </c>
      <c r="M236" s="16">
        <v>99.0</v>
      </c>
      <c r="N236" s="16">
        <v>92.0</v>
      </c>
    </row>
    <row r="237">
      <c r="A237" s="10">
        <v>657757.0</v>
      </c>
      <c r="B237" s="11" t="s">
        <v>75</v>
      </c>
      <c r="C237" s="12">
        <v>2012.0</v>
      </c>
      <c r="D237" s="10">
        <v>920.0</v>
      </c>
      <c r="E237" s="13">
        <v>334.0</v>
      </c>
      <c r="F237" s="14">
        <v>3.02357E-4</v>
      </c>
      <c r="G237" s="15">
        <v>77.0</v>
      </c>
      <c r="H237" s="15">
        <v>78.0</v>
      </c>
      <c r="I237" s="15">
        <v>88.0</v>
      </c>
      <c r="J237" s="15">
        <v>84.0</v>
      </c>
      <c r="K237" s="15">
        <v>115.0</v>
      </c>
      <c r="L237" s="15">
        <v>100.0</v>
      </c>
      <c r="M237" s="16">
        <v>99.0</v>
      </c>
      <c r="N237" s="16">
        <v>94.0</v>
      </c>
    </row>
    <row r="238">
      <c r="A238" s="10">
        <v>691406.0</v>
      </c>
      <c r="B238" s="11" t="s">
        <v>183</v>
      </c>
      <c r="C238" s="12">
        <v>527.0</v>
      </c>
      <c r="D238" s="10">
        <v>247.0</v>
      </c>
      <c r="E238" s="13">
        <v>102.0</v>
      </c>
      <c r="F238" s="14">
        <v>-0.007049403</v>
      </c>
      <c r="G238" s="15">
        <v>68.0</v>
      </c>
      <c r="H238" s="15">
        <v>80.0</v>
      </c>
      <c r="I238" s="15">
        <v>94.0</v>
      </c>
      <c r="J238" s="15">
        <v>84.0</v>
      </c>
      <c r="K238" s="15">
        <v>102.0</v>
      </c>
      <c r="L238" s="15">
        <v>107.0</v>
      </c>
      <c r="M238" s="16">
        <v>99.0</v>
      </c>
      <c r="N238" s="16">
        <v>95.0</v>
      </c>
    </row>
    <row r="239">
      <c r="A239" s="10">
        <v>543760.0</v>
      </c>
      <c r="B239" s="11" t="s">
        <v>152</v>
      </c>
      <c r="C239" s="12">
        <v>2463.0</v>
      </c>
      <c r="D239" s="10">
        <v>1237.0</v>
      </c>
      <c r="E239" s="13">
        <v>509.0</v>
      </c>
      <c r="F239" s="14">
        <v>0.030574786</v>
      </c>
      <c r="G239" s="15">
        <v>127.0</v>
      </c>
      <c r="H239" s="15">
        <v>117.0</v>
      </c>
      <c r="I239" s="15">
        <v>126.0</v>
      </c>
      <c r="J239" s="15">
        <v>106.0</v>
      </c>
      <c r="K239" s="15">
        <v>113.0</v>
      </c>
      <c r="L239" s="15">
        <v>85.0</v>
      </c>
      <c r="M239" s="16">
        <v>99.0</v>
      </c>
      <c r="N239" s="16">
        <v>96.0</v>
      </c>
    </row>
    <row r="240">
      <c r="A240" s="10">
        <v>650489.0</v>
      </c>
      <c r="B240" s="11" t="s">
        <v>294</v>
      </c>
      <c r="C240" s="12">
        <v>2383.0</v>
      </c>
      <c r="D240" s="10">
        <v>1219.0</v>
      </c>
      <c r="E240" s="13">
        <v>386.0</v>
      </c>
      <c r="F240" s="14">
        <v>0.040194457</v>
      </c>
      <c r="G240" s="15">
        <v>98.0</v>
      </c>
      <c r="H240" s="15">
        <v>96.0</v>
      </c>
      <c r="I240" s="15">
        <v>106.0</v>
      </c>
      <c r="J240" s="15">
        <v>94.0</v>
      </c>
      <c r="K240" s="15">
        <v>99.0</v>
      </c>
      <c r="L240" s="15">
        <v>101.0</v>
      </c>
      <c r="M240" s="16">
        <v>99.0</v>
      </c>
      <c r="N240" s="16">
        <v>102.0</v>
      </c>
    </row>
    <row r="241">
      <c r="A241" s="10">
        <v>605204.0</v>
      </c>
      <c r="B241" s="11" t="s">
        <v>483</v>
      </c>
      <c r="C241" s="12">
        <v>575.0</v>
      </c>
      <c r="D241" s="10">
        <v>295.0</v>
      </c>
      <c r="E241" s="13">
        <v>100.0</v>
      </c>
      <c r="F241" s="14">
        <v>-0.013185417</v>
      </c>
      <c r="G241" s="15">
        <v>127.0</v>
      </c>
      <c r="H241" s="15">
        <v>125.0</v>
      </c>
      <c r="I241" s="15">
        <v>106.0</v>
      </c>
      <c r="J241" s="15">
        <v>123.0</v>
      </c>
      <c r="K241" s="15">
        <v>87.0</v>
      </c>
      <c r="L241" s="15">
        <v>94.0</v>
      </c>
      <c r="M241" s="16">
        <v>99.0</v>
      </c>
      <c r="N241" s="16">
        <v>96.0</v>
      </c>
    </row>
    <row r="242">
      <c r="A242" s="10">
        <v>605137.0</v>
      </c>
      <c r="B242" s="11" t="s">
        <v>165</v>
      </c>
      <c r="C242" s="12">
        <v>2187.0</v>
      </c>
      <c r="D242" s="10">
        <v>1066.0</v>
      </c>
      <c r="E242" s="13">
        <v>411.0</v>
      </c>
      <c r="F242" s="14">
        <v>0.016188099</v>
      </c>
      <c r="G242" s="15">
        <v>120.0</v>
      </c>
      <c r="H242" s="15">
        <v>107.0</v>
      </c>
      <c r="I242" s="15">
        <v>108.0</v>
      </c>
      <c r="J242" s="15">
        <v>104.0</v>
      </c>
      <c r="K242" s="15">
        <v>104.0</v>
      </c>
      <c r="L242" s="15">
        <v>93.0</v>
      </c>
      <c r="M242" s="16">
        <v>99.0</v>
      </c>
      <c r="N242" s="16">
        <v>101.0</v>
      </c>
    </row>
    <row r="243">
      <c r="A243" s="10">
        <v>650559.0</v>
      </c>
      <c r="B243" s="11" t="s">
        <v>484</v>
      </c>
      <c r="C243" s="12">
        <v>2297.0</v>
      </c>
      <c r="D243" s="10">
        <v>1231.0</v>
      </c>
      <c r="E243" s="13">
        <v>409.0</v>
      </c>
      <c r="F243" s="14">
        <v>0.045082479</v>
      </c>
      <c r="G243" s="15">
        <v>106.0</v>
      </c>
      <c r="H243" s="15">
        <v>95.0</v>
      </c>
      <c r="I243" s="15">
        <v>123.0</v>
      </c>
      <c r="J243" s="15">
        <v>87.0</v>
      </c>
      <c r="K243" s="15">
        <v>92.0</v>
      </c>
      <c r="L243" s="15">
        <v>105.0</v>
      </c>
      <c r="M243" s="16">
        <v>99.0</v>
      </c>
      <c r="N243" s="16">
        <v>93.0</v>
      </c>
    </row>
    <row r="244">
      <c r="A244" s="10">
        <v>673357.0</v>
      </c>
      <c r="B244" s="11" t="s">
        <v>248</v>
      </c>
      <c r="C244" s="12">
        <v>1512.0</v>
      </c>
      <c r="D244" s="10">
        <v>801.0</v>
      </c>
      <c r="E244" s="13">
        <v>241.0</v>
      </c>
      <c r="F244" s="14">
        <v>0.022995347</v>
      </c>
      <c r="G244" s="15">
        <v>91.0</v>
      </c>
      <c r="H244" s="15">
        <v>95.0</v>
      </c>
      <c r="I244" s="15">
        <v>91.0</v>
      </c>
      <c r="J244" s="15">
        <v>98.0</v>
      </c>
      <c r="K244" s="15">
        <v>92.0</v>
      </c>
      <c r="L244" s="15">
        <v>105.0</v>
      </c>
      <c r="M244" s="16">
        <v>99.0</v>
      </c>
      <c r="N244" s="16">
        <v>101.0</v>
      </c>
    </row>
    <row r="245">
      <c r="A245" s="10">
        <v>643376.0</v>
      </c>
      <c r="B245" s="11" t="s">
        <v>196</v>
      </c>
      <c r="C245" s="12">
        <v>1305.0</v>
      </c>
      <c r="D245" s="10">
        <v>534.0</v>
      </c>
      <c r="E245" s="13">
        <v>211.0</v>
      </c>
      <c r="F245" s="14">
        <v>-0.076919103</v>
      </c>
      <c r="G245" s="15">
        <v>112.0</v>
      </c>
      <c r="H245" s="15">
        <v>132.0</v>
      </c>
      <c r="I245" s="15">
        <v>106.0</v>
      </c>
      <c r="J245" s="15">
        <v>128.0</v>
      </c>
      <c r="K245" s="15">
        <v>100.0</v>
      </c>
      <c r="L245" s="15">
        <v>80.0</v>
      </c>
      <c r="M245" s="16">
        <v>98.0</v>
      </c>
      <c r="N245" s="16">
        <v>98.0</v>
      </c>
    </row>
    <row r="246">
      <c r="A246" s="10">
        <v>593871.0</v>
      </c>
      <c r="B246" s="11" t="s">
        <v>116</v>
      </c>
      <c r="C246" s="12">
        <v>1866.0</v>
      </c>
      <c r="D246" s="10">
        <v>828.0</v>
      </c>
      <c r="E246" s="13">
        <v>263.0</v>
      </c>
      <c r="F246" s="14">
        <v>-0.02969148</v>
      </c>
      <c r="G246" s="15">
        <v>104.0</v>
      </c>
      <c r="H246" s="15">
        <v>104.0</v>
      </c>
      <c r="I246" s="15">
        <v>92.0</v>
      </c>
      <c r="J246" s="15">
        <v>106.0</v>
      </c>
      <c r="K246" s="15">
        <v>85.0</v>
      </c>
      <c r="L246" s="15">
        <v>104.0</v>
      </c>
      <c r="M246" s="16">
        <v>98.0</v>
      </c>
      <c r="N246" s="16">
        <v>91.0</v>
      </c>
    </row>
    <row r="247">
      <c r="A247" s="10">
        <v>669701.0</v>
      </c>
      <c r="B247" s="11" t="s">
        <v>202</v>
      </c>
      <c r="C247" s="12">
        <v>2188.0</v>
      </c>
      <c r="D247" s="10">
        <v>1026.0</v>
      </c>
      <c r="E247" s="13">
        <v>382.0</v>
      </c>
      <c r="F247" s="14">
        <v>-0.018135214</v>
      </c>
      <c r="G247" s="15">
        <v>102.0</v>
      </c>
      <c r="H247" s="15">
        <v>104.0</v>
      </c>
      <c r="I247" s="15">
        <v>95.0</v>
      </c>
      <c r="J247" s="15">
        <v>105.0</v>
      </c>
      <c r="K247" s="15">
        <v>100.0</v>
      </c>
      <c r="L247" s="15">
        <v>96.0</v>
      </c>
      <c r="M247" s="16">
        <v>98.0</v>
      </c>
      <c r="N247" s="16">
        <v>111.0</v>
      </c>
    </row>
    <row r="248">
      <c r="A248" s="10">
        <v>682626.0</v>
      </c>
      <c r="B248" s="11" t="s">
        <v>242</v>
      </c>
      <c r="C248" s="12">
        <v>1233.0</v>
      </c>
      <c r="D248" s="10">
        <v>571.0</v>
      </c>
      <c r="E248" s="13">
        <v>210.0</v>
      </c>
      <c r="F248" s="14">
        <v>-0.020371667</v>
      </c>
      <c r="G248" s="15">
        <v>92.0</v>
      </c>
      <c r="H248" s="15">
        <v>96.0</v>
      </c>
      <c r="I248" s="15">
        <v>81.0</v>
      </c>
      <c r="J248" s="15">
        <v>103.0</v>
      </c>
      <c r="K248" s="15">
        <v>99.0</v>
      </c>
      <c r="L248" s="15">
        <v>99.0</v>
      </c>
      <c r="M248" s="16">
        <v>98.0</v>
      </c>
      <c r="N248" s="16">
        <v>106.0</v>
      </c>
    </row>
    <row r="249">
      <c r="A249" s="10">
        <v>664238.0</v>
      </c>
      <c r="B249" s="11" t="s">
        <v>314</v>
      </c>
      <c r="C249" s="12">
        <v>1729.0</v>
      </c>
      <c r="D249" s="10">
        <v>741.0</v>
      </c>
      <c r="E249" s="13">
        <v>236.0</v>
      </c>
      <c r="F249" s="14">
        <v>-0.071047838</v>
      </c>
      <c r="G249" s="15">
        <v>120.0</v>
      </c>
      <c r="H249" s="15">
        <v>128.0</v>
      </c>
      <c r="I249" s="15">
        <v>98.0</v>
      </c>
      <c r="J249" s="15">
        <v>128.0</v>
      </c>
      <c r="K249" s="15">
        <v>82.0</v>
      </c>
      <c r="L249" s="15">
        <v>90.0</v>
      </c>
      <c r="M249" s="16">
        <v>98.0</v>
      </c>
      <c r="N249" s="16">
        <v>106.0</v>
      </c>
    </row>
    <row r="250">
      <c r="A250" s="10">
        <v>624428.0</v>
      </c>
      <c r="B250" s="11" t="s">
        <v>307</v>
      </c>
      <c r="C250" s="12">
        <v>1160.0</v>
      </c>
      <c r="D250" s="10">
        <v>539.0</v>
      </c>
      <c r="E250" s="13">
        <v>195.0</v>
      </c>
      <c r="F250" s="14">
        <v>-0.017934057</v>
      </c>
      <c r="G250" s="15">
        <v>95.0</v>
      </c>
      <c r="H250" s="15">
        <v>111.0</v>
      </c>
      <c r="I250" s="15">
        <v>110.0</v>
      </c>
      <c r="J250" s="15">
        <v>106.0</v>
      </c>
      <c r="K250" s="15">
        <v>103.0</v>
      </c>
      <c r="L250" s="15">
        <v>90.0</v>
      </c>
      <c r="M250" s="16">
        <v>98.0</v>
      </c>
      <c r="N250" s="16">
        <v>86.0</v>
      </c>
    </row>
    <row r="251">
      <c r="A251" s="10">
        <v>660766.0</v>
      </c>
      <c r="B251" s="11" t="s">
        <v>485</v>
      </c>
      <c r="C251" s="12">
        <v>865.0</v>
      </c>
      <c r="D251" s="10">
        <v>429.0</v>
      </c>
      <c r="E251" s="13">
        <v>170.0</v>
      </c>
      <c r="F251" s="14">
        <v>0.029603787</v>
      </c>
      <c r="G251" s="15">
        <v>104.0</v>
      </c>
      <c r="H251" s="15">
        <v>103.0</v>
      </c>
      <c r="I251" s="15">
        <v>112.0</v>
      </c>
      <c r="J251" s="15">
        <v>99.0</v>
      </c>
      <c r="K251" s="15">
        <v>109.0</v>
      </c>
      <c r="L251" s="15">
        <v>91.0</v>
      </c>
      <c r="M251" s="16">
        <v>98.0</v>
      </c>
      <c r="N251" s="16">
        <v>108.0</v>
      </c>
    </row>
    <row r="252">
      <c r="A252" s="10">
        <v>605131.0</v>
      </c>
      <c r="B252" s="11" t="s">
        <v>486</v>
      </c>
      <c r="C252" s="12">
        <v>553.0</v>
      </c>
      <c r="D252" s="10">
        <v>263.0</v>
      </c>
      <c r="E252" s="13">
        <v>101.0</v>
      </c>
      <c r="F252" s="14">
        <v>-0.040018983</v>
      </c>
      <c r="G252" s="15">
        <v>126.0</v>
      </c>
      <c r="H252" s="15">
        <v>131.0</v>
      </c>
      <c r="I252" s="15">
        <v>107.0</v>
      </c>
      <c r="J252" s="15">
        <v>130.0</v>
      </c>
      <c r="K252" s="15">
        <v>100.0</v>
      </c>
      <c r="L252" s="15">
        <v>82.0</v>
      </c>
      <c r="M252" s="16">
        <v>97.0</v>
      </c>
      <c r="N252" s="16">
        <v>102.0</v>
      </c>
    </row>
    <row r="253">
      <c r="A253" s="10">
        <v>672284.0</v>
      </c>
      <c r="B253" s="11" t="s">
        <v>487</v>
      </c>
      <c r="C253" s="12">
        <v>1746.0</v>
      </c>
      <c r="D253" s="10">
        <v>869.0</v>
      </c>
      <c r="E253" s="13">
        <v>279.0</v>
      </c>
      <c r="F253" s="14">
        <v>0.010417443</v>
      </c>
      <c r="G253" s="15">
        <v>102.0</v>
      </c>
      <c r="H253" s="15">
        <v>91.0</v>
      </c>
      <c r="I253" s="15">
        <v>95.0</v>
      </c>
      <c r="J253" s="15">
        <v>93.0</v>
      </c>
      <c r="K253" s="15">
        <v>88.0</v>
      </c>
      <c r="L253" s="15">
        <v>109.0</v>
      </c>
      <c r="M253" s="16">
        <v>97.0</v>
      </c>
      <c r="N253" s="16">
        <v>92.0</v>
      </c>
    </row>
    <row r="254">
      <c r="A254" s="10">
        <v>669707.0</v>
      </c>
      <c r="B254" s="11" t="s">
        <v>269</v>
      </c>
      <c r="C254" s="12">
        <v>1649.0</v>
      </c>
      <c r="D254" s="10">
        <v>783.0</v>
      </c>
      <c r="E254" s="13">
        <v>264.0</v>
      </c>
      <c r="F254" s="14">
        <v>-0.036128328</v>
      </c>
      <c r="G254" s="15">
        <v>115.0</v>
      </c>
      <c r="H254" s="15">
        <v>113.0</v>
      </c>
      <c r="I254" s="15">
        <v>89.0</v>
      </c>
      <c r="J254" s="15">
        <v>117.0</v>
      </c>
      <c r="K254" s="15">
        <v>96.0</v>
      </c>
      <c r="L254" s="15">
        <v>92.0</v>
      </c>
      <c r="M254" s="16">
        <v>97.0</v>
      </c>
      <c r="N254" s="16">
        <v>94.0</v>
      </c>
    </row>
    <row r="255">
      <c r="A255" s="10">
        <v>656180.0</v>
      </c>
      <c r="B255" s="11" t="s">
        <v>338</v>
      </c>
      <c r="C255" s="12">
        <v>517.0</v>
      </c>
      <c r="D255" s="10">
        <v>256.0</v>
      </c>
      <c r="E255" s="13">
        <v>82.0</v>
      </c>
      <c r="F255" s="14">
        <v>-0.024958572</v>
      </c>
      <c r="G255" s="15">
        <v>98.0</v>
      </c>
      <c r="H255" s="15">
        <v>104.0</v>
      </c>
      <c r="I255" s="15">
        <v>91.0</v>
      </c>
      <c r="J255" s="15">
        <v>106.0</v>
      </c>
      <c r="K255" s="15">
        <v>91.0</v>
      </c>
      <c r="L255" s="15">
        <v>100.0</v>
      </c>
      <c r="M255" s="16">
        <v>97.0</v>
      </c>
      <c r="N255" s="16">
        <v>97.0</v>
      </c>
    </row>
    <row r="256">
      <c r="A256" s="10">
        <v>642350.0</v>
      </c>
      <c r="B256" s="11" t="s">
        <v>488</v>
      </c>
      <c r="C256" s="12">
        <v>1713.0</v>
      </c>
      <c r="D256" s="10">
        <v>866.0</v>
      </c>
      <c r="E256" s="13">
        <v>226.0</v>
      </c>
      <c r="F256" s="14">
        <v>0.017882194</v>
      </c>
      <c r="G256" s="15">
        <v>85.0</v>
      </c>
      <c r="H256" s="15">
        <v>91.0</v>
      </c>
      <c r="I256" s="15">
        <v>99.0</v>
      </c>
      <c r="J256" s="15">
        <v>92.0</v>
      </c>
      <c r="K256" s="15">
        <v>73.0</v>
      </c>
      <c r="L256" s="15">
        <v>122.0</v>
      </c>
      <c r="M256" s="16">
        <v>97.0</v>
      </c>
      <c r="N256" s="16">
        <v>90.0</v>
      </c>
    </row>
    <row r="257">
      <c r="A257" s="10">
        <v>691026.0</v>
      </c>
      <c r="B257" s="11" t="s">
        <v>238</v>
      </c>
      <c r="C257" s="12">
        <v>2386.0</v>
      </c>
      <c r="D257" s="10">
        <v>1123.0</v>
      </c>
      <c r="E257" s="13">
        <v>460.0</v>
      </c>
      <c r="F257" s="14">
        <v>-0.031831862</v>
      </c>
      <c r="G257" s="15">
        <v>82.0</v>
      </c>
      <c r="H257" s="15">
        <v>98.0</v>
      </c>
      <c r="I257" s="15">
        <v>106.0</v>
      </c>
      <c r="J257" s="15">
        <v>96.0</v>
      </c>
      <c r="K257" s="15">
        <v>120.0</v>
      </c>
      <c r="L257" s="15">
        <v>88.0</v>
      </c>
      <c r="M257" s="16">
        <v>97.0</v>
      </c>
      <c r="N257" s="16">
        <v>105.0</v>
      </c>
    </row>
    <row r="258">
      <c r="A258" s="10">
        <v>666139.0</v>
      </c>
      <c r="B258" s="11" t="s">
        <v>142</v>
      </c>
      <c r="C258" s="12">
        <v>1536.0</v>
      </c>
      <c r="D258" s="10">
        <v>788.0</v>
      </c>
      <c r="E258" s="13">
        <v>216.0</v>
      </c>
      <c r="F258" s="14">
        <v>0.022038111</v>
      </c>
      <c r="G258" s="15">
        <v>94.0</v>
      </c>
      <c r="H258" s="15">
        <v>93.0</v>
      </c>
      <c r="I258" s="15">
        <v>115.0</v>
      </c>
      <c r="J258" s="15">
        <v>88.0</v>
      </c>
      <c r="K258" s="15">
        <v>92.0</v>
      </c>
      <c r="L258" s="15">
        <v>105.0</v>
      </c>
      <c r="M258" s="16">
        <v>97.0</v>
      </c>
      <c r="N258" s="16">
        <v>104.0</v>
      </c>
    </row>
    <row r="259">
      <c r="A259" s="10">
        <v>669065.0</v>
      </c>
      <c r="B259" s="11" t="s">
        <v>55</v>
      </c>
      <c r="C259" s="12">
        <v>750.0</v>
      </c>
      <c r="D259" s="10">
        <v>411.0</v>
      </c>
      <c r="E259" s="13">
        <v>113.0</v>
      </c>
      <c r="F259" s="14">
        <v>0.077521337</v>
      </c>
      <c r="G259" s="15">
        <v>111.0</v>
      </c>
      <c r="H259" s="15">
        <v>91.0</v>
      </c>
      <c r="I259" s="15">
        <v>117.0</v>
      </c>
      <c r="J259" s="15">
        <v>87.0</v>
      </c>
      <c r="K259" s="15">
        <v>77.0</v>
      </c>
      <c r="L259" s="15">
        <v>118.0</v>
      </c>
      <c r="M259" s="16">
        <v>97.0</v>
      </c>
      <c r="N259" s="16">
        <v>88.0</v>
      </c>
    </row>
    <row r="260">
      <c r="A260" s="10">
        <v>669234.0</v>
      </c>
      <c r="B260" s="11" t="s">
        <v>281</v>
      </c>
      <c r="C260" s="12">
        <v>949.0</v>
      </c>
      <c r="D260" s="10">
        <v>420.0</v>
      </c>
      <c r="E260" s="13">
        <v>117.0</v>
      </c>
      <c r="F260" s="14">
        <v>-0.071999225</v>
      </c>
      <c r="G260" s="15">
        <v>112.0</v>
      </c>
      <c r="H260" s="15">
        <v>124.0</v>
      </c>
      <c r="I260" s="15">
        <v>95.0</v>
      </c>
      <c r="J260" s="15">
        <v>125.0</v>
      </c>
      <c r="K260" s="15">
        <v>69.0</v>
      </c>
      <c r="L260" s="15">
        <v>100.0</v>
      </c>
      <c r="M260" s="16">
        <v>97.0</v>
      </c>
      <c r="N260" s="16">
        <v>102.0</v>
      </c>
    </row>
    <row r="261">
      <c r="A261" s="10">
        <v>596146.0</v>
      </c>
      <c r="B261" s="11" t="s">
        <v>216</v>
      </c>
      <c r="C261" s="12">
        <v>1492.0</v>
      </c>
      <c r="D261" s="10">
        <v>780.0</v>
      </c>
      <c r="E261" s="13">
        <v>289.0</v>
      </c>
      <c r="F261" s="14">
        <v>0.047714865</v>
      </c>
      <c r="G261" s="15">
        <v>111.0</v>
      </c>
      <c r="H261" s="15">
        <v>102.0</v>
      </c>
      <c r="I261" s="15">
        <v>123.0</v>
      </c>
      <c r="J261" s="15">
        <v>94.0</v>
      </c>
      <c r="K261" s="15">
        <v>104.0</v>
      </c>
      <c r="L261" s="15">
        <v>94.0</v>
      </c>
      <c r="M261" s="16">
        <v>97.0</v>
      </c>
      <c r="N261" s="16">
        <v>98.0</v>
      </c>
    </row>
    <row r="262">
      <c r="A262" s="10">
        <v>656541.0</v>
      </c>
      <c r="B262" s="11" t="s">
        <v>489</v>
      </c>
      <c r="C262" s="12">
        <v>564.0</v>
      </c>
      <c r="D262" s="10">
        <v>264.0</v>
      </c>
      <c r="E262" s="13">
        <v>80.0</v>
      </c>
      <c r="F262" s="14">
        <v>-0.023175118</v>
      </c>
      <c r="G262" s="15">
        <v>96.0</v>
      </c>
      <c r="H262" s="15">
        <v>90.0</v>
      </c>
      <c r="I262" s="15">
        <v>81.0</v>
      </c>
      <c r="J262" s="15">
        <v>97.0</v>
      </c>
      <c r="K262" s="15">
        <v>81.0</v>
      </c>
      <c r="L262" s="15">
        <v>114.0</v>
      </c>
      <c r="M262" s="16">
        <v>97.0</v>
      </c>
      <c r="N262" s="16">
        <v>116.0</v>
      </c>
    </row>
    <row r="263">
      <c r="A263" s="10">
        <v>607208.0</v>
      </c>
      <c r="B263" s="11" t="s">
        <v>224</v>
      </c>
      <c r="C263" s="12">
        <v>1917.0</v>
      </c>
      <c r="D263" s="10">
        <v>1018.0</v>
      </c>
      <c r="E263" s="13">
        <v>379.0</v>
      </c>
      <c r="F263" s="14">
        <v>0.050847325</v>
      </c>
      <c r="G263" s="15">
        <v>108.0</v>
      </c>
      <c r="H263" s="15">
        <v>94.0</v>
      </c>
      <c r="I263" s="15">
        <v>118.0</v>
      </c>
      <c r="J263" s="15">
        <v>88.0</v>
      </c>
      <c r="K263" s="15">
        <v>109.0</v>
      </c>
      <c r="L263" s="15">
        <v>94.0</v>
      </c>
      <c r="M263" s="16">
        <v>97.0</v>
      </c>
      <c r="N263" s="16">
        <v>115.0</v>
      </c>
    </row>
    <row r="264">
      <c r="A264" s="10">
        <v>621035.0</v>
      </c>
      <c r="B264" s="11" t="s">
        <v>490</v>
      </c>
      <c r="C264" s="12">
        <v>958.0</v>
      </c>
      <c r="D264" s="10">
        <v>460.0</v>
      </c>
      <c r="E264" s="13">
        <v>129.0</v>
      </c>
      <c r="F264" s="14">
        <v>-0.034517068</v>
      </c>
      <c r="G264" s="15">
        <v>133.0</v>
      </c>
      <c r="H264" s="15">
        <v>132.0</v>
      </c>
      <c r="I264" s="15">
        <v>114.0</v>
      </c>
      <c r="J264" s="15">
        <v>126.0</v>
      </c>
      <c r="K264" s="15">
        <v>75.0</v>
      </c>
      <c r="L264" s="15">
        <v>92.0</v>
      </c>
      <c r="M264" s="16">
        <v>97.0</v>
      </c>
      <c r="N264" s="16">
        <v>86.0</v>
      </c>
    </row>
    <row r="265">
      <c r="A265" s="10">
        <v>518934.0</v>
      </c>
      <c r="B265" s="11" t="s">
        <v>258</v>
      </c>
      <c r="C265" s="12">
        <v>840.0</v>
      </c>
      <c r="D265" s="10">
        <v>375.0</v>
      </c>
      <c r="E265" s="13">
        <v>171.0</v>
      </c>
      <c r="F265" s="14">
        <v>-0.053345814</v>
      </c>
      <c r="G265" s="15">
        <v>72.0</v>
      </c>
      <c r="H265" s="15">
        <v>96.0</v>
      </c>
      <c r="I265" s="15">
        <v>91.0</v>
      </c>
      <c r="J265" s="15">
        <v>100.0</v>
      </c>
      <c r="K265" s="15">
        <v>117.0</v>
      </c>
      <c r="L265" s="15">
        <v>91.0</v>
      </c>
      <c r="M265" s="16">
        <v>97.0</v>
      </c>
      <c r="N265" s="16">
        <v>77.0</v>
      </c>
    </row>
    <row r="266">
      <c r="A266" s="10">
        <v>664913.0</v>
      </c>
      <c r="B266" s="11" t="s">
        <v>491</v>
      </c>
      <c r="C266" s="12">
        <v>1439.0</v>
      </c>
      <c r="D266" s="10">
        <v>748.0</v>
      </c>
      <c r="E266" s="13">
        <v>242.0</v>
      </c>
      <c r="F266" s="14">
        <v>0.042127413</v>
      </c>
      <c r="G266" s="15">
        <v>111.0</v>
      </c>
      <c r="H266" s="15">
        <v>91.0</v>
      </c>
      <c r="I266" s="15">
        <v>103.0</v>
      </c>
      <c r="J266" s="15">
        <v>90.0</v>
      </c>
      <c r="K266" s="15">
        <v>97.0</v>
      </c>
      <c r="L266" s="15">
        <v>102.0</v>
      </c>
      <c r="M266" s="16">
        <v>96.0</v>
      </c>
      <c r="N266" s="16">
        <v>96.0</v>
      </c>
    </row>
    <row r="267">
      <c r="A267" s="10">
        <v>664056.0</v>
      </c>
      <c r="B267" s="11" t="s">
        <v>266</v>
      </c>
      <c r="C267" s="12">
        <v>1578.0</v>
      </c>
      <c r="D267" s="10">
        <v>733.0</v>
      </c>
      <c r="E267" s="13">
        <v>304.0</v>
      </c>
      <c r="F267" s="14">
        <v>-0.005279613</v>
      </c>
      <c r="G267" s="15">
        <v>74.0</v>
      </c>
      <c r="H267" s="15">
        <v>82.0</v>
      </c>
      <c r="I267" s="15">
        <v>94.0</v>
      </c>
      <c r="J267" s="15">
        <v>85.0</v>
      </c>
      <c r="K267" s="15">
        <v>113.0</v>
      </c>
      <c r="L267" s="15">
        <v>98.0</v>
      </c>
      <c r="M267" s="16">
        <v>96.0</v>
      </c>
      <c r="N267" s="16">
        <v>98.0</v>
      </c>
    </row>
    <row r="268">
      <c r="A268" s="10">
        <v>543257.0</v>
      </c>
      <c r="B268" s="11" t="s">
        <v>492</v>
      </c>
      <c r="C268" s="12">
        <v>967.0</v>
      </c>
      <c r="D268" s="10">
        <v>354.0</v>
      </c>
      <c r="E268" s="13">
        <v>146.0</v>
      </c>
      <c r="F268" s="14">
        <v>-0.119798877</v>
      </c>
      <c r="G268" s="15">
        <v>103.0</v>
      </c>
      <c r="H268" s="15">
        <v>116.0</v>
      </c>
      <c r="I268" s="15">
        <v>73.0</v>
      </c>
      <c r="J268" s="15">
        <v>125.0</v>
      </c>
      <c r="K268" s="15">
        <v>105.0</v>
      </c>
      <c r="L268" s="15">
        <v>83.0</v>
      </c>
      <c r="M268" s="16">
        <v>96.0</v>
      </c>
      <c r="N268" s="16">
        <v>100.0</v>
      </c>
    </row>
    <row r="269">
      <c r="A269" s="10">
        <v>642136.0</v>
      </c>
      <c r="B269" s="11" t="s">
        <v>319</v>
      </c>
      <c r="C269" s="12">
        <v>668.0</v>
      </c>
      <c r="D269" s="10">
        <v>293.0</v>
      </c>
      <c r="E269" s="13">
        <v>91.0</v>
      </c>
      <c r="F269" s="14">
        <v>-0.041077522</v>
      </c>
      <c r="G269" s="15">
        <v>116.0</v>
      </c>
      <c r="H269" s="15">
        <v>118.0</v>
      </c>
      <c r="I269" s="15">
        <v>97.0</v>
      </c>
      <c r="J269" s="15">
        <v>118.0</v>
      </c>
      <c r="K269" s="15">
        <v>71.0</v>
      </c>
      <c r="L269" s="15">
        <v>102.0</v>
      </c>
      <c r="M269" s="16">
        <v>96.0</v>
      </c>
      <c r="N269" s="16">
        <v>94.0</v>
      </c>
    </row>
    <row r="270">
      <c r="A270" s="10">
        <v>592192.0</v>
      </c>
      <c r="B270" s="11" t="s">
        <v>324</v>
      </c>
      <c r="C270" s="12">
        <v>1915.0</v>
      </c>
      <c r="D270" s="10">
        <v>793.0</v>
      </c>
      <c r="E270" s="13">
        <v>297.0</v>
      </c>
      <c r="F270" s="14">
        <v>-0.077189427</v>
      </c>
      <c r="G270" s="15">
        <v>95.0</v>
      </c>
      <c r="H270" s="15">
        <v>117.0</v>
      </c>
      <c r="I270" s="15">
        <v>93.0</v>
      </c>
      <c r="J270" s="15">
        <v>118.0</v>
      </c>
      <c r="K270" s="15">
        <v>103.0</v>
      </c>
      <c r="L270" s="15">
        <v>84.0</v>
      </c>
      <c r="M270" s="16">
        <v>96.0</v>
      </c>
      <c r="N270" s="16">
        <v>104.0</v>
      </c>
    </row>
    <row r="271">
      <c r="A271" s="10">
        <v>681082.0</v>
      </c>
      <c r="B271" s="11" t="s">
        <v>233</v>
      </c>
      <c r="C271" s="12">
        <v>2153.0</v>
      </c>
      <c r="D271" s="10">
        <v>953.0</v>
      </c>
      <c r="E271" s="13">
        <v>397.0</v>
      </c>
      <c r="F271" s="14">
        <v>-0.029197539</v>
      </c>
      <c r="G271" s="15">
        <v>73.0</v>
      </c>
      <c r="H271" s="15">
        <v>90.0</v>
      </c>
      <c r="I271" s="15">
        <v>97.0</v>
      </c>
      <c r="J271" s="15">
        <v>91.0</v>
      </c>
      <c r="K271" s="15">
        <v>117.0</v>
      </c>
      <c r="L271" s="15">
        <v>92.0</v>
      </c>
      <c r="M271" s="16">
        <v>96.0</v>
      </c>
      <c r="N271" s="16">
        <v>97.0</v>
      </c>
    </row>
    <row r="272">
      <c r="A272" s="10">
        <v>687401.0</v>
      </c>
      <c r="B272" s="11" t="s">
        <v>344</v>
      </c>
      <c r="C272" s="12">
        <v>1990.0</v>
      </c>
      <c r="D272" s="10">
        <v>787.0</v>
      </c>
      <c r="E272" s="13">
        <v>324.0</v>
      </c>
      <c r="F272" s="14">
        <v>-0.102510296</v>
      </c>
      <c r="G272" s="15">
        <v>69.0</v>
      </c>
      <c r="H272" s="15">
        <v>95.0</v>
      </c>
      <c r="I272" s="15">
        <v>69.0</v>
      </c>
      <c r="J272" s="15">
        <v>107.0</v>
      </c>
      <c r="K272" s="15">
        <v>116.0</v>
      </c>
      <c r="L272" s="15">
        <v>89.0</v>
      </c>
      <c r="M272" s="16">
        <v>96.0</v>
      </c>
      <c r="N272" s="16">
        <v>105.0</v>
      </c>
    </row>
    <row r="273">
      <c r="A273" s="10">
        <v>664983.0</v>
      </c>
      <c r="B273" s="11" t="s">
        <v>493</v>
      </c>
      <c r="C273" s="12">
        <v>1682.0</v>
      </c>
      <c r="D273" s="10">
        <v>828.0</v>
      </c>
      <c r="E273" s="13">
        <v>351.0</v>
      </c>
      <c r="F273" s="14">
        <v>0.019766169</v>
      </c>
      <c r="G273" s="15">
        <v>92.0</v>
      </c>
      <c r="H273" s="15">
        <v>92.0</v>
      </c>
      <c r="I273" s="15">
        <v>98.0</v>
      </c>
      <c r="J273" s="15">
        <v>93.0</v>
      </c>
      <c r="K273" s="15">
        <v>120.0</v>
      </c>
      <c r="L273" s="15">
        <v>90.0</v>
      </c>
      <c r="M273" s="16">
        <v>96.0</v>
      </c>
      <c r="N273" s="16">
        <v>109.0</v>
      </c>
    </row>
    <row r="274">
      <c r="A274" s="10">
        <v>642086.0</v>
      </c>
      <c r="B274" s="11" t="s">
        <v>494</v>
      </c>
      <c r="C274" s="12">
        <v>1186.0</v>
      </c>
      <c r="D274" s="10">
        <v>537.0</v>
      </c>
      <c r="E274" s="13">
        <v>195.0</v>
      </c>
      <c r="F274" s="14">
        <v>-0.011295146</v>
      </c>
      <c r="G274" s="15">
        <v>97.0</v>
      </c>
      <c r="H274" s="15">
        <v>98.0</v>
      </c>
      <c r="I274" s="15">
        <v>84.0</v>
      </c>
      <c r="J274" s="15">
        <v>103.0</v>
      </c>
      <c r="K274" s="15">
        <v>96.0</v>
      </c>
      <c r="L274" s="15">
        <v>99.0</v>
      </c>
      <c r="M274" s="16">
        <v>96.0</v>
      </c>
      <c r="N274" s="16">
        <v>98.0</v>
      </c>
    </row>
    <row r="275">
      <c r="A275" s="10">
        <v>679529.0</v>
      </c>
      <c r="B275" s="11" t="s">
        <v>50</v>
      </c>
      <c r="C275" s="12">
        <v>1445.0</v>
      </c>
      <c r="D275" s="10">
        <v>666.0</v>
      </c>
      <c r="E275" s="13">
        <v>222.0</v>
      </c>
      <c r="F275" s="14">
        <v>-0.044369941</v>
      </c>
      <c r="G275" s="15">
        <v>108.0</v>
      </c>
      <c r="H275" s="15">
        <v>115.0</v>
      </c>
      <c r="I275" s="15">
        <v>106.0</v>
      </c>
      <c r="J275" s="15">
        <v>112.0</v>
      </c>
      <c r="K275" s="15">
        <v>88.0</v>
      </c>
      <c r="L275" s="15">
        <v>93.0</v>
      </c>
      <c r="M275" s="16">
        <v>96.0</v>
      </c>
      <c r="N275" s="16">
        <v>100.0</v>
      </c>
    </row>
    <row r="276">
      <c r="A276" s="10">
        <v>592669.0</v>
      </c>
      <c r="B276" s="11" t="s">
        <v>495</v>
      </c>
      <c r="C276" s="12">
        <v>1556.0</v>
      </c>
      <c r="D276" s="10">
        <v>688.0</v>
      </c>
      <c r="E276" s="13">
        <v>288.0</v>
      </c>
      <c r="F276" s="14">
        <v>-0.045339011</v>
      </c>
      <c r="G276" s="15">
        <v>93.0</v>
      </c>
      <c r="H276" s="15">
        <v>103.0</v>
      </c>
      <c r="I276" s="15">
        <v>90.0</v>
      </c>
      <c r="J276" s="15">
        <v>106.0</v>
      </c>
      <c r="K276" s="15">
        <v>112.0</v>
      </c>
      <c r="L276" s="15">
        <v>88.0</v>
      </c>
      <c r="M276" s="16">
        <v>96.0</v>
      </c>
      <c r="N276" s="16">
        <v>99.0</v>
      </c>
    </row>
    <row r="277">
      <c r="A277" s="10">
        <v>678009.0</v>
      </c>
      <c r="B277" s="11" t="s">
        <v>265</v>
      </c>
      <c r="C277" s="12">
        <v>1093.0</v>
      </c>
      <c r="D277" s="10">
        <v>490.0</v>
      </c>
      <c r="E277" s="13">
        <v>174.0</v>
      </c>
      <c r="F277" s="14">
        <v>-0.036978592</v>
      </c>
      <c r="G277" s="15">
        <v>106.0</v>
      </c>
      <c r="H277" s="15">
        <v>104.0</v>
      </c>
      <c r="I277" s="15">
        <v>87.0</v>
      </c>
      <c r="J277" s="15">
        <v>108.0</v>
      </c>
      <c r="K277" s="15">
        <v>97.0</v>
      </c>
      <c r="L277" s="15">
        <v>94.0</v>
      </c>
      <c r="M277" s="16">
        <v>96.0</v>
      </c>
      <c r="N277" s="16">
        <v>107.0</v>
      </c>
    </row>
    <row r="278">
      <c r="A278" s="10">
        <v>672695.0</v>
      </c>
      <c r="B278" s="11" t="s">
        <v>117</v>
      </c>
      <c r="C278" s="12">
        <v>1453.0</v>
      </c>
      <c r="D278" s="10">
        <v>591.0</v>
      </c>
      <c r="E278" s="13">
        <v>272.0</v>
      </c>
      <c r="F278" s="14">
        <v>-0.088416117</v>
      </c>
      <c r="G278" s="15">
        <v>98.0</v>
      </c>
      <c r="H278" s="15">
        <v>117.0</v>
      </c>
      <c r="I278" s="15">
        <v>88.0</v>
      </c>
      <c r="J278" s="15">
        <v>122.0</v>
      </c>
      <c r="K278" s="15">
        <v>130.0</v>
      </c>
      <c r="L278" s="15">
        <v>74.0</v>
      </c>
      <c r="M278" s="16">
        <v>96.0</v>
      </c>
      <c r="N278" s="16">
        <v>105.0</v>
      </c>
    </row>
    <row r="279">
      <c r="A279" s="10">
        <v>596103.0</v>
      </c>
      <c r="B279" s="11" t="s">
        <v>51</v>
      </c>
      <c r="C279" s="12">
        <v>854.0</v>
      </c>
      <c r="D279" s="10">
        <v>363.0</v>
      </c>
      <c r="E279" s="13">
        <v>117.0</v>
      </c>
      <c r="F279" s="14">
        <v>-0.068495083</v>
      </c>
      <c r="G279" s="15">
        <v>115.0</v>
      </c>
      <c r="H279" s="15">
        <v>118.0</v>
      </c>
      <c r="I279" s="15">
        <v>74.0</v>
      </c>
      <c r="J279" s="15">
        <v>127.0</v>
      </c>
      <c r="K279" s="15">
        <v>82.0</v>
      </c>
      <c r="L279" s="15">
        <v>94.0</v>
      </c>
      <c r="M279" s="16">
        <v>96.0</v>
      </c>
      <c r="N279" s="16">
        <v>86.0</v>
      </c>
    </row>
    <row r="280">
      <c r="A280" s="10">
        <v>655316.0</v>
      </c>
      <c r="B280" s="11" t="s">
        <v>496</v>
      </c>
      <c r="C280" s="12">
        <v>619.0</v>
      </c>
      <c r="D280" s="10">
        <v>265.0</v>
      </c>
      <c r="E280" s="13">
        <v>83.0</v>
      </c>
      <c r="F280" s="14">
        <v>-0.091363976</v>
      </c>
      <c r="G280" s="15">
        <v>114.0</v>
      </c>
      <c r="H280" s="15">
        <v>124.0</v>
      </c>
      <c r="I280" s="15">
        <v>89.0</v>
      </c>
      <c r="J280" s="15">
        <v>127.0</v>
      </c>
      <c r="K280" s="15">
        <v>81.0</v>
      </c>
      <c r="L280" s="15">
        <v>90.0</v>
      </c>
      <c r="M280" s="16">
        <v>95.0</v>
      </c>
      <c r="N280" s="16">
        <v>91.0</v>
      </c>
    </row>
    <row r="281">
      <c r="A281" s="10">
        <v>669261.0</v>
      </c>
      <c r="B281" s="11" t="s">
        <v>497</v>
      </c>
      <c r="C281" s="12">
        <v>1111.0</v>
      </c>
      <c r="D281" s="10">
        <v>517.0</v>
      </c>
      <c r="E281" s="13">
        <v>169.0</v>
      </c>
      <c r="F281" s="14">
        <v>-0.046211268</v>
      </c>
      <c r="G281" s="15">
        <v>112.0</v>
      </c>
      <c r="H281" s="15">
        <v>111.0</v>
      </c>
      <c r="I281" s="15">
        <v>91.0</v>
      </c>
      <c r="J281" s="15">
        <v>114.0</v>
      </c>
      <c r="K281" s="15">
        <v>85.0</v>
      </c>
      <c r="L281" s="15">
        <v>97.0</v>
      </c>
      <c r="M281" s="16">
        <v>95.0</v>
      </c>
      <c r="N281" s="16">
        <v>87.0</v>
      </c>
    </row>
    <row r="282">
      <c r="A282" s="10">
        <v>656716.0</v>
      </c>
      <c r="B282" s="11" t="s">
        <v>189</v>
      </c>
      <c r="C282" s="12">
        <v>1200.0</v>
      </c>
      <c r="D282" s="10">
        <v>574.0</v>
      </c>
      <c r="E282" s="13">
        <v>219.0</v>
      </c>
      <c r="F282" s="14">
        <v>0.009211997</v>
      </c>
      <c r="G282" s="15">
        <v>95.0</v>
      </c>
      <c r="H282" s="15">
        <v>97.0</v>
      </c>
      <c r="I282" s="15">
        <v>108.0</v>
      </c>
      <c r="J282" s="15">
        <v>94.0</v>
      </c>
      <c r="K282" s="15">
        <v>107.0</v>
      </c>
      <c r="L282" s="15">
        <v>93.0</v>
      </c>
      <c r="M282" s="16">
        <v>95.0</v>
      </c>
      <c r="N282" s="16">
        <v>89.0</v>
      </c>
    </row>
    <row r="283">
      <c r="A283" s="10">
        <v>673962.0</v>
      </c>
      <c r="B283" s="11" t="s">
        <v>168</v>
      </c>
      <c r="C283" s="12">
        <v>693.0</v>
      </c>
      <c r="D283" s="10">
        <v>360.0</v>
      </c>
      <c r="E283" s="13">
        <v>131.0</v>
      </c>
      <c r="F283" s="14">
        <v>0.019260502</v>
      </c>
      <c r="G283" s="15">
        <v>86.0</v>
      </c>
      <c r="H283" s="15">
        <v>75.0</v>
      </c>
      <c r="I283" s="15">
        <v>73.0</v>
      </c>
      <c r="J283" s="15">
        <v>86.0</v>
      </c>
      <c r="K283" s="15">
        <v>103.0</v>
      </c>
      <c r="L283" s="15">
        <v>105.0</v>
      </c>
      <c r="M283" s="16">
        <v>95.0</v>
      </c>
      <c r="N283" s="16">
        <v>100.0</v>
      </c>
    </row>
    <row r="284">
      <c r="A284" s="10">
        <v>672761.0</v>
      </c>
      <c r="B284" s="11" t="s">
        <v>207</v>
      </c>
      <c r="C284" s="12">
        <v>1600.0</v>
      </c>
      <c r="D284" s="10">
        <v>737.0</v>
      </c>
      <c r="E284" s="13">
        <v>283.0</v>
      </c>
      <c r="F284" s="14">
        <v>-0.007686978</v>
      </c>
      <c r="G284" s="15">
        <v>87.0</v>
      </c>
      <c r="H284" s="15">
        <v>89.0</v>
      </c>
      <c r="I284" s="15">
        <v>91.0</v>
      </c>
      <c r="J284" s="15">
        <v>92.0</v>
      </c>
      <c r="K284" s="15">
        <v>108.0</v>
      </c>
      <c r="L284" s="15">
        <v>96.0</v>
      </c>
      <c r="M284" s="16">
        <v>95.0</v>
      </c>
      <c r="N284" s="16">
        <v>96.0</v>
      </c>
    </row>
    <row r="285">
      <c r="A285" s="10">
        <v>683146.0</v>
      </c>
      <c r="B285" s="11" t="s">
        <v>137</v>
      </c>
      <c r="C285" s="12">
        <v>652.0</v>
      </c>
      <c r="D285" s="10">
        <v>332.0</v>
      </c>
      <c r="E285" s="13">
        <v>108.0</v>
      </c>
      <c r="F285" s="14">
        <v>0.021049644</v>
      </c>
      <c r="G285" s="15">
        <v>87.0</v>
      </c>
      <c r="H285" s="15">
        <v>91.0</v>
      </c>
      <c r="I285" s="15">
        <v>94.0</v>
      </c>
      <c r="J285" s="15">
        <v>94.0</v>
      </c>
      <c r="K285" s="15">
        <v>103.0</v>
      </c>
      <c r="L285" s="15">
        <v>96.0</v>
      </c>
      <c r="M285" s="16">
        <v>95.0</v>
      </c>
      <c r="N285" s="16">
        <v>94.0</v>
      </c>
    </row>
    <row r="286">
      <c r="A286" s="10">
        <v>670042.0</v>
      </c>
      <c r="B286" s="11" t="s">
        <v>229</v>
      </c>
      <c r="C286" s="12">
        <v>1640.0</v>
      </c>
      <c r="D286" s="10">
        <v>848.0</v>
      </c>
      <c r="E286" s="13">
        <v>260.0</v>
      </c>
      <c r="F286" s="14">
        <v>0.046213422</v>
      </c>
      <c r="G286" s="15">
        <v>120.0</v>
      </c>
      <c r="H286" s="15">
        <v>99.0</v>
      </c>
      <c r="I286" s="15">
        <v>106.0</v>
      </c>
      <c r="J286" s="15">
        <v>96.0</v>
      </c>
      <c r="K286" s="15">
        <v>79.0</v>
      </c>
      <c r="L286" s="15">
        <v>109.0</v>
      </c>
      <c r="M286" s="16">
        <v>95.0</v>
      </c>
      <c r="N286" s="16">
        <v>111.0</v>
      </c>
    </row>
    <row r="287">
      <c r="A287" s="10">
        <v>677870.0</v>
      </c>
      <c r="B287" s="11" t="s">
        <v>498</v>
      </c>
      <c r="C287" s="12">
        <v>791.0</v>
      </c>
      <c r="D287" s="10">
        <v>365.0</v>
      </c>
      <c r="E287" s="13">
        <v>110.0</v>
      </c>
      <c r="F287" s="14">
        <v>-0.044243659</v>
      </c>
      <c r="G287" s="15">
        <v>89.0</v>
      </c>
      <c r="H287" s="15">
        <v>102.0</v>
      </c>
      <c r="I287" s="15">
        <v>88.0</v>
      </c>
      <c r="J287" s="15">
        <v>106.0</v>
      </c>
      <c r="K287" s="15">
        <v>84.0</v>
      </c>
      <c r="L287" s="15">
        <v>102.0</v>
      </c>
      <c r="M287" s="16">
        <v>95.0</v>
      </c>
      <c r="N287" s="16">
        <v>108.0</v>
      </c>
    </row>
    <row r="288">
      <c r="A288" s="10">
        <v>572761.0</v>
      </c>
      <c r="B288" s="11" t="s">
        <v>499</v>
      </c>
      <c r="C288" s="12">
        <v>615.0</v>
      </c>
      <c r="D288" s="10">
        <v>261.0</v>
      </c>
      <c r="E288" s="13">
        <v>82.0</v>
      </c>
      <c r="F288" s="14">
        <v>-0.063593271</v>
      </c>
      <c r="G288" s="15">
        <v>108.0</v>
      </c>
      <c r="H288" s="15">
        <v>116.0</v>
      </c>
      <c r="I288" s="15">
        <v>103.0</v>
      </c>
      <c r="J288" s="15">
        <v>114.0</v>
      </c>
      <c r="K288" s="15">
        <v>83.0</v>
      </c>
      <c r="L288" s="15">
        <v>92.0</v>
      </c>
      <c r="M288" s="16">
        <v>95.0</v>
      </c>
      <c r="N288" s="16">
        <v>105.0</v>
      </c>
    </row>
    <row r="289">
      <c r="A289" s="10">
        <v>665161.0</v>
      </c>
      <c r="B289" s="11" t="s">
        <v>157</v>
      </c>
      <c r="C289" s="12">
        <v>2191.0</v>
      </c>
      <c r="D289" s="10">
        <v>1184.0</v>
      </c>
      <c r="E289" s="13">
        <v>485.0</v>
      </c>
      <c r="F289" s="14">
        <v>0.05214342</v>
      </c>
      <c r="G289" s="15">
        <v>90.0</v>
      </c>
      <c r="H289" s="15">
        <v>83.0</v>
      </c>
      <c r="I289" s="15">
        <v>111.0</v>
      </c>
      <c r="J289" s="15">
        <v>81.0</v>
      </c>
      <c r="K289" s="15">
        <v>121.0</v>
      </c>
      <c r="L289" s="15">
        <v>91.0</v>
      </c>
      <c r="M289" s="16">
        <v>95.0</v>
      </c>
      <c r="N289" s="16">
        <v>100.0</v>
      </c>
    </row>
    <row r="290">
      <c r="A290" s="10">
        <v>641598.0</v>
      </c>
      <c r="B290" s="11" t="s">
        <v>259</v>
      </c>
      <c r="C290" s="12">
        <v>1740.0</v>
      </c>
      <c r="D290" s="10">
        <v>672.0</v>
      </c>
      <c r="E290" s="13">
        <v>222.0</v>
      </c>
      <c r="F290" s="14">
        <v>-0.102293924</v>
      </c>
      <c r="G290" s="15">
        <v>96.0</v>
      </c>
      <c r="H290" s="15">
        <v>118.0</v>
      </c>
      <c r="I290" s="15">
        <v>83.0</v>
      </c>
      <c r="J290" s="15">
        <v>123.0</v>
      </c>
      <c r="K290" s="15">
        <v>81.0</v>
      </c>
      <c r="L290" s="15">
        <v>91.0</v>
      </c>
      <c r="M290" s="16">
        <v>95.0</v>
      </c>
      <c r="N290" s="16">
        <v>93.0</v>
      </c>
    </row>
    <row r="291">
      <c r="A291" s="10">
        <v>668930.0</v>
      </c>
      <c r="B291" s="11" t="s">
        <v>164</v>
      </c>
      <c r="C291" s="12">
        <v>2307.0</v>
      </c>
      <c r="D291" s="10">
        <v>1092.0</v>
      </c>
      <c r="E291" s="13">
        <v>435.0</v>
      </c>
      <c r="F291" s="14">
        <v>-0.013556605</v>
      </c>
      <c r="G291" s="15">
        <v>96.0</v>
      </c>
      <c r="H291" s="15">
        <v>98.0</v>
      </c>
      <c r="I291" s="15">
        <v>92.0</v>
      </c>
      <c r="J291" s="15">
        <v>101.0</v>
      </c>
      <c r="K291" s="15">
        <v>111.0</v>
      </c>
      <c r="L291" s="15">
        <v>89.0</v>
      </c>
      <c r="M291" s="16">
        <v>95.0</v>
      </c>
      <c r="N291" s="16">
        <v>94.0</v>
      </c>
    </row>
    <row r="292">
      <c r="A292" s="10">
        <v>571657.0</v>
      </c>
      <c r="B292" s="11" t="s">
        <v>340</v>
      </c>
      <c r="C292" s="12">
        <v>793.0</v>
      </c>
      <c r="D292" s="10">
        <v>383.0</v>
      </c>
      <c r="E292" s="13">
        <v>152.0</v>
      </c>
      <c r="F292" s="14">
        <v>-0.004881305</v>
      </c>
      <c r="G292" s="15">
        <v>83.0</v>
      </c>
      <c r="H292" s="15">
        <v>97.0</v>
      </c>
      <c r="I292" s="15">
        <v>105.0</v>
      </c>
      <c r="J292" s="15">
        <v>95.0</v>
      </c>
      <c r="K292" s="15">
        <v>110.0</v>
      </c>
      <c r="L292" s="15">
        <v>91.0</v>
      </c>
      <c r="M292" s="16">
        <v>95.0</v>
      </c>
      <c r="N292" s="16">
        <v>98.0</v>
      </c>
    </row>
    <row r="293">
      <c r="A293" s="10">
        <v>666023.0</v>
      </c>
      <c r="B293" s="11" t="s">
        <v>300</v>
      </c>
      <c r="C293" s="12">
        <v>1362.0</v>
      </c>
      <c r="D293" s="10">
        <v>687.0</v>
      </c>
      <c r="E293" s="13">
        <v>259.0</v>
      </c>
      <c r="F293" s="14">
        <v>0.023948217</v>
      </c>
      <c r="G293" s="15">
        <v>111.0</v>
      </c>
      <c r="H293" s="15">
        <v>103.0</v>
      </c>
      <c r="I293" s="15">
        <v>104.0</v>
      </c>
      <c r="J293" s="15">
        <v>101.0</v>
      </c>
      <c r="K293" s="15">
        <v>112.0</v>
      </c>
      <c r="L293" s="15">
        <v>86.0</v>
      </c>
      <c r="M293" s="16">
        <v>94.0</v>
      </c>
      <c r="N293" s="16">
        <v>103.0</v>
      </c>
    </row>
    <row r="294">
      <c r="A294" s="10">
        <v>656537.0</v>
      </c>
      <c r="B294" s="11" t="s">
        <v>351</v>
      </c>
      <c r="C294" s="12">
        <v>548.0</v>
      </c>
      <c r="D294" s="10">
        <v>296.0</v>
      </c>
      <c r="E294" s="13">
        <v>100.0</v>
      </c>
      <c r="F294" s="14">
        <v>0.029757048</v>
      </c>
      <c r="G294" s="15">
        <v>88.0</v>
      </c>
      <c r="H294" s="15">
        <v>83.0</v>
      </c>
      <c r="I294" s="15">
        <v>97.0</v>
      </c>
      <c r="J294" s="15">
        <v>84.0</v>
      </c>
      <c r="K294" s="15">
        <v>82.0</v>
      </c>
      <c r="L294" s="15">
        <v>112.0</v>
      </c>
      <c r="M294" s="16">
        <v>94.0</v>
      </c>
      <c r="N294" s="16">
        <v>96.0</v>
      </c>
    </row>
    <row r="295">
      <c r="A295" s="10">
        <v>678246.0</v>
      </c>
      <c r="B295" s="11" t="s">
        <v>163</v>
      </c>
      <c r="C295" s="12">
        <v>900.0</v>
      </c>
      <c r="D295" s="10">
        <v>403.0</v>
      </c>
      <c r="E295" s="13">
        <v>132.0</v>
      </c>
      <c r="F295" s="14">
        <v>-0.068585172</v>
      </c>
      <c r="G295" s="15">
        <v>116.0</v>
      </c>
      <c r="H295" s="15">
        <v>130.0</v>
      </c>
      <c r="I295" s="15">
        <v>103.0</v>
      </c>
      <c r="J295" s="15">
        <v>127.0</v>
      </c>
      <c r="K295" s="15">
        <v>96.0</v>
      </c>
      <c r="L295" s="15">
        <v>76.0</v>
      </c>
      <c r="M295" s="16">
        <v>94.0</v>
      </c>
      <c r="N295" s="16">
        <v>87.0</v>
      </c>
    </row>
    <row r="296">
      <c r="A296" s="10">
        <v>683011.0</v>
      </c>
      <c r="B296" s="11" t="s">
        <v>215</v>
      </c>
      <c r="C296" s="12">
        <v>2675.0</v>
      </c>
      <c r="D296" s="10">
        <v>1287.0</v>
      </c>
      <c r="E296" s="13">
        <v>468.0</v>
      </c>
      <c r="F296" s="14">
        <v>-0.026590461</v>
      </c>
      <c r="G296" s="15">
        <v>89.0</v>
      </c>
      <c r="H296" s="15">
        <v>105.0</v>
      </c>
      <c r="I296" s="15">
        <v>103.0</v>
      </c>
      <c r="J296" s="15">
        <v>103.0</v>
      </c>
      <c r="K296" s="15">
        <v>101.0</v>
      </c>
      <c r="L296" s="15">
        <v>91.0</v>
      </c>
      <c r="M296" s="16">
        <v>94.0</v>
      </c>
      <c r="N296" s="16">
        <v>102.0</v>
      </c>
    </row>
    <row r="297">
      <c r="A297" s="10">
        <v>668942.0</v>
      </c>
      <c r="B297" s="11" t="s">
        <v>373</v>
      </c>
      <c r="C297" s="12">
        <v>1854.0</v>
      </c>
      <c r="D297" s="10">
        <v>841.0</v>
      </c>
      <c r="E297" s="13">
        <v>309.0</v>
      </c>
      <c r="F297" s="14">
        <v>-0.036289011</v>
      </c>
      <c r="G297" s="15">
        <v>109.0</v>
      </c>
      <c r="H297" s="15">
        <v>107.0</v>
      </c>
      <c r="I297" s="15">
        <v>92.0</v>
      </c>
      <c r="J297" s="15">
        <v>110.0</v>
      </c>
      <c r="K297" s="15">
        <v>101.0</v>
      </c>
      <c r="L297" s="15">
        <v>89.0</v>
      </c>
      <c r="M297" s="16">
        <v>94.0</v>
      </c>
      <c r="N297" s="16">
        <v>93.0</v>
      </c>
    </row>
    <row r="298">
      <c r="A298" s="10">
        <v>666969.0</v>
      </c>
      <c r="B298" s="11" t="s">
        <v>203</v>
      </c>
      <c r="C298" s="12">
        <v>2414.0</v>
      </c>
      <c r="D298" s="10">
        <v>1256.0</v>
      </c>
      <c r="E298" s="13">
        <v>388.0</v>
      </c>
      <c r="F298" s="14">
        <v>0.044162281</v>
      </c>
      <c r="G298" s="15">
        <v>101.0</v>
      </c>
      <c r="H298" s="15">
        <v>85.0</v>
      </c>
      <c r="I298" s="15">
        <v>112.0</v>
      </c>
      <c r="J298" s="15">
        <v>83.0</v>
      </c>
      <c r="K298" s="15">
        <v>90.0</v>
      </c>
      <c r="L298" s="15">
        <v>107.0</v>
      </c>
      <c r="M298" s="16">
        <v>94.0</v>
      </c>
      <c r="N298" s="16">
        <v>91.0</v>
      </c>
    </row>
    <row r="299">
      <c r="A299" s="10">
        <v>665804.0</v>
      </c>
      <c r="B299" s="11" t="s">
        <v>500</v>
      </c>
      <c r="C299" s="12">
        <v>1202.0</v>
      </c>
      <c r="D299" s="10">
        <v>642.0</v>
      </c>
      <c r="E299" s="13">
        <v>254.0</v>
      </c>
      <c r="F299" s="14">
        <v>0.060762465</v>
      </c>
      <c r="G299" s="15">
        <v>102.0</v>
      </c>
      <c r="H299" s="15">
        <v>98.0</v>
      </c>
      <c r="I299" s="15">
        <v>116.0</v>
      </c>
      <c r="J299" s="15">
        <v>92.0</v>
      </c>
      <c r="K299" s="15">
        <v>108.0</v>
      </c>
      <c r="L299" s="15">
        <v>92.0</v>
      </c>
      <c r="M299" s="16">
        <v>94.0</v>
      </c>
      <c r="N299" s="16">
        <v>85.0</v>
      </c>
    </row>
    <row r="300">
      <c r="A300" s="10">
        <v>609280.0</v>
      </c>
      <c r="B300" s="11" t="s">
        <v>304</v>
      </c>
      <c r="C300" s="12">
        <v>1168.0</v>
      </c>
      <c r="D300" s="10">
        <v>590.0</v>
      </c>
      <c r="E300" s="13">
        <v>260.0</v>
      </c>
      <c r="F300" s="14">
        <v>0.025007226</v>
      </c>
      <c r="G300" s="15">
        <v>77.0</v>
      </c>
      <c r="H300" s="15">
        <v>86.0</v>
      </c>
      <c r="I300" s="15">
        <v>111.0</v>
      </c>
      <c r="J300" s="15">
        <v>83.0</v>
      </c>
      <c r="K300" s="15">
        <v>125.0</v>
      </c>
      <c r="L300" s="15">
        <v>89.0</v>
      </c>
      <c r="M300" s="16">
        <v>94.0</v>
      </c>
      <c r="N300" s="16">
        <v>104.0</v>
      </c>
    </row>
    <row r="301">
      <c r="A301" s="10">
        <v>686823.0</v>
      </c>
      <c r="B301" s="11" t="s">
        <v>501</v>
      </c>
      <c r="C301" s="12">
        <v>1156.0</v>
      </c>
      <c r="D301" s="10">
        <v>638.0</v>
      </c>
      <c r="E301" s="13">
        <v>266.0</v>
      </c>
      <c r="F301" s="14">
        <v>0.084091388</v>
      </c>
      <c r="G301" s="15">
        <v>103.0</v>
      </c>
      <c r="H301" s="15">
        <v>91.0</v>
      </c>
      <c r="I301" s="15">
        <v>114.0</v>
      </c>
      <c r="J301" s="15">
        <v>86.0</v>
      </c>
      <c r="K301" s="15">
        <v>111.0</v>
      </c>
      <c r="L301" s="15">
        <v>93.0</v>
      </c>
      <c r="M301" s="16">
        <v>93.0</v>
      </c>
      <c r="N301" s="16">
        <v>93.0</v>
      </c>
    </row>
    <row r="302">
      <c r="A302" s="10">
        <v>663662.0</v>
      </c>
      <c r="B302" s="11" t="s">
        <v>502</v>
      </c>
      <c r="C302" s="12">
        <v>685.0</v>
      </c>
      <c r="D302" s="10">
        <v>337.0</v>
      </c>
      <c r="E302" s="13">
        <v>115.0</v>
      </c>
      <c r="F302" s="14">
        <v>-0.033484626</v>
      </c>
      <c r="G302" s="15">
        <v>110.0</v>
      </c>
      <c r="H302" s="15">
        <v>106.0</v>
      </c>
      <c r="I302" s="15">
        <v>86.0</v>
      </c>
      <c r="J302" s="15">
        <v>112.0</v>
      </c>
      <c r="K302" s="15">
        <v>87.0</v>
      </c>
      <c r="L302" s="15">
        <v>97.0</v>
      </c>
      <c r="M302" s="16">
        <v>93.0</v>
      </c>
      <c r="N302" s="16">
        <v>87.0</v>
      </c>
    </row>
    <row r="303">
      <c r="A303" s="10">
        <v>657557.0</v>
      </c>
      <c r="B303" s="11" t="s">
        <v>503</v>
      </c>
      <c r="C303" s="12">
        <v>1797.0</v>
      </c>
      <c r="D303" s="10">
        <v>1048.0</v>
      </c>
      <c r="E303" s="13">
        <v>287.0</v>
      </c>
      <c r="F303" s="14">
        <v>0.07142548</v>
      </c>
      <c r="G303" s="15">
        <v>114.0</v>
      </c>
      <c r="H303" s="15">
        <v>105.0</v>
      </c>
      <c r="I303" s="15">
        <v>134.0</v>
      </c>
      <c r="J303" s="15">
        <v>92.0</v>
      </c>
      <c r="K303" s="15">
        <v>72.0</v>
      </c>
      <c r="L303" s="15">
        <v>110.0</v>
      </c>
      <c r="M303" s="16">
        <v>93.0</v>
      </c>
      <c r="N303" s="16">
        <v>100.0</v>
      </c>
    </row>
    <row r="304">
      <c r="A304" s="10">
        <v>669289.0</v>
      </c>
      <c r="B304" s="11" t="s">
        <v>339</v>
      </c>
      <c r="C304" s="12">
        <v>1423.0</v>
      </c>
      <c r="D304" s="10">
        <v>697.0</v>
      </c>
      <c r="E304" s="13">
        <v>294.0</v>
      </c>
      <c r="F304" s="14">
        <v>-0.009253782</v>
      </c>
      <c r="G304" s="15">
        <v>107.0</v>
      </c>
      <c r="H304" s="15">
        <v>107.0</v>
      </c>
      <c r="I304" s="15">
        <v>114.0</v>
      </c>
      <c r="J304" s="15">
        <v>101.0</v>
      </c>
      <c r="K304" s="15">
        <v>118.0</v>
      </c>
      <c r="L304" s="15">
        <v>82.0</v>
      </c>
      <c r="M304" s="16">
        <v>93.0</v>
      </c>
      <c r="N304" s="16">
        <v>97.0</v>
      </c>
    </row>
    <row r="305">
      <c r="A305" s="10">
        <v>624641.0</v>
      </c>
      <c r="B305" s="11" t="s">
        <v>283</v>
      </c>
      <c r="C305" s="12">
        <v>970.0</v>
      </c>
      <c r="D305" s="10">
        <v>546.0</v>
      </c>
      <c r="E305" s="13">
        <v>173.0</v>
      </c>
      <c r="F305" s="14">
        <v>0.088083793</v>
      </c>
      <c r="G305" s="15">
        <v>88.0</v>
      </c>
      <c r="H305" s="15">
        <v>77.0</v>
      </c>
      <c r="I305" s="15">
        <v>129.0</v>
      </c>
      <c r="J305" s="15">
        <v>70.0</v>
      </c>
      <c r="K305" s="15">
        <v>100.0</v>
      </c>
      <c r="L305" s="15">
        <v>103.0</v>
      </c>
      <c r="M305" s="16">
        <v>92.0</v>
      </c>
      <c r="N305" s="16">
        <v>105.0</v>
      </c>
    </row>
    <row r="306">
      <c r="A306" s="10">
        <v>645277.0</v>
      </c>
      <c r="B306" s="11" t="s">
        <v>359</v>
      </c>
      <c r="C306" s="12">
        <v>1531.0</v>
      </c>
      <c r="D306" s="10">
        <v>868.0</v>
      </c>
      <c r="E306" s="13">
        <v>311.0</v>
      </c>
      <c r="F306" s="14">
        <v>0.098058825</v>
      </c>
      <c r="G306" s="15">
        <v>124.0</v>
      </c>
      <c r="H306" s="15">
        <v>99.0</v>
      </c>
      <c r="I306" s="15">
        <v>137.0</v>
      </c>
      <c r="J306" s="15">
        <v>87.0</v>
      </c>
      <c r="K306" s="15">
        <v>107.0</v>
      </c>
      <c r="L306" s="15">
        <v>90.0</v>
      </c>
      <c r="M306" s="16">
        <v>92.0</v>
      </c>
      <c r="N306" s="16">
        <v>99.0</v>
      </c>
    </row>
    <row r="307">
      <c r="A307" s="10">
        <v>666149.0</v>
      </c>
      <c r="B307" s="11" t="s">
        <v>378</v>
      </c>
      <c r="C307" s="12">
        <v>1212.0</v>
      </c>
      <c r="D307" s="10">
        <v>570.0</v>
      </c>
      <c r="E307" s="13">
        <v>194.0</v>
      </c>
      <c r="F307" s="14">
        <v>-0.020797065</v>
      </c>
      <c r="G307" s="15">
        <v>102.0</v>
      </c>
      <c r="H307" s="15">
        <v>100.0</v>
      </c>
      <c r="I307" s="15">
        <v>98.0</v>
      </c>
      <c r="J307" s="15">
        <v>101.0</v>
      </c>
      <c r="K307" s="15">
        <v>85.0</v>
      </c>
      <c r="L307" s="15">
        <v>100.0</v>
      </c>
      <c r="M307" s="16">
        <v>92.0</v>
      </c>
      <c r="N307" s="16">
        <v>123.0</v>
      </c>
    </row>
    <row r="308">
      <c r="A308" s="10">
        <v>686217.0</v>
      </c>
      <c r="B308" s="11" t="s">
        <v>318</v>
      </c>
      <c r="C308" s="12">
        <v>1938.0</v>
      </c>
      <c r="D308" s="10">
        <v>800.0</v>
      </c>
      <c r="E308" s="13">
        <v>373.0</v>
      </c>
      <c r="F308" s="14">
        <v>-0.05350771</v>
      </c>
      <c r="G308" s="15">
        <v>80.0</v>
      </c>
      <c r="H308" s="15">
        <v>100.0</v>
      </c>
      <c r="I308" s="15">
        <v>81.0</v>
      </c>
      <c r="J308" s="15">
        <v>107.0</v>
      </c>
      <c r="K308" s="15">
        <v>121.0</v>
      </c>
      <c r="L308" s="15">
        <v>83.0</v>
      </c>
      <c r="M308" s="16">
        <v>92.0</v>
      </c>
      <c r="N308" s="16">
        <v>101.0</v>
      </c>
    </row>
    <row r="309">
      <c r="A309" s="10">
        <v>519203.0</v>
      </c>
      <c r="B309" s="11" t="s">
        <v>504</v>
      </c>
      <c r="C309" s="12">
        <v>1334.0</v>
      </c>
      <c r="D309" s="10">
        <v>658.0</v>
      </c>
      <c r="E309" s="13">
        <v>260.0</v>
      </c>
      <c r="F309" s="14">
        <v>0.030675978</v>
      </c>
      <c r="G309" s="15">
        <v>86.0</v>
      </c>
      <c r="H309" s="15">
        <v>84.0</v>
      </c>
      <c r="I309" s="15">
        <v>103.0</v>
      </c>
      <c r="J309" s="15">
        <v>84.0</v>
      </c>
      <c r="K309" s="15">
        <v>118.0</v>
      </c>
      <c r="L309" s="15">
        <v>90.0</v>
      </c>
      <c r="M309" s="16">
        <v>92.0</v>
      </c>
      <c r="N309" s="16">
        <v>89.0</v>
      </c>
    </row>
    <row r="310">
      <c r="A310" s="10">
        <v>657136.0</v>
      </c>
      <c r="B310" s="11" t="s">
        <v>505</v>
      </c>
      <c r="C310" s="12">
        <v>1752.0</v>
      </c>
      <c r="D310" s="10">
        <v>909.0</v>
      </c>
      <c r="E310" s="13">
        <v>317.0</v>
      </c>
      <c r="F310" s="14">
        <v>0.026966679</v>
      </c>
      <c r="G310" s="15">
        <v>105.0</v>
      </c>
      <c r="H310" s="15">
        <v>96.0</v>
      </c>
      <c r="I310" s="15">
        <v>97.0</v>
      </c>
      <c r="J310" s="15">
        <v>97.0</v>
      </c>
      <c r="K310" s="15">
        <v>93.0</v>
      </c>
      <c r="L310" s="15">
        <v>98.0</v>
      </c>
      <c r="M310" s="16">
        <v>92.0</v>
      </c>
      <c r="N310" s="16">
        <v>113.0</v>
      </c>
    </row>
    <row r="311">
      <c r="A311" s="10">
        <v>666134.0</v>
      </c>
      <c r="B311" s="11" t="s">
        <v>135</v>
      </c>
      <c r="C311" s="12">
        <v>1209.0</v>
      </c>
      <c r="D311" s="10">
        <v>481.0</v>
      </c>
      <c r="E311" s="13">
        <v>152.0</v>
      </c>
      <c r="F311" s="14">
        <v>-0.096828735</v>
      </c>
      <c r="G311" s="15">
        <v>83.0</v>
      </c>
      <c r="H311" s="15">
        <v>99.0</v>
      </c>
      <c r="I311" s="15">
        <v>73.0</v>
      </c>
      <c r="J311" s="15">
        <v>109.0</v>
      </c>
      <c r="K311" s="15">
        <v>90.0</v>
      </c>
      <c r="L311" s="15">
        <v>95.0</v>
      </c>
      <c r="M311" s="16">
        <v>92.0</v>
      </c>
      <c r="N311" s="16">
        <v>89.0</v>
      </c>
    </row>
    <row r="312">
      <c r="A312" s="10">
        <v>650859.0</v>
      </c>
      <c r="B312" s="11" t="s">
        <v>236</v>
      </c>
      <c r="C312" s="12">
        <v>1080.0</v>
      </c>
      <c r="D312" s="10">
        <v>607.0</v>
      </c>
      <c r="E312" s="13">
        <v>240.0</v>
      </c>
      <c r="F312" s="14">
        <v>0.106646275</v>
      </c>
      <c r="G312" s="15">
        <v>113.0</v>
      </c>
      <c r="H312" s="15">
        <v>94.0</v>
      </c>
      <c r="I312" s="15">
        <v>127.0</v>
      </c>
      <c r="J312" s="15">
        <v>86.0</v>
      </c>
      <c r="K312" s="15">
        <v>108.0</v>
      </c>
      <c r="L312" s="15">
        <v>92.0</v>
      </c>
      <c r="M312" s="16">
        <v>92.0</v>
      </c>
      <c r="N312" s="16">
        <v>110.0</v>
      </c>
    </row>
    <row r="313">
      <c r="A313" s="10">
        <v>641355.0</v>
      </c>
      <c r="B313" s="11" t="s">
        <v>184</v>
      </c>
      <c r="C313" s="12">
        <v>1972.0</v>
      </c>
      <c r="D313" s="10">
        <v>985.0</v>
      </c>
      <c r="E313" s="13">
        <v>411.0</v>
      </c>
      <c r="F313" s="14">
        <v>0.037251942</v>
      </c>
      <c r="G313" s="15">
        <v>84.0</v>
      </c>
      <c r="H313" s="15">
        <v>80.0</v>
      </c>
      <c r="I313" s="15">
        <v>108.0</v>
      </c>
      <c r="J313" s="15">
        <v>78.0</v>
      </c>
      <c r="K313" s="15">
        <v>122.0</v>
      </c>
      <c r="L313" s="15">
        <v>90.0</v>
      </c>
      <c r="M313" s="16">
        <v>92.0</v>
      </c>
      <c r="N313" s="16">
        <v>105.0</v>
      </c>
    </row>
    <row r="314">
      <c r="A314" s="10">
        <v>665926.0</v>
      </c>
      <c r="B314" s="11" t="s">
        <v>243</v>
      </c>
      <c r="C314" s="12">
        <v>2307.0</v>
      </c>
      <c r="D314" s="10">
        <v>1299.0</v>
      </c>
      <c r="E314" s="13">
        <v>474.0</v>
      </c>
      <c r="F314" s="14">
        <v>0.091583732</v>
      </c>
      <c r="G314" s="15">
        <v>95.0</v>
      </c>
      <c r="H314" s="15">
        <v>91.0</v>
      </c>
      <c r="I314" s="15">
        <v>127.0</v>
      </c>
      <c r="J314" s="15">
        <v>81.0</v>
      </c>
      <c r="K314" s="15">
        <v>109.0</v>
      </c>
      <c r="L314" s="15">
        <v>91.0</v>
      </c>
      <c r="M314" s="16">
        <v>92.0</v>
      </c>
      <c r="N314" s="16">
        <v>95.0</v>
      </c>
    </row>
    <row r="315">
      <c r="A315" s="10">
        <v>663647.0</v>
      </c>
      <c r="B315" s="11" t="s">
        <v>273</v>
      </c>
      <c r="C315" s="12">
        <v>1462.0</v>
      </c>
      <c r="D315" s="10">
        <v>655.0</v>
      </c>
      <c r="E315" s="13">
        <v>293.0</v>
      </c>
      <c r="F315" s="14">
        <v>-0.030576539</v>
      </c>
      <c r="G315" s="15">
        <v>89.0</v>
      </c>
      <c r="H315" s="15">
        <v>88.0</v>
      </c>
      <c r="I315" s="15">
        <v>76.0</v>
      </c>
      <c r="J315" s="15">
        <v>97.0</v>
      </c>
      <c r="K315" s="15">
        <v>115.0</v>
      </c>
      <c r="L315" s="15">
        <v>91.0</v>
      </c>
      <c r="M315" s="16">
        <v>92.0</v>
      </c>
      <c r="N315" s="16">
        <v>82.0</v>
      </c>
    </row>
    <row r="316">
      <c r="A316" s="10">
        <v>691023.0</v>
      </c>
      <c r="B316" s="11" t="s">
        <v>313</v>
      </c>
      <c r="C316" s="12">
        <v>573.0</v>
      </c>
      <c r="D316" s="10">
        <v>275.0</v>
      </c>
      <c r="E316" s="13">
        <v>93.0</v>
      </c>
      <c r="F316" s="14">
        <v>-0.010594872</v>
      </c>
      <c r="G316" s="15">
        <v>89.0</v>
      </c>
      <c r="H316" s="15">
        <v>102.0</v>
      </c>
      <c r="I316" s="15">
        <v>90.0</v>
      </c>
      <c r="J316" s="15">
        <v>104.0</v>
      </c>
      <c r="K316" s="15">
        <v>87.0</v>
      </c>
      <c r="L316" s="15">
        <v>97.0</v>
      </c>
      <c r="M316" s="16">
        <v>92.0</v>
      </c>
      <c r="N316" s="16">
        <v>90.0</v>
      </c>
    </row>
    <row r="317">
      <c r="A317" s="10">
        <v>671289.0</v>
      </c>
      <c r="B317" s="11" t="s">
        <v>130</v>
      </c>
      <c r="C317" s="12">
        <v>1343.0</v>
      </c>
      <c r="D317" s="10">
        <v>631.0</v>
      </c>
      <c r="E317" s="13">
        <v>275.0</v>
      </c>
      <c r="F317" s="14">
        <v>-0.016680041</v>
      </c>
      <c r="G317" s="15">
        <v>93.0</v>
      </c>
      <c r="H317" s="15">
        <v>107.0</v>
      </c>
      <c r="I317" s="15">
        <v>102.0</v>
      </c>
      <c r="J317" s="15">
        <v>106.0</v>
      </c>
      <c r="K317" s="15">
        <v>117.0</v>
      </c>
      <c r="L317" s="15">
        <v>82.0</v>
      </c>
      <c r="M317" s="16">
        <v>92.0</v>
      </c>
      <c r="N317" s="16">
        <v>91.0</v>
      </c>
    </row>
    <row r="318">
      <c r="A318" s="10">
        <v>678554.0</v>
      </c>
      <c r="B318" s="11" t="s">
        <v>217</v>
      </c>
      <c r="C318" s="12">
        <v>468.0</v>
      </c>
      <c r="D318" s="10">
        <v>244.0</v>
      </c>
      <c r="E318" s="13">
        <v>92.0</v>
      </c>
      <c r="F318" s="14">
        <v>0.045083053</v>
      </c>
      <c r="G318" s="15">
        <v>84.0</v>
      </c>
      <c r="H318" s="15">
        <v>75.0</v>
      </c>
      <c r="I318" s="15">
        <v>81.0</v>
      </c>
      <c r="J318" s="15">
        <v>84.0</v>
      </c>
      <c r="K318" s="15">
        <v>110.0</v>
      </c>
      <c r="L318" s="15">
        <v>97.0</v>
      </c>
      <c r="M318" s="16">
        <v>92.0</v>
      </c>
      <c r="N318" s="16">
        <v>84.0</v>
      </c>
    </row>
    <row r="319">
      <c r="A319" s="10">
        <v>669134.0</v>
      </c>
      <c r="B319" s="11" t="s">
        <v>506</v>
      </c>
      <c r="C319" s="12">
        <v>1015.0</v>
      </c>
      <c r="D319" s="10">
        <v>514.0</v>
      </c>
      <c r="E319" s="13">
        <v>234.0</v>
      </c>
      <c r="F319" s="14">
        <v>0.028164236</v>
      </c>
      <c r="G319" s="15">
        <v>92.0</v>
      </c>
      <c r="H319" s="15">
        <v>98.0</v>
      </c>
      <c r="I319" s="15">
        <v>111.0</v>
      </c>
      <c r="J319" s="15">
        <v>94.0</v>
      </c>
      <c r="K319" s="15">
        <v>117.0</v>
      </c>
      <c r="L319" s="15">
        <v>87.0</v>
      </c>
      <c r="M319" s="16">
        <v>91.0</v>
      </c>
      <c r="N319" s="16">
        <v>93.0</v>
      </c>
    </row>
    <row r="320">
      <c r="A320" s="10">
        <v>571771.0</v>
      </c>
      <c r="B320" s="11" t="s">
        <v>507</v>
      </c>
      <c r="C320" s="12">
        <v>1408.0</v>
      </c>
      <c r="D320" s="10">
        <v>682.0</v>
      </c>
      <c r="E320" s="13">
        <v>261.0</v>
      </c>
      <c r="F320" s="14">
        <v>-0.010459356</v>
      </c>
      <c r="G320" s="15">
        <v>107.0</v>
      </c>
      <c r="H320" s="15">
        <v>113.0</v>
      </c>
      <c r="I320" s="15">
        <v>117.0</v>
      </c>
      <c r="J320" s="15">
        <v>106.0</v>
      </c>
      <c r="K320" s="15">
        <v>97.0</v>
      </c>
      <c r="L320" s="15">
        <v>87.0</v>
      </c>
      <c r="M320" s="16">
        <v>91.0</v>
      </c>
      <c r="N320" s="16">
        <v>88.0</v>
      </c>
    </row>
    <row r="321">
      <c r="A321" s="10">
        <v>667452.0</v>
      </c>
      <c r="B321" s="11" t="s">
        <v>508</v>
      </c>
      <c r="C321" s="12">
        <v>757.0</v>
      </c>
      <c r="D321" s="10">
        <v>348.0</v>
      </c>
      <c r="E321" s="13">
        <v>123.0</v>
      </c>
      <c r="F321" s="14">
        <v>-0.05205592</v>
      </c>
      <c r="G321" s="15">
        <v>87.0</v>
      </c>
      <c r="H321" s="15">
        <v>107.0</v>
      </c>
      <c r="I321" s="15">
        <v>93.0</v>
      </c>
      <c r="J321" s="15">
        <v>109.0</v>
      </c>
      <c r="K321" s="15">
        <v>97.0</v>
      </c>
      <c r="L321" s="15">
        <v>88.0</v>
      </c>
      <c r="M321" s="16">
        <v>91.0</v>
      </c>
      <c r="N321" s="16">
        <v>91.0</v>
      </c>
    </row>
    <row r="322">
      <c r="A322" s="10">
        <v>647351.0</v>
      </c>
      <c r="B322" s="11" t="s">
        <v>316</v>
      </c>
      <c r="C322" s="12">
        <v>1378.0</v>
      </c>
      <c r="D322" s="10">
        <v>661.0</v>
      </c>
      <c r="E322" s="13">
        <v>273.0</v>
      </c>
      <c r="F322" s="14">
        <v>0.017824038</v>
      </c>
      <c r="G322" s="15">
        <v>86.0</v>
      </c>
      <c r="H322" s="15">
        <v>82.0</v>
      </c>
      <c r="I322" s="15">
        <v>101.0</v>
      </c>
      <c r="J322" s="15">
        <v>83.0</v>
      </c>
      <c r="K322" s="15">
        <v>125.0</v>
      </c>
      <c r="L322" s="15">
        <v>87.0</v>
      </c>
      <c r="M322" s="16">
        <v>91.0</v>
      </c>
      <c r="N322" s="16">
        <v>90.0</v>
      </c>
    </row>
    <row r="323">
      <c r="A323" s="10">
        <v>643396.0</v>
      </c>
      <c r="B323" s="11" t="s">
        <v>331</v>
      </c>
      <c r="C323" s="12">
        <v>1627.0</v>
      </c>
      <c r="D323" s="10">
        <v>746.0</v>
      </c>
      <c r="E323" s="13">
        <v>369.0</v>
      </c>
      <c r="F323" s="14">
        <v>-0.026327228</v>
      </c>
      <c r="G323" s="15">
        <v>80.0</v>
      </c>
      <c r="H323" s="15">
        <v>88.0</v>
      </c>
      <c r="I323" s="15">
        <v>87.0</v>
      </c>
      <c r="J323" s="15">
        <v>93.0</v>
      </c>
      <c r="K323" s="15">
        <v>124.0</v>
      </c>
      <c r="L323" s="15">
        <v>88.0</v>
      </c>
      <c r="M323" s="16">
        <v>91.0</v>
      </c>
      <c r="N323" s="16">
        <v>98.0</v>
      </c>
    </row>
    <row r="324">
      <c r="A324" s="10">
        <v>543877.0</v>
      </c>
      <c r="B324" s="11" t="s">
        <v>366</v>
      </c>
      <c r="C324" s="12">
        <v>1086.0</v>
      </c>
      <c r="D324" s="10">
        <v>556.0</v>
      </c>
      <c r="E324" s="13">
        <v>225.0</v>
      </c>
      <c r="F324" s="14">
        <v>0.026797057</v>
      </c>
      <c r="G324" s="15">
        <v>86.0</v>
      </c>
      <c r="H324" s="15">
        <v>93.0</v>
      </c>
      <c r="I324" s="15">
        <v>106.0</v>
      </c>
      <c r="J324" s="15">
        <v>91.0</v>
      </c>
      <c r="K324" s="15">
        <v>106.0</v>
      </c>
      <c r="L324" s="15">
        <v>92.0</v>
      </c>
      <c r="M324" s="16">
        <v>91.0</v>
      </c>
      <c r="N324" s="16">
        <v>84.0</v>
      </c>
    </row>
    <row r="325">
      <c r="A325" s="10">
        <v>700932.0</v>
      </c>
      <c r="B325" s="11" t="s">
        <v>147</v>
      </c>
      <c r="C325" s="12">
        <v>554.0</v>
      </c>
      <c r="D325" s="10">
        <v>263.0</v>
      </c>
      <c r="E325" s="13">
        <v>91.0</v>
      </c>
      <c r="F325" s="14">
        <v>-0.003852799</v>
      </c>
      <c r="G325" s="15">
        <v>87.0</v>
      </c>
      <c r="H325" s="15">
        <v>93.0</v>
      </c>
      <c r="I325" s="15">
        <v>105.0</v>
      </c>
      <c r="J325" s="15">
        <v>91.0</v>
      </c>
      <c r="K325" s="15">
        <v>91.0</v>
      </c>
      <c r="L325" s="15">
        <v>99.0</v>
      </c>
      <c r="M325" s="16">
        <v>91.0</v>
      </c>
      <c r="N325" s="16">
        <v>103.0</v>
      </c>
    </row>
    <row r="326">
      <c r="A326" s="10">
        <v>681546.0</v>
      </c>
      <c r="B326" s="11" t="s">
        <v>509</v>
      </c>
      <c r="C326" s="12">
        <v>603.0</v>
      </c>
      <c r="D326" s="10">
        <v>284.0</v>
      </c>
      <c r="E326" s="13">
        <v>78.0</v>
      </c>
      <c r="F326" s="14">
        <v>-0.007855162</v>
      </c>
      <c r="G326" s="15">
        <v>105.0</v>
      </c>
      <c r="H326" s="15">
        <v>104.0</v>
      </c>
      <c r="I326" s="15">
        <v>94.0</v>
      </c>
      <c r="J326" s="15">
        <v>106.0</v>
      </c>
      <c r="K326" s="15">
        <v>76.0</v>
      </c>
      <c r="L326" s="15">
        <v>101.0</v>
      </c>
      <c r="M326" s="16">
        <v>91.0</v>
      </c>
      <c r="N326" s="16">
        <v>73.0</v>
      </c>
    </row>
    <row r="327">
      <c r="A327" s="10">
        <v>553869.0</v>
      </c>
      <c r="B327" s="11" t="s">
        <v>362</v>
      </c>
      <c r="C327" s="12">
        <v>1294.0</v>
      </c>
      <c r="D327" s="10">
        <v>698.0</v>
      </c>
      <c r="E327" s="13">
        <v>253.0</v>
      </c>
      <c r="F327" s="14">
        <v>0.062410473</v>
      </c>
      <c r="G327" s="15">
        <v>104.0</v>
      </c>
      <c r="H327" s="15">
        <v>95.0</v>
      </c>
      <c r="I327" s="15">
        <v>116.0</v>
      </c>
      <c r="J327" s="15">
        <v>89.0</v>
      </c>
      <c r="K327" s="15">
        <v>100.0</v>
      </c>
      <c r="L327" s="15">
        <v>94.0</v>
      </c>
      <c r="M327" s="16">
        <v>91.0</v>
      </c>
      <c r="N327" s="16">
        <v>100.0</v>
      </c>
    </row>
    <row r="328">
      <c r="A328" s="10">
        <v>665828.0</v>
      </c>
      <c r="B328" s="11" t="s">
        <v>376</v>
      </c>
      <c r="C328" s="12">
        <v>1223.0</v>
      </c>
      <c r="D328" s="10">
        <v>581.0</v>
      </c>
      <c r="E328" s="13">
        <v>231.0</v>
      </c>
      <c r="F328" s="14">
        <v>0.023897185</v>
      </c>
      <c r="G328" s="15">
        <v>95.0</v>
      </c>
      <c r="H328" s="15">
        <v>93.0</v>
      </c>
      <c r="I328" s="15">
        <v>102.0</v>
      </c>
      <c r="J328" s="15">
        <v>92.0</v>
      </c>
      <c r="K328" s="15">
        <v>109.0</v>
      </c>
      <c r="L328" s="15">
        <v>89.0</v>
      </c>
      <c r="M328" s="16">
        <v>91.0</v>
      </c>
      <c r="N328" s="16">
        <v>91.0</v>
      </c>
    </row>
    <row r="329">
      <c r="A329" s="10">
        <v>572191.0</v>
      </c>
      <c r="B329" s="11" t="s">
        <v>132</v>
      </c>
      <c r="C329" s="12">
        <v>1187.0</v>
      </c>
      <c r="D329" s="10">
        <v>585.0</v>
      </c>
      <c r="E329" s="13">
        <v>170.0</v>
      </c>
      <c r="F329" s="14">
        <v>-0.010984426</v>
      </c>
      <c r="G329" s="15">
        <v>103.0</v>
      </c>
      <c r="H329" s="15">
        <v>105.0</v>
      </c>
      <c r="I329" s="15">
        <v>103.0</v>
      </c>
      <c r="J329" s="15">
        <v>103.0</v>
      </c>
      <c r="K329" s="15">
        <v>78.0</v>
      </c>
      <c r="L329" s="15">
        <v>100.0</v>
      </c>
      <c r="M329" s="16">
        <v>90.0</v>
      </c>
      <c r="N329" s="16">
        <v>83.0</v>
      </c>
    </row>
    <row r="330">
      <c r="A330" s="10">
        <v>676801.0</v>
      </c>
      <c r="B330" s="11" t="s">
        <v>510</v>
      </c>
      <c r="C330" s="12">
        <v>1002.0</v>
      </c>
      <c r="D330" s="10">
        <v>533.0</v>
      </c>
      <c r="E330" s="13">
        <v>173.0</v>
      </c>
      <c r="F330" s="14">
        <v>0.05197367</v>
      </c>
      <c r="G330" s="15">
        <v>103.0</v>
      </c>
      <c r="H330" s="15">
        <v>98.0</v>
      </c>
      <c r="I330" s="15">
        <v>122.0</v>
      </c>
      <c r="J330" s="15">
        <v>90.0</v>
      </c>
      <c r="K330" s="15">
        <v>84.0</v>
      </c>
      <c r="L330" s="15">
        <v>101.0</v>
      </c>
      <c r="M330" s="16">
        <v>90.0</v>
      </c>
      <c r="N330" s="16">
        <v>81.0</v>
      </c>
    </row>
    <row r="331">
      <c r="A331" s="10">
        <v>453568.0</v>
      </c>
      <c r="B331" s="11" t="s">
        <v>511</v>
      </c>
      <c r="C331" s="12">
        <v>1795.0</v>
      </c>
      <c r="D331" s="10">
        <v>858.0</v>
      </c>
      <c r="E331" s="13">
        <v>342.0</v>
      </c>
      <c r="F331" s="14">
        <v>0.010008944</v>
      </c>
      <c r="G331" s="15">
        <v>90.0</v>
      </c>
      <c r="H331" s="15">
        <v>86.0</v>
      </c>
      <c r="I331" s="15">
        <v>100.0</v>
      </c>
      <c r="J331" s="15">
        <v>87.0</v>
      </c>
      <c r="K331" s="15">
        <v>113.0</v>
      </c>
      <c r="L331" s="15">
        <v>90.0</v>
      </c>
      <c r="M331" s="16">
        <v>90.0</v>
      </c>
      <c r="N331" s="16">
        <v>101.0</v>
      </c>
    </row>
    <row r="332">
      <c r="A332" s="10">
        <v>665750.0</v>
      </c>
      <c r="B332" s="11" t="s">
        <v>377</v>
      </c>
      <c r="C332" s="12">
        <v>1896.0</v>
      </c>
      <c r="D332" s="10">
        <v>926.0</v>
      </c>
      <c r="E332" s="13">
        <v>355.0</v>
      </c>
      <c r="F332" s="14">
        <v>0.00537109</v>
      </c>
      <c r="G332" s="15">
        <v>103.0</v>
      </c>
      <c r="H332" s="15">
        <v>97.0</v>
      </c>
      <c r="I332" s="15">
        <v>96.0</v>
      </c>
      <c r="J332" s="15">
        <v>98.0</v>
      </c>
      <c r="K332" s="15">
        <v>110.0</v>
      </c>
      <c r="L332" s="15">
        <v>87.0</v>
      </c>
      <c r="M332" s="16">
        <v>90.0</v>
      </c>
      <c r="N332" s="16">
        <v>84.0</v>
      </c>
    </row>
    <row r="333">
      <c r="A333" s="10">
        <v>683021.0</v>
      </c>
      <c r="B333" s="11" t="s">
        <v>512</v>
      </c>
      <c r="C333" s="12">
        <v>424.0</v>
      </c>
      <c r="D333" s="10">
        <v>177.0</v>
      </c>
      <c r="E333" s="13">
        <v>81.0</v>
      </c>
      <c r="F333" s="14">
        <v>-0.084871034</v>
      </c>
      <c r="G333" s="15">
        <v>86.0</v>
      </c>
      <c r="H333" s="15">
        <v>111.0</v>
      </c>
      <c r="I333" s="15">
        <v>86.0</v>
      </c>
      <c r="J333" s="15">
        <v>119.0</v>
      </c>
      <c r="K333" s="15">
        <v>136.0</v>
      </c>
      <c r="L333" s="15">
        <v>69.0</v>
      </c>
      <c r="M333" s="16">
        <v>90.0</v>
      </c>
      <c r="N333" s="16">
        <v>85.0</v>
      </c>
    </row>
    <row r="334">
      <c r="A334" s="10">
        <v>668832.0</v>
      </c>
      <c r="B334" s="11" t="s">
        <v>513</v>
      </c>
      <c r="C334" s="12">
        <v>595.0</v>
      </c>
      <c r="D334" s="10">
        <v>272.0</v>
      </c>
      <c r="E334" s="13">
        <v>76.0</v>
      </c>
      <c r="F334" s="14">
        <v>-0.022980416</v>
      </c>
      <c r="G334" s="15">
        <v>120.0</v>
      </c>
      <c r="H334" s="15">
        <v>114.0</v>
      </c>
      <c r="I334" s="15">
        <v>87.0</v>
      </c>
      <c r="J334" s="15">
        <v>117.0</v>
      </c>
      <c r="K334" s="15">
        <v>58.0</v>
      </c>
      <c r="L334" s="15">
        <v>106.0</v>
      </c>
      <c r="M334" s="16">
        <v>90.0</v>
      </c>
      <c r="N334" s="16">
        <v>95.0</v>
      </c>
    </row>
    <row r="335">
      <c r="A335" s="10">
        <v>666152.0</v>
      </c>
      <c r="B335" s="11" t="s">
        <v>370</v>
      </c>
      <c r="C335" s="12">
        <v>1174.0</v>
      </c>
      <c r="D335" s="10">
        <v>537.0</v>
      </c>
      <c r="E335" s="13">
        <v>210.0</v>
      </c>
      <c r="F335" s="14">
        <v>-0.006269091</v>
      </c>
      <c r="G335" s="15">
        <v>101.0</v>
      </c>
      <c r="H335" s="15">
        <v>98.0</v>
      </c>
      <c r="I335" s="15">
        <v>94.0</v>
      </c>
      <c r="J335" s="15">
        <v>100.0</v>
      </c>
      <c r="K335" s="15">
        <v>94.0</v>
      </c>
      <c r="L335" s="15">
        <v>94.0</v>
      </c>
      <c r="M335" s="16">
        <v>90.0</v>
      </c>
      <c r="N335" s="16">
        <v>98.0</v>
      </c>
    </row>
    <row r="336">
      <c r="A336" s="10">
        <v>595909.0</v>
      </c>
      <c r="B336" s="11" t="s">
        <v>514</v>
      </c>
      <c r="C336" s="12">
        <v>1257.0</v>
      </c>
      <c r="D336" s="10">
        <v>667.0</v>
      </c>
      <c r="E336" s="13">
        <v>215.0</v>
      </c>
      <c r="F336" s="14">
        <v>0.044022865</v>
      </c>
      <c r="G336" s="15">
        <v>90.0</v>
      </c>
      <c r="H336" s="15">
        <v>82.0</v>
      </c>
      <c r="I336" s="15">
        <v>97.0</v>
      </c>
      <c r="J336" s="15">
        <v>83.0</v>
      </c>
      <c r="K336" s="15">
        <v>92.0</v>
      </c>
      <c r="L336" s="15">
        <v>103.0</v>
      </c>
      <c r="M336" s="16">
        <v>90.0</v>
      </c>
      <c r="N336" s="16">
        <v>99.0</v>
      </c>
    </row>
    <row r="337">
      <c r="A337" s="10">
        <v>624512.0</v>
      </c>
      <c r="B337" s="11" t="s">
        <v>515</v>
      </c>
      <c r="C337" s="12">
        <v>607.0</v>
      </c>
      <c r="D337" s="10">
        <v>273.0</v>
      </c>
      <c r="E337" s="13">
        <v>103.0</v>
      </c>
      <c r="F337" s="14">
        <v>-0.014478117</v>
      </c>
      <c r="G337" s="15">
        <v>75.0</v>
      </c>
      <c r="H337" s="15">
        <v>77.0</v>
      </c>
      <c r="I337" s="15">
        <v>58.0</v>
      </c>
      <c r="J337" s="15">
        <v>92.0</v>
      </c>
      <c r="K337" s="15">
        <v>112.0</v>
      </c>
      <c r="L337" s="15">
        <v>94.0</v>
      </c>
      <c r="M337" s="16">
        <v>89.0</v>
      </c>
      <c r="N337" s="16">
        <v>83.0</v>
      </c>
    </row>
    <row r="338">
      <c r="A338" s="10">
        <v>621550.0</v>
      </c>
      <c r="B338" s="11" t="s">
        <v>516</v>
      </c>
      <c r="C338" s="12">
        <v>631.0</v>
      </c>
      <c r="D338" s="10">
        <v>309.0</v>
      </c>
      <c r="E338" s="13">
        <v>92.0</v>
      </c>
      <c r="F338" s="14">
        <v>-0.027399099</v>
      </c>
      <c r="G338" s="15">
        <v>111.0</v>
      </c>
      <c r="H338" s="15">
        <v>104.0</v>
      </c>
      <c r="I338" s="15">
        <v>84.0</v>
      </c>
      <c r="J338" s="15">
        <v>110.0</v>
      </c>
      <c r="K338" s="15">
        <v>71.0</v>
      </c>
      <c r="L338" s="15">
        <v>104.0</v>
      </c>
      <c r="M338" s="16">
        <v>89.0</v>
      </c>
      <c r="N338" s="16">
        <v>90.0</v>
      </c>
    </row>
    <row r="339">
      <c r="A339" s="10">
        <v>642708.0</v>
      </c>
      <c r="B339" s="11" t="s">
        <v>131</v>
      </c>
      <c r="C339" s="12">
        <v>1201.0</v>
      </c>
      <c r="D339" s="10">
        <v>664.0</v>
      </c>
      <c r="E339" s="13">
        <v>259.0</v>
      </c>
      <c r="F339" s="14">
        <v>0.073171171</v>
      </c>
      <c r="G339" s="15">
        <v>91.0</v>
      </c>
      <c r="H339" s="15">
        <v>81.0</v>
      </c>
      <c r="I339" s="15">
        <v>111.0</v>
      </c>
      <c r="J339" s="15">
        <v>79.0</v>
      </c>
      <c r="K339" s="15">
        <v>105.0</v>
      </c>
      <c r="L339" s="15">
        <v>96.0</v>
      </c>
      <c r="M339" s="16">
        <v>89.0</v>
      </c>
      <c r="N339" s="16">
        <v>101.0</v>
      </c>
    </row>
    <row r="340">
      <c r="A340" s="10">
        <v>666160.0</v>
      </c>
      <c r="B340" s="11" t="s">
        <v>208</v>
      </c>
      <c r="C340" s="12">
        <v>1480.0</v>
      </c>
      <c r="D340" s="10">
        <v>838.0</v>
      </c>
      <c r="E340" s="13">
        <v>268.0</v>
      </c>
      <c r="F340" s="14">
        <v>0.082355708</v>
      </c>
      <c r="G340" s="15">
        <v>83.0</v>
      </c>
      <c r="H340" s="15">
        <v>77.0</v>
      </c>
      <c r="I340" s="15">
        <v>111.0</v>
      </c>
      <c r="J340" s="15">
        <v>75.0</v>
      </c>
      <c r="K340" s="15">
        <v>93.0</v>
      </c>
      <c r="L340" s="15">
        <v>105.0</v>
      </c>
      <c r="M340" s="16">
        <v>89.0</v>
      </c>
      <c r="N340" s="16">
        <v>88.0</v>
      </c>
    </row>
    <row r="341">
      <c r="A341" s="10">
        <v>621512.0</v>
      </c>
      <c r="B341" s="11" t="s">
        <v>517</v>
      </c>
      <c r="C341" s="12">
        <v>506.0</v>
      </c>
      <c r="D341" s="10">
        <v>306.0</v>
      </c>
      <c r="E341" s="13">
        <v>100.0</v>
      </c>
      <c r="F341" s="14">
        <v>0.109418014</v>
      </c>
      <c r="G341" s="15">
        <v>104.0</v>
      </c>
      <c r="H341" s="15">
        <v>95.0</v>
      </c>
      <c r="I341" s="15">
        <v>140.0</v>
      </c>
      <c r="J341" s="15">
        <v>80.0</v>
      </c>
      <c r="K341" s="15">
        <v>86.0</v>
      </c>
      <c r="L341" s="15">
        <v>101.0</v>
      </c>
      <c r="M341" s="16">
        <v>89.0</v>
      </c>
      <c r="N341" s="16">
        <v>69.0</v>
      </c>
    </row>
    <row r="342">
      <c r="A342" s="10">
        <v>682177.0</v>
      </c>
      <c r="B342" s="11" t="s">
        <v>100</v>
      </c>
      <c r="C342" s="12">
        <v>857.0</v>
      </c>
      <c r="D342" s="10">
        <v>422.0</v>
      </c>
      <c r="E342" s="13">
        <v>121.0</v>
      </c>
      <c r="F342" s="14">
        <v>0.014092274</v>
      </c>
      <c r="G342" s="15">
        <v>127.0</v>
      </c>
      <c r="H342" s="15">
        <v>115.0</v>
      </c>
      <c r="I342" s="15">
        <v>109.0</v>
      </c>
      <c r="J342" s="15">
        <v>111.0</v>
      </c>
      <c r="K342" s="15">
        <v>77.0</v>
      </c>
      <c r="L342" s="15">
        <v>93.0</v>
      </c>
      <c r="M342" s="16">
        <v>89.0</v>
      </c>
      <c r="N342" s="16">
        <v>97.0</v>
      </c>
    </row>
    <row r="343">
      <c r="A343" s="10">
        <v>593160.0</v>
      </c>
      <c r="B343" s="11" t="s">
        <v>518</v>
      </c>
      <c r="C343" s="12">
        <v>1256.0</v>
      </c>
      <c r="D343" s="10">
        <v>569.0</v>
      </c>
      <c r="E343" s="13">
        <v>230.0</v>
      </c>
      <c r="F343" s="14">
        <v>-0.028000205</v>
      </c>
      <c r="G343" s="15">
        <v>101.0</v>
      </c>
      <c r="H343" s="15">
        <v>113.0</v>
      </c>
      <c r="I343" s="15">
        <v>106.0</v>
      </c>
      <c r="J343" s="15">
        <v>110.0</v>
      </c>
      <c r="K343" s="15">
        <v>106.0</v>
      </c>
      <c r="L343" s="15">
        <v>80.0</v>
      </c>
      <c r="M343" s="16">
        <v>89.0</v>
      </c>
      <c r="N343" s="16">
        <v>85.0</v>
      </c>
    </row>
    <row r="344">
      <c r="A344" s="10">
        <v>641645.0</v>
      </c>
      <c r="B344" s="11" t="s">
        <v>519</v>
      </c>
      <c r="C344" s="12">
        <v>798.0</v>
      </c>
      <c r="D344" s="10">
        <v>336.0</v>
      </c>
      <c r="E344" s="13">
        <v>128.0</v>
      </c>
      <c r="F344" s="14">
        <v>-0.050862481</v>
      </c>
      <c r="G344" s="15">
        <v>100.0</v>
      </c>
      <c r="H344" s="15">
        <v>105.0</v>
      </c>
      <c r="I344" s="15">
        <v>100.0</v>
      </c>
      <c r="J344" s="15">
        <v>105.0</v>
      </c>
      <c r="K344" s="15">
        <v>101.0</v>
      </c>
      <c r="L344" s="15">
        <v>84.0</v>
      </c>
      <c r="M344" s="16">
        <v>89.0</v>
      </c>
      <c r="N344" s="16">
        <v>83.0</v>
      </c>
    </row>
    <row r="345">
      <c r="A345" s="10">
        <v>605361.0</v>
      </c>
      <c r="B345" s="11" t="s">
        <v>379</v>
      </c>
      <c r="C345" s="12">
        <v>617.0</v>
      </c>
      <c r="D345" s="10">
        <v>306.0</v>
      </c>
      <c r="E345" s="13">
        <v>110.0</v>
      </c>
      <c r="F345" s="14">
        <v>0.006574444</v>
      </c>
      <c r="G345" s="15">
        <v>99.0</v>
      </c>
      <c r="H345" s="15">
        <v>97.0</v>
      </c>
      <c r="I345" s="15">
        <v>96.0</v>
      </c>
      <c r="J345" s="15">
        <v>99.0</v>
      </c>
      <c r="K345" s="15">
        <v>98.0</v>
      </c>
      <c r="L345" s="15">
        <v>91.0</v>
      </c>
      <c r="M345" s="16">
        <v>89.0</v>
      </c>
      <c r="N345" s="16">
        <v>89.0</v>
      </c>
    </row>
    <row r="346">
      <c r="A346" s="10">
        <v>676391.0</v>
      </c>
      <c r="B346" s="11" t="s">
        <v>330</v>
      </c>
      <c r="C346" s="12">
        <v>1357.0</v>
      </c>
      <c r="D346" s="10">
        <v>780.0</v>
      </c>
      <c r="E346" s="13">
        <v>371.0</v>
      </c>
      <c r="F346" s="14">
        <v>0.108000495</v>
      </c>
      <c r="G346" s="15">
        <v>63.0</v>
      </c>
      <c r="H346" s="15">
        <v>76.0</v>
      </c>
      <c r="I346" s="15">
        <v>123.0</v>
      </c>
      <c r="J346" s="15">
        <v>68.0</v>
      </c>
      <c r="K346" s="15">
        <v>134.0</v>
      </c>
      <c r="L346" s="15">
        <v>86.0</v>
      </c>
      <c r="M346" s="16">
        <v>89.0</v>
      </c>
      <c r="N346" s="16">
        <v>98.0</v>
      </c>
    </row>
    <row r="347">
      <c r="A347" s="10">
        <v>686780.0</v>
      </c>
      <c r="B347" s="11" t="s">
        <v>372</v>
      </c>
      <c r="C347" s="12">
        <v>736.0</v>
      </c>
      <c r="D347" s="10">
        <v>381.0</v>
      </c>
      <c r="E347" s="13">
        <v>134.0</v>
      </c>
      <c r="F347" s="14">
        <v>0.034854071</v>
      </c>
      <c r="G347" s="15">
        <v>72.0</v>
      </c>
      <c r="H347" s="15">
        <v>76.0</v>
      </c>
      <c r="I347" s="15">
        <v>100.0</v>
      </c>
      <c r="J347" s="15">
        <v>76.0</v>
      </c>
      <c r="K347" s="15">
        <v>98.0</v>
      </c>
      <c r="L347" s="15">
        <v>101.0</v>
      </c>
      <c r="M347" s="16">
        <v>88.0</v>
      </c>
      <c r="N347" s="16">
        <v>92.0</v>
      </c>
    </row>
    <row r="348">
      <c r="A348" s="10">
        <v>679845.0</v>
      </c>
      <c r="B348" s="11" t="s">
        <v>520</v>
      </c>
      <c r="C348" s="12">
        <v>619.0</v>
      </c>
      <c r="D348" s="10">
        <v>266.0</v>
      </c>
      <c r="E348" s="13">
        <v>125.0</v>
      </c>
      <c r="F348" s="14">
        <v>-0.05436607</v>
      </c>
      <c r="G348" s="15">
        <v>116.0</v>
      </c>
      <c r="H348" s="15">
        <v>118.0</v>
      </c>
      <c r="I348" s="15">
        <v>86.0</v>
      </c>
      <c r="J348" s="15">
        <v>121.0</v>
      </c>
      <c r="K348" s="15">
        <v>131.0</v>
      </c>
      <c r="L348" s="15">
        <v>68.0</v>
      </c>
      <c r="M348" s="16">
        <v>88.0</v>
      </c>
      <c r="N348" s="16">
        <v>76.0</v>
      </c>
    </row>
    <row r="349">
      <c r="A349" s="10">
        <v>607680.0</v>
      </c>
      <c r="B349" s="11" t="s">
        <v>521</v>
      </c>
      <c r="C349" s="12">
        <v>1104.0</v>
      </c>
      <c r="D349" s="10">
        <v>579.0</v>
      </c>
      <c r="E349" s="13">
        <v>204.0</v>
      </c>
      <c r="F349" s="14">
        <v>0.053655164</v>
      </c>
      <c r="G349" s="15">
        <v>85.0</v>
      </c>
      <c r="H349" s="15">
        <v>80.0</v>
      </c>
      <c r="I349" s="15">
        <v>107.0</v>
      </c>
      <c r="J349" s="15">
        <v>79.0</v>
      </c>
      <c r="K349" s="15">
        <v>107.0</v>
      </c>
      <c r="L349" s="15">
        <v>94.0</v>
      </c>
      <c r="M349" s="16">
        <v>88.0</v>
      </c>
      <c r="N349" s="16">
        <v>98.0</v>
      </c>
    </row>
    <row r="350">
      <c r="A350" s="10">
        <v>656775.0</v>
      </c>
      <c r="B350" s="11" t="s">
        <v>275</v>
      </c>
      <c r="C350" s="12">
        <v>1809.0</v>
      </c>
      <c r="D350" s="10">
        <v>920.0</v>
      </c>
      <c r="E350" s="13">
        <v>330.0</v>
      </c>
      <c r="F350" s="14">
        <v>0.033981521</v>
      </c>
      <c r="G350" s="15">
        <v>116.0</v>
      </c>
      <c r="H350" s="15">
        <v>107.0</v>
      </c>
      <c r="I350" s="15">
        <v>122.0</v>
      </c>
      <c r="J350" s="15">
        <v>98.0</v>
      </c>
      <c r="K350" s="15">
        <v>99.0</v>
      </c>
      <c r="L350" s="15">
        <v>85.0</v>
      </c>
      <c r="M350" s="16">
        <v>88.0</v>
      </c>
      <c r="N350" s="16">
        <v>101.0</v>
      </c>
    </row>
    <row r="351">
      <c r="A351" s="10">
        <v>678662.0</v>
      </c>
      <c r="B351" s="11" t="s">
        <v>69</v>
      </c>
      <c r="C351" s="12">
        <v>2394.0</v>
      </c>
      <c r="D351" s="10">
        <v>1490.0</v>
      </c>
      <c r="E351" s="13">
        <v>443.0</v>
      </c>
      <c r="F351" s="14">
        <v>0.155870117</v>
      </c>
      <c r="G351" s="15">
        <v>94.0</v>
      </c>
      <c r="H351" s="15">
        <v>68.0</v>
      </c>
      <c r="I351" s="15">
        <v>132.0</v>
      </c>
      <c r="J351" s="15">
        <v>61.0</v>
      </c>
      <c r="K351" s="15">
        <v>87.0</v>
      </c>
      <c r="L351" s="15">
        <v>112.0</v>
      </c>
      <c r="M351" s="16">
        <v>88.0</v>
      </c>
      <c r="N351" s="16">
        <v>101.0</v>
      </c>
    </row>
    <row r="352">
      <c r="A352" s="10">
        <v>676609.0</v>
      </c>
      <c r="B352" s="11" t="s">
        <v>312</v>
      </c>
      <c r="C352" s="12">
        <v>1806.0</v>
      </c>
      <c r="D352" s="10">
        <v>895.0</v>
      </c>
      <c r="E352" s="13">
        <v>295.0</v>
      </c>
      <c r="F352" s="14">
        <v>0.021904604</v>
      </c>
      <c r="G352" s="15">
        <v>84.0</v>
      </c>
      <c r="H352" s="15">
        <v>88.0</v>
      </c>
      <c r="I352" s="15">
        <v>100.0</v>
      </c>
      <c r="J352" s="15">
        <v>89.0</v>
      </c>
      <c r="K352" s="15">
        <v>95.0</v>
      </c>
      <c r="L352" s="15">
        <v>96.0</v>
      </c>
      <c r="M352" s="16">
        <v>88.0</v>
      </c>
      <c r="N352" s="16">
        <v>94.0</v>
      </c>
    </row>
    <row r="353">
      <c r="A353" s="10">
        <v>670770.0</v>
      </c>
      <c r="B353" s="11" t="s">
        <v>301</v>
      </c>
      <c r="C353" s="12">
        <v>1196.0</v>
      </c>
      <c r="D353" s="10">
        <v>520.0</v>
      </c>
      <c r="E353" s="13">
        <v>232.0</v>
      </c>
      <c r="F353" s="14">
        <v>-0.026598955</v>
      </c>
      <c r="G353" s="15">
        <v>106.0</v>
      </c>
      <c r="H353" s="15">
        <v>102.0</v>
      </c>
      <c r="I353" s="15">
        <v>98.0</v>
      </c>
      <c r="J353" s="15">
        <v>103.0</v>
      </c>
      <c r="K353" s="15">
        <v>108.0</v>
      </c>
      <c r="L353" s="15">
        <v>84.0</v>
      </c>
      <c r="M353" s="16">
        <v>88.0</v>
      </c>
      <c r="N353" s="16">
        <v>99.0</v>
      </c>
    </row>
    <row r="354">
      <c r="A354" s="10">
        <v>656582.0</v>
      </c>
      <c r="B354" s="11" t="s">
        <v>522</v>
      </c>
      <c r="C354" s="12">
        <v>1622.0</v>
      </c>
      <c r="D354" s="10">
        <v>700.0</v>
      </c>
      <c r="E354" s="13">
        <v>274.0</v>
      </c>
      <c r="F354" s="14">
        <v>-0.052523221</v>
      </c>
      <c r="G354" s="15">
        <v>106.0</v>
      </c>
      <c r="H354" s="15">
        <v>113.0</v>
      </c>
      <c r="I354" s="15">
        <v>93.0</v>
      </c>
      <c r="J354" s="15">
        <v>115.0</v>
      </c>
      <c r="K354" s="15">
        <v>97.0</v>
      </c>
      <c r="L354" s="15">
        <v>82.0</v>
      </c>
      <c r="M354" s="16">
        <v>88.0</v>
      </c>
      <c r="N354" s="16">
        <v>102.0</v>
      </c>
    </row>
    <row r="355">
      <c r="A355" s="10">
        <v>686797.0</v>
      </c>
      <c r="B355" s="11" t="s">
        <v>342</v>
      </c>
      <c r="C355" s="12">
        <v>537.0</v>
      </c>
      <c r="D355" s="10">
        <v>275.0</v>
      </c>
      <c r="E355" s="13">
        <v>129.0</v>
      </c>
      <c r="F355" s="14">
        <v>0.042762451</v>
      </c>
      <c r="G355" s="15">
        <v>74.0</v>
      </c>
      <c r="H355" s="15">
        <v>67.0</v>
      </c>
      <c r="I355" s="15">
        <v>95.0</v>
      </c>
      <c r="J355" s="15">
        <v>70.0</v>
      </c>
      <c r="K355" s="15">
        <v>128.0</v>
      </c>
      <c r="L355" s="15">
        <v>91.0</v>
      </c>
      <c r="M355" s="16">
        <v>88.0</v>
      </c>
      <c r="N355" s="16">
        <v>73.0</v>
      </c>
    </row>
    <row r="356">
      <c r="A356" s="10">
        <v>624431.0</v>
      </c>
      <c r="B356" s="11" t="s">
        <v>305</v>
      </c>
      <c r="C356" s="12">
        <v>860.0</v>
      </c>
      <c r="D356" s="10">
        <v>343.0</v>
      </c>
      <c r="E356" s="13">
        <v>165.0</v>
      </c>
      <c r="F356" s="14">
        <v>-0.067728844</v>
      </c>
      <c r="G356" s="15">
        <v>62.0</v>
      </c>
      <c r="H356" s="15">
        <v>95.0</v>
      </c>
      <c r="I356" s="15">
        <v>81.0</v>
      </c>
      <c r="J356" s="15">
        <v>101.0</v>
      </c>
      <c r="K356" s="15">
        <v>121.0</v>
      </c>
      <c r="L356" s="15">
        <v>82.0</v>
      </c>
      <c r="M356" s="16">
        <v>88.0</v>
      </c>
      <c r="N356" s="16">
        <v>92.0</v>
      </c>
    </row>
    <row r="357">
      <c r="A357" s="10">
        <v>696285.0</v>
      </c>
      <c r="B357" s="11" t="s">
        <v>355</v>
      </c>
      <c r="C357" s="12">
        <v>1840.0</v>
      </c>
      <c r="D357" s="10">
        <v>821.0</v>
      </c>
      <c r="E357" s="13">
        <v>359.0</v>
      </c>
      <c r="F357" s="14">
        <v>-0.055768479</v>
      </c>
      <c r="G357" s="15">
        <v>80.0</v>
      </c>
      <c r="H357" s="15">
        <v>102.0</v>
      </c>
      <c r="I357" s="15">
        <v>85.0</v>
      </c>
      <c r="J357" s="15">
        <v>108.0</v>
      </c>
      <c r="K357" s="15">
        <v>107.0</v>
      </c>
      <c r="L357" s="15">
        <v>85.0</v>
      </c>
      <c r="M357" s="16">
        <v>88.0</v>
      </c>
      <c r="N357" s="16">
        <v>97.0</v>
      </c>
    </row>
    <row r="358">
      <c r="A358" s="10">
        <v>643446.0</v>
      </c>
      <c r="B358" s="11" t="s">
        <v>211</v>
      </c>
      <c r="C358" s="12">
        <v>1670.0</v>
      </c>
      <c r="D358" s="10">
        <v>923.0</v>
      </c>
      <c r="E358" s="13">
        <v>352.0</v>
      </c>
      <c r="F358" s="14">
        <v>0.067744429</v>
      </c>
      <c r="G358" s="15">
        <v>117.0</v>
      </c>
      <c r="H358" s="15">
        <v>105.0</v>
      </c>
      <c r="I358" s="15">
        <v>130.0</v>
      </c>
      <c r="J358" s="15">
        <v>93.0</v>
      </c>
      <c r="K358" s="15">
        <v>112.0</v>
      </c>
      <c r="L358" s="15">
        <v>81.0</v>
      </c>
      <c r="M358" s="16">
        <v>88.0</v>
      </c>
      <c r="N358" s="16">
        <v>98.0</v>
      </c>
    </row>
    <row r="359">
      <c r="A359" s="10">
        <v>656413.0</v>
      </c>
      <c r="B359" s="11" t="s">
        <v>523</v>
      </c>
      <c r="C359" s="12">
        <v>845.0</v>
      </c>
      <c r="D359" s="10">
        <v>426.0</v>
      </c>
      <c r="E359" s="13">
        <v>151.0</v>
      </c>
      <c r="F359" s="14">
        <v>0.017555493</v>
      </c>
      <c r="G359" s="15">
        <v>127.0</v>
      </c>
      <c r="H359" s="15">
        <v>119.0</v>
      </c>
      <c r="I359" s="15">
        <v>106.0</v>
      </c>
      <c r="J359" s="15">
        <v>116.0</v>
      </c>
      <c r="K359" s="15">
        <v>78.0</v>
      </c>
      <c r="L359" s="15">
        <v>91.0</v>
      </c>
      <c r="M359" s="16">
        <v>88.0</v>
      </c>
      <c r="N359" s="16">
        <v>92.0</v>
      </c>
    </row>
    <row r="360">
      <c r="A360" s="10">
        <v>669720.0</v>
      </c>
      <c r="B360" s="11" t="s">
        <v>138</v>
      </c>
      <c r="C360" s="12">
        <v>796.0</v>
      </c>
      <c r="D360" s="10">
        <v>433.0</v>
      </c>
      <c r="E360" s="13">
        <v>169.0</v>
      </c>
      <c r="F360" s="14">
        <v>0.065844199</v>
      </c>
      <c r="G360" s="15">
        <v>96.0</v>
      </c>
      <c r="H360" s="15">
        <v>91.0</v>
      </c>
      <c r="I360" s="15">
        <v>105.0</v>
      </c>
      <c r="J360" s="15">
        <v>89.0</v>
      </c>
      <c r="K360" s="15">
        <v>92.0</v>
      </c>
      <c r="L360" s="15">
        <v>97.0</v>
      </c>
      <c r="M360" s="16">
        <v>88.0</v>
      </c>
      <c r="N360" s="16">
        <v>97.0</v>
      </c>
    </row>
    <row r="361">
      <c r="A361" s="10">
        <v>680869.0</v>
      </c>
      <c r="B361" s="11" t="s">
        <v>524</v>
      </c>
      <c r="C361" s="12">
        <v>1952.0</v>
      </c>
      <c r="D361" s="10">
        <v>996.0</v>
      </c>
      <c r="E361" s="13">
        <v>302.0</v>
      </c>
      <c r="F361" s="14">
        <v>0.011371436</v>
      </c>
      <c r="G361" s="15">
        <v>113.0</v>
      </c>
      <c r="H361" s="15">
        <v>111.0</v>
      </c>
      <c r="I361" s="15">
        <v>112.0</v>
      </c>
      <c r="J361" s="15">
        <v>105.0</v>
      </c>
      <c r="K361" s="15">
        <v>69.0</v>
      </c>
      <c r="L361" s="15">
        <v>100.0</v>
      </c>
      <c r="M361" s="16">
        <v>87.0</v>
      </c>
      <c r="N361" s="16">
        <v>94.0</v>
      </c>
    </row>
    <row r="362">
      <c r="A362" s="10">
        <v>660688.0</v>
      </c>
      <c r="B362" s="11" t="s">
        <v>352</v>
      </c>
      <c r="C362" s="12">
        <v>1576.0</v>
      </c>
      <c r="D362" s="10">
        <v>823.0</v>
      </c>
      <c r="E362" s="13">
        <v>391.0</v>
      </c>
      <c r="F362" s="14">
        <v>0.075165006</v>
      </c>
      <c r="G362" s="15">
        <v>70.0</v>
      </c>
      <c r="H362" s="15">
        <v>66.0</v>
      </c>
      <c r="I362" s="15">
        <v>116.0</v>
      </c>
      <c r="J362" s="15">
        <v>63.0</v>
      </c>
      <c r="K362" s="15">
        <v>138.0</v>
      </c>
      <c r="L362" s="15">
        <v>86.0</v>
      </c>
      <c r="M362" s="16">
        <v>87.0</v>
      </c>
      <c r="N362" s="16">
        <v>81.0</v>
      </c>
    </row>
    <row r="363">
      <c r="A363" s="10">
        <v>642180.0</v>
      </c>
      <c r="B363" s="11" t="s">
        <v>375</v>
      </c>
      <c r="C363" s="12">
        <v>556.0</v>
      </c>
      <c r="D363" s="10">
        <v>244.0</v>
      </c>
      <c r="E363" s="13">
        <v>105.0</v>
      </c>
      <c r="F363" s="14">
        <v>-0.019380273</v>
      </c>
      <c r="G363" s="15">
        <v>91.0</v>
      </c>
      <c r="H363" s="15">
        <v>93.0</v>
      </c>
      <c r="I363" s="15">
        <v>87.0</v>
      </c>
      <c r="J363" s="15">
        <v>98.0</v>
      </c>
      <c r="K363" s="15">
        <v>109.0</v>
      </c>
      <c r="L363" s="15">
        <v>86.0</v>
      </c>
      <c r="M363" s="16">
        <v>87.0</v>
      </c>
      <c r="N363" s="16">
        <v>78.0</v>
      </c>
    </row>
    <row r="364">
      <c r="A364" s="10">
        <v>600869.0</v>
      </c>
      <c r="B364" s="11" t="s">
        <v>525</v>
      </c>
      <c r="C364" s="12">
        <v>1749.0</v>
      </c>
      <c r="D364" s="10">
        <v>900.0</v>
      </c>
      <c r="E364" s="13">
        <v>309.0</v>
      </c>
      <c r="F364" s="14">
        <v>0.043583747</v>
      </c>
      <c r="G364" s="15">
        <v>97.0</v>
      </c>
      <c r="H364" s="15">
        <v>90.0</v>
      </c>
      <c r="I364" s="15">
        <v>110.0</v>
      </c>
      <c r="J364" s="15">
        <v>88.0</v>
      </c>
      <c r="K364" s="15">
        <v>93.0</v>
      </c>
      <c r="L364" s="15">
        <v>95.0</v>
      </c>
      <c r="M364" s="16">
        <v>87.0</v>
      </c>
      <c r="N364" s="16">
        <v>97.0</v>
      </c>
    </row>
    <row r="365">
      <c r="A365" s="10">
        <v>676356.0</v>
      </c>
      <c r="B365" s="11" t="s">
        <v>526</v>
      </c>
      <c r="C365" s="12">
        <v>1261.0</v>
      </c>
      <c r="D365" s="10">
        <v>683.0</v>
      </c>
      <c r="E365" s="13">
        <v>239.0</v>
      </c>
      <c r="F365" s="14">
        <v>0.067700167</v>
      </c>
      <c r="G365" s="15">
        <v>88.0</v>
      </c>
      <c r="H365" s="15">
        <v>82.0</v>
      </c>
      <c r="I365" s="15">
        <v>107.0</v>
      </c>
      <c r="J365" s="15">
        <v>81.0</v>
      </c>
      <c r="K365" s="15">
        <v>107.0</v>
      </c>
      <c r="L365" s="15">
        <v>92.0</v>
      </c>
      <c r="M365" s="16">
        <v>87.0</v>
      </c>
      <c r="N365" s="16">
        <v>90.0</v>
      </c>
    </row>
    <row r="366">
      <c r="A366" s="10">
        <v>594807.0</v>
      </c>
      <c r="B366" s="11" t="s">
        <v>527</v>
      </c>
      <c r="C366" s="12">
        <v>1239.0</v>
      </c>
      <c r="D366" s="10">
        <v>610.0</v>
      </c>
      <c r="E366" s="13">
        <v>204.0</v>
      </c>
      <c r="F366" s="14">
        <v>0.009467421</v>
      </c>
      <c r="G366" s="15">
        <v>84.0</v>
      </c>
      <c r="H366" s="15">
        <v>77.0</v>
      </c>
      <c r="I366" s="15">
        <v>73.0</v>
      </c>
      <c r="J366" s="15">
        <v>88.0</v>
      </c>
      <c r="K366" s="15">
        <v>92.0</v>
      </c>
      <c r="L366" s="15">
        <v>102.0</v>
      </c>
      <c r="M366" s="16">
        <v>87.0</v>
      </c>
      <c r="N366" s="16">
        <v>76.0</v>
      </c>
    </row>
    <row r="367">
      <c r="A367" s="10">
        <v>676116.0</v>
      </c>
      <c r="B367" s="11" t="s">
        <v>528</v>
      </c>
      <c r="C367" s="12">
        <v>486.0</v>
      </c>
      <c r="D367" s="10">
        <v>206.0</v>
      </c>
      <c r="E367" s="13">
        <v>58.0</v>
      </c>
      <c r="F367" s="14">
        <v>-0.074394715</v>
      </c>
      <c r="G367" s="15">
        <v>121.0</v>
      </c>
      <c r="H367" s="15">
        <v>122.0</v>
      </c>
      <c r="I367" s="15">
        <v>84.0</v>
      </c>
      <c r="J367" s="15">
        <v>127.0</v>
      </c>
      <c r="K367" s="15">
        <v>77.0</v>
      </c>
      <c r="L367" s="15">
        <v>80.0</v>
      </c>
      <c r="M367" s="16">
        <v>87.0</v>
      </c>
      <c r="N367" s="16">
        <v>73.0</v>
      </c>
    </row>
    <row r="368">
      <c r="A368" s="10">
        <v>687529.0</v>
      </c>
      <c r="B368" s="11" t="s">
        <v>529</v>
      </c>
      <c r="C368" s="12">
        <v>425.0</v>
      </c>
      <c r="D368" s="10">
        <v>217.0</v>
      </c>
      <c r="E368" s="13">
        <v>58.0</v>
      </c>
      <c r="F368" s="14">
        <v>0.050316073</v>
      </c>
      <c r="G368" s="15">
        <v>108.0</v>
      </c>
      <c r="H368" s="15">
        <v>86.0</v>
      </c>
      <c r="I368" s="15">
        <v>112.0</v>
      </c>
      <c r="J368" s="15">
        <v>82.0</v>
      </c>
      <c r="K368" s="15">
        <v>68.0</v>
      </c>
      <c r="L368" s="15">
        <v>115.0</v>
      </c>
      <c r="M368" s="16">
        <v>87.0</v>
      </c>
      <c r="N368" s="16">
        <v>92.0</v>
      </c>
    </row>
    <row r="369">
      <c r="A369" s="10">
        <v>645444.0</v>
      </c>
      <c r="B369" s="11" t="s">
        <v>349</v>
      </c>
      <c r="C369" s="12">
        <v>469.0</v>
      </c>
      <c r="D369" s="10">
        <v>194.0</v>
      </c>
      <c r="E369" s="13">
        <v>76.0</v>
      </c>
      <c r="F369" s="14">
        <v>-0.0905564</v>
      </c>
      <c r="G369" s="15">
        <v>99.0</v>
      </c>
      <c r="H369" s="15">
        <v>110.0</v>
      </c>
      <c r="I369" s="15">
        <v>72.0</v>
      </c>
      <c r="J369" s="15">
        <v>119.0</v>
      </c>
      <c r="K369" s="15">
        <v>98.0</v>
      </c>
      <c r="L369" s="15">
        <v>81.0</v>
      </c>
      <c r="M369" s="16">
        <v>86.0</v>
      </c>
      <c r="N369" s="16">
        <v>84.0</v>
      </c>
    </row>
    <row r="370">
      <c r="A370" s="10">
        <v>545121.0</v>
      </c>
      <c r="B370" s="11" t="s">
        <v>530</v>
      </c>
      <c r="C370" s="12">
        <v>1010.0</v>
      </c>
      <c r="D370" s="10">
        <v>467.0</v>
      </c>
      <c r="E370" s="13">
        <v>237.0</v>
      </c>
      <c r="F370" s="14">
        <v>0.002659107</v>
      </c>
      <c r="G370" s="15">
        <v>81.0</v>
      </c>
      <c r="H370" s="15">
        <v>97.0</v>
      </c>
      <c r="I370" s="15">
        <v>110.0</v>
      </c>
      <c r="J370" s="15">
        <v>93.0</v>
      </c>
      <c r="K370" s="15">
        <v>129.0</v>
      </c>
      <c r="L370" s="15">
        <v>79.0</v>
      </c>
      <c r="M370" s="16">
        <v>86.0</v>
      </c>
      <c r="N370" s="16">
        <v>89.0</v>
      </c>
    </row>
    <row r="371">
      <c r="A371" s="10">
        <v>669242.0</v>
      </c>
      <c r="B371" s="11" t="s">
        <v>191</v>
      </c>
      <c r="C371" s="12">
        <v>444.0</v>
      </c>
      <c r="D371" s="10">
        <v>204.0</v>
      </c>
      <c r="E371" s="13">
        <v>91.0</v>
      </c>
      <c r="F371" s="14">
        <v>-0.003953439</v>
      </c>
      <c r="G371" s="15">
        <v>109.0</v>
      </c>
      <c r="H371" s="15">
        <v>94.0</v>
      </c>
      <c r="I371" s="15">
        <v>93.0</v>
      </c>
      <c r="J371" s="15">
        <v>97.0</v>
      </c>
      <c r="K371" s="15">
        <v>116.0</v>
      </c>
      <c r="L371" s="15">
        <v>83.0</v>
      </c>
      <c r="M371" s="16">
        <v>86.0</v>
      </c>
      <c r="N371" s="16">
        <v>114.0</v>
      </c>
    </row>
    <row r="372">
      <c r="A372" s="10">
        <v>592178.0</v>
      </c>
      <c r="B372" s="11" t="s">
        <v>531</v>
      </c>
      <c r="C372" s="12">
        <v>605.0</v>
      </c>
      <c r="D372" s="10">
        <v>289.0</v>
      </c>
      <c r="E372" s="13">
        <v>86.0</v>
      </c>
      <c r="F372" s="14">
        <v>-0.013824055</v>
      </c>
      <c r="G372" s="15">
        <v>96.0</v>
      </c>
      <c r="H372" s="15">
        <v>103.0</v>
      </c>
      <c r="I372" s="15">
        <v>80.0</v>
      </c>
      <c r="J372" s="15">
        <v>108.0</v>
      </c>
      <c r="K372" s="15">
        <v>78.0</v>
      </c>
      <c r="L372" s="15">
        <v>95.0</v>
      </c>
      <c r="M372" s="16">
        <v>86.0</v>
      </c>
      <c r="N372" s="16">
        <v>93.0</v>
      </c>
    </row>
    <row r="373">
      <c r="A373" s="10">
        <v>621028.0</v>
      </c>
      <c r="B373" s="11" t="s">
        <v>532</v>
      </c>
      <c r="C373" s="12">
        <v>1053.0</v>
      </c>
      <c r="D373" s="10">
        <v>516.0</v>
      </c>
      <c r="E373" s="13">
        <v>243.0</v>
      </c>
      <c r="F373" s="14">
        <v>0.025501953</v>
      </c>
      <c r="G373" s="15">
        <v>96.0</v>
      </c>
      <c r="H373" s="15">
        <v>91.0</v>
      </c>
      <c r="I373" s="15">
        <v>105.0</v>
      </c>
      <c r="J373" s="15">
        <v>90.0</v>
      </c>
      <c r="K373" s="15">
        <v>122.0</v>
      </c>
      <c r="L373" s="15">
        <v>83.0</v>
      </c>
      <c r="M373" s="16">
        <v>86.0</v>
      </c>
      <c r="N373" s="16">
        <v>100.0</v>
      </c>
    </row>
    <row r="374">
      <c r="A374" s="10">
        <v>624415.0</v>
      </c>
      <c r="B374" s="11" t="s">
        <v>533</v>
      </c>
      <c r="C374" s="12">
        <v>940.0</v>
      </c>
      <c r="D374" s="10">
        <v>359.0</v>
      </c>
      <c r="E374" s="13">
        <v>118.0</v>
      </c>
      <c r="F374" s="14">
        <v>-0.123779242</v>
      </c>
      <c r="G374" s="15">
        <v>96.0</v>
      </c>
      <c r="H374" s="15">
        <v>107.0</v>
      </c>
      <c r="I374" s="15">
        <v>49.0</v>
      </c>
      <c r="J374" s="15">
        <v>129.0</v>
      </c>
      <c r="K374" s="15">
        <v>94.0</v>
      </c>
      <c r="L374" s="15">
        <v>77.0</v>
      </c>
      <c r="M374" s="16">
        <v>86.0</v>
      </c>
      <c r="N374" s="16">
        <v>99.0</v>
      </c>
    </row>
    <row r="375">
      <c r="A375" s="10">
        <v>696100.0</v>
      </c>
      <c r="B375" s="11" t="s">
        <v>247</v>
      </c>
      <c r="C375" s="12">
        <v>786.0</v>
      </c>
      <c r="D375" s="10">
        <v>455.0</v>
      </c>
      <c r="E375" s="13">
        <v>141.0</v>
      </c>
      <c r="F375" s="14">
        <v>0.107238917</v>
      </c>
      <c r="G375" s="15">
        <v>98.0</v>
      </c>
      <c r="H375" s="15">
        <v>79.0</v>
      </c>
      <c r="I375" s="15">
        <v>118.0</v>
      </c>
      <c r="J375" s="15">
        <v>74.0</v>
      </c>
      <c r="K375" s="15">
        <v>82.0</v>
      </c>
      <c r="L375" s="15">
        <v>107.0</v>
      </c>
      <c r="M375" s="16">
        <v>85.0</v>
      </c>
      <c r="N375" s="16">
        <v>87.0</v>
      </c>
    </row>
    <row r="376">
      <c r="A376" s="10">
        <v>687231.0</v>
      </c>
      <c r="B376" s="11" t="s">
        <v>534</v>
      </c>
      <c r="C376" s="12">
        <v>468.0</v>
      </c>
      <c r="D376" s="10">
        <v>214.0</v>
      </c>
      <c r="E376" s="13">
        <v>88.0</v>
      </c>
      <c r="F376" s="14">
        <v>-0.019647687</v>
      </c>
      <c r="G376" s="15">
        <v>97.0</v>
      </c>
      <c r="H376" s="15">
        <v>105.0</v>
      </c>
      <c r="I376" s="15">
        <v>101.0</v>
      </c>
      <c r="J376" s="15">
        <v>104.0</v>
      </c>
      <c r="K376" s="15">
        <v>104.0</v>
      </c>
      <c r="L376" s="15">
        <v>81.0</v>
      </c>
      <c r="M376" s="16">
        <v>85.0</v>
      </c>
      <c r="N376" s="16">
        <v>71.0</v>
      </c>
    </row>
    <row r="377">
      <c r="A377" s="10">
        <v>695391.0</v>
      </c>
      <c r="B377" s="11" t="s">
        <v>535</v>
      </c>
      <c r="C377" s="12">
        <v>473.0</v>
      </c>
      <c r="D377" s="10">
        <v>192.0</v>
      </c>
      <c r="E377" s="13">
        <v>78.0</v>
      </c>
      <c r="F377" s="14">
        <v>-0.062466621</v>
      </c>
      <c r="G377" s="15">
        <v>108.0</v>
      </c>
      <c r="H377" s="15">
        <v>118.0</v>
      </c>
      <c r="I377" s="15">
        <v>100.0</v>
      </c>
      <c r="J377" s="15">
        <v>117.0</v>
      </c>
      <c r="K377" s="15">
        <v>106.0</v>
      </c>
      <c r="L377" s="15">
        <v>72.0</v>
      </c>
      <c r="M377" s="16">
        <v>85.0</v>
      </c>
      <c r="N377" s="16">
        <v>81.0</v>
      </c>
    </row>
    <row r="378">
      <c r="A378" s="10">
        <v>592273.0</v>
      </c>
      <c r="B378" s="11" t="s">
        <v>536</v>
      </c>
      <c r="C378" s="12">
        <v>1294.0</v>
      </c>
      <c r="D378" s="10">
        <v>601.0</v>
      </c>
      <c r="E378" s="13">
        <v>230.0</v>
      </c>
      <c r="F378" s="14">
        <v>-0.039855674</v>
      </c>
      <c r="G378" s="15">
        <v>104.0</v>
      </c>
      <c r="H378" s="15">
        <v>103.0</v>
      </c>
      <c r="I378" s="15">
        <v>82.0</v>
      </c>
      <c r="J378" s="15">
        <v>110.0</v>
      </c>
      <c r="K378" s="15">
        <v>100.0</v>
      </c>
      <c r="L378" s="15">
        <v>83.0</v>
      </c>
      <c r="M378" s="16">
        <v>85.0</v>
      </c>
      <c r="N378" s="16">
        <v>67.0</v>
      </c>
    </row>
    <row r="379">
      <c r="A379" s="10">
        <v>628451.0</v>
      </c>
      <c r="B379" s="11" t="s">
        <v>537</v>
      </c>
      <c r="C379" s="12">
        <v>875.0</v>
      </c>
      <c r="D379" s="10">
        <v>463.0</v>
      </c>
      <c r="E379" s="13">
        <v>155.0</v>
      </c>
      <c r="F379" s="14">
        <v>0.051824898</v>
      </c>
      <c r="G379" s="15">
        <v>104.0</v>
      </c>
      <c r="H379" s="15">
        <v>97.0</v>
      </c>
      <c r="I379" s="15">
        <v>109.0</v>
      </c>
      <c r="J379" s="15">
        <v>94.0</v>
      </c>
      <c r="K379" s="15">
        <v>87.0</v>
      </c>
      <c r="L379" s="15">
        <v>94.0</v>
      </c>
      <c r="M379" s="16">
        <v>85.0</v>
      </c>
      <c r="N379" s="16">
        <v>95.0</v>
      </c>
    </row>
    <row r="380">
      <c r="A380" s="10">
        <v>592200.0</v>
      </c>
      <c r="B380" s="11" t="s">
        <v>538</v>
      </c>
      <c r="C380" s="12">
        <v>446.0</v>
      </c>
      <c r="D380" s="10">
        <v>194.0</v>
      </c>
      <c r="E380" s="13">
        <v>84.0</v>
      </c>
      <c r="F380" s="14">
        <v>-0.056528641</v>
      </c>
      <c r="G380" s="15">
        <v>121.0</v>
      </c>
      <c r="H380" s="15">
        <v>122.0</v>
      </c>
      <c r="I380" s="15">
        <v>81.0</v>
      </c>
      <c r="J380" s="15">
        <v>130.0</v>
      </c>
      <c r="K380" s="15">
        <v>108.0</v>
      </c>
      <c r="L380" s="15">
        <v>72.0</v>
      </c>
      <c r="M380" s="16">
        <v>85.0</v>
      </c>
      <c r="N380" s="16">
        <v>80.0</v>
      </c>
    </row>
    <row r="381">
      <c r="A381" s="10">
        <v>666310.0</v>
      </c>
      <c r="B381" s="11" t="s">
        <v>252</v>
      </c>
      <c r="C381" s="12">
        <v>1544.0</v>
      </c>
      <c r="D381" s="10">
        <v>716.0</v>
      </c>
      <c r="E381" s="13">
        <v>225.0</v>
      </c>
      <c r="F381" s="14">
        <v>-0.019192596</v>
      </c>
      <c r="G381" s="15">
        <v>99.0</v>
      </c>
      <c r="H381" s="15">
        <v>97.0</v>
      </c>
      <c r="I381" s="15">
        <v>92.0</v>
      </c>
      <c r="J381" s="15">
        <v>100.0</v>
      </c>
      <c r="K381" s="15">
        <v>81.0</v>
      </c>
      <c r="L381" s="15">
        <v>95.0</v>
      </c>
      <c r="M381" s="16">
        <v>85.0</v>
      </c>
      <c r="N381" s="16">
        <v>89.0</v>
      </c>
    </row>
    <row r="382">
      <c r="A382" s="10">
        <v>702616.0</v>
      </c>
      <c r="B382" s="11" t="s">
        <v>136</v>
      </c>
      <c r="C382" s="12">
        <v>767.0</v>
      </c>
      <c r="D382" s="10">
        <v>353.0</v>
      </c>
      <c r="E382" s="13">
        <v>113.0</v>
      </c>
      <c r="F382" s="14">
        <v>-0.006351211</v>
      </c>
      <c r="G382" s="15">
        <v>93.0</v>
      </c>
      <c r="H382" s="15">
        <v>99.0</v>
      </c>
      <c r="I382" s="15">
        <v>98.0</v>
      </c>
      <c r="J382" s="15">
        <v>99.0</v>
      </c>
      <c r="K382" s="15">
        <v>80.0</v>
      </c>
      <c r="L382" s="15">
        <v>94.0</v>
      </c>
      <c r="M382" s="16">
        <v>84.0</v>
      </c>
      <c r="N382" s="16">
        <v>78.0</v>
      </c>
    </row>
    <row r="383">
      <c r="A383" s="10">
        <v>694497.0</v>
      </c>
      <c r="B383" s="11" t="s">
        <v>297</v>
      </c>
      <c r="C383" s="12">
        <v>639.0</v>
      </c>
      <c r="D383" s="10">
        <v>246.0</v>
      </c>
      <c r="E383" s="13">
        <v>101.0</v>
      </c>
      <c r="F383" s="14">
        <v>-0.112800147</v>
      </c>
      <c r="G383" s="15">
        <v>93.0</v>
      </c>
      <c r="H383" s="15">
        <v>93.0</v>
      </c>
      <c r="I383" s="15">
        <v>37.0</v>
      </c>
      <c r="J383" s="15">
        <v>118.0</v>
      </c>
      <c r="K383" s="15">
        <v>107.0</v>
      </c>
      <c r="L383" s="15">
        <v>82.0</v>
      </c>
      <c r="M383" s="16">
        <v>84.0</v>
      </c>
      <c r="N383" s="16">
        <v>90.0</v>
      </c>
    </row>
    <row r="384">
      <c r="A384" s="10">
        <v>666163.0</v>
      </c>
      <c r="B384" s="11" t="s">
        <v>539</v>
      </c>
      <c r="C384" s="12">
        <v>1285.0</v>
      </c>
      <c r="D384" s="10">
        <v>559.0</v>
      </c>
      <c r="E384" s="13">
        <v>193.0</v>
      </c>
      <c r="F384" s="14">
        <v>-0.038247882</v>
      </c>
      <c r="G384" s="15">
        <v>85.0</v>
      </c>
      <c r="H384" s="15">
        <v>90.0</v>
      </c>
      <c r="I384" s="15">
        <v>72.0</v>
      </c>
      <c r="J384" s="15">
        <v>100.0</v>
      </c>
      <c r="K384" s="15">
        <v>98.0</v>
      </c>
      <c r="L384" s="15">
        <v>87.0</v>
      </c>
      <c r="M384" s="16">
        <v>84.0</v>
      </c>
      <c r="N384" s="16">
        <v>93.0</v>
      </c>
    </row>
    <row r="385">
      <c r="A385" s="10">
        <v>641680.0</v>
      </c>
      <c r="B385" s="11" t="s">
        <v>333</v>
      </c>
      <c r="C385" s="12">
        <v>1658.0</v>
      </c>
      <c r="D385" s="10">
        <v>915.0</v>
      </c>
      <c r="E385" s="13">
        <v>352.0</v>
      </c>
      <c r="F385" s="14">
        <v>0.067905123</v>
      </c>
      <c r="G385" s="15">
        <v>109.0</v>
      </c>
      <c r="H385" s="15">
        <v>94.0</v>
      </c>
      <c r="I385" s="15">
        <v>119.0</v>
      </c>
      <c r="J385" s="15">
        <v>87.0</v>
      </c>
      <c r="K385" s="15">
        <v>107.0</v>
      </c>
      <c r="L385" s="15">
        <v>85.0</v>
      </c>
      <c r="M385" s="16">
        <v>84.0</v>
      </c>
      <c r="N385" s="16">
        <v>77.0</v>
      </c>
    </row>
    <row r="386">
      <c r="A386" s="10">
        <v>608841.0</v>
      </c>
      <c r="B386" s="11" t="s">
        <v>540</v>
      </c>
      <c r="C386" s="12">
        <v>1138.0</v>
      </c>
      <c r="D386" s="10">
        <v>577.0</v>
      </c>
      <c r="E386" s="13">
        <v>222.0</v>
      </c>
      <c r="F386" s="14">
        <v>0.030545034</v>
      </c>
      <c r="G386" s="15">
        <v>94.0</v>
      </c>
      <c r="H386" s="15">
        <v>96.0</v>
      </c>
      <c r="I386" s="15">
        <v>109.0</v>
      </c>
      <c r="J386" s="15">
        <v>93.0</v>
      </c>
      <c r="K386" s="15">
        <v>109.0</v>
      </c>
      <c r="L386" s="15">
        <v>82.0</v>
      </c>
      <c r="M386" s="16">
        <v>84.0</v>
      </c>
      <c r="N386" s="16">
        <v>83.0</v>
      </c>
    </row>
    <row r="387">
      <c r="A387" s="10">
        <v>664728.0</v>
      </c>
      <c r="B387" s="11" t="s">
        <v>369</v>
      </c>
      <c r="C387" s="12">
        <v>1477.0</v>
      </c>
      <c r="D387" s="10">
        <v>676.0</v>
      </c>
      <c r="E387" s="13">
        <v>292.0</v>
      </c>
      <c r="F387" s="14">
        <v>-0.012951721</v>
      </c>
      <c r="G387" s="15">
        <v>78.0</v>
      </c>
      <c r="H387" s="15">
        <v>78.0</v>
      </c>
      <c r="I387" s="15">
        <v>85.0</v>
      </c>
      <c r="J387" s="15">
        <v>84.0</v>
      </c>
      <c r="K387" s="15">
        <v>119.0</v>
      </c>
      <c r="L387" s="15">
        <v>86.0</v>
      </c>
      <c r="M387" s="16">
        <v>84.0</v>
      </c>
      <c r="N387" s="16">
        <v>90.0</v>
      </c>
    </row>
    <row r="388">
      <c r="A388" s="10">
        <v>682641.0</v>
      </c>
      <c r="B388" s="11" t="s">
        <v>541</v>
      </c>
      <c r="C388" s="12">
        <v>528.0</v>
      </c>
      <c r="D388" s="10">
        <v>288.0</v>
      </c>
      <c r="E388" s="13">
        <v>122.0</v>
      </c>
      <c r="F388" s="14">
        <v>0.061273434</v>
      </c>
      <c r="G388" s="15">
        <v>79.0</v>
      </c>
      <c r="H388" s="15">
        <v>72.0</v>
      </c>
      <c r="I388" s="15">
        <v>104.0</v>
      </c>
      <c r="J388" s="15">
        <v>71.0</v>
      </c>
      <c r="K388" s="15">
        <v>123.0</v>
      </c>
      <c r="L388" s="15">
        <v>87.0</v>
      </c>
      <c r="M388" s="16">
        <v>84.0</v>
      </c>
      <c r="N388" s="16">
        <v>77.0</v>
      </c>
    </row>
    <row r="389">
      <c r="A389" s="10">
        <v>641584.0</v>
      </c>
      <c r="B389" s="11" t="s">
        <v>298</v>
      </c>
      <c r="C389" s="12">
        <v>1240.0</v>
      </c>
      <c r="D389" s="10">
        <v>712.0</v>
      </c>
      <c r="E389" s="13">
        <v>259.0</v>
      </c>
      <c r="F389" s="14">
        <v>0.098638556</v>
      </c>
      <c r="G389" s="15">
        <v>125.0</v>
      </c>
      <c r="H389" s="15">
        <v>102.0</v>
      </c>
      <c r="I389" s="15">
        <v>129.0</v>
      </c>
      <c r="J389" s="15">
        <v>90.0</v>
      </c>
      <c r="K389" s="15">
        <v>93.0</v>
      </c>
      <c r="L389" s="15">
        <v>89.0</v>
      </c>
      <c r="M389" s="16">
        <v>83.0</v>
      </c>
      <c r="N389" s="16">
        <v>101.0</v>
      </c>
    </row>
    <row r="390">
      <c r="A390" s="10">
        <v>682657.0</v>
      </c>
      <c r="B390" s="11" t="s">
        <v>365</v>
      </c>
      <c r="C390" s="12">
        <v>643.0</v>
      </c>
      <c r="D390" s="10">
        <v>314.0</v>
      </c>
      <c r="E390" s="13">
        <v>113.0</v>
      </c>
      <c r="F390" s="14">
        <v>0.020047426</v>
      </c>
      <c r="G390" s="15">
        <v>69.0</v>
      </c>
      <c r="H390" s="15">
        <v>78.0</v>
      </c>
      <c r="I390" s="15">
        <v>102.0</v>
      </c>
      <c r="J390" s="15">
        <v>79.0</v>
      </c>
      <c r="K390" s="15">
        <v>117.0</v>
      </c>
      <c r="L390" s="15">
        <v>83.0</v>
      </c>
      <c r="M390" s="16">
        <v>83.0</v>
      </c>
      <c r="N390" s="16">
        <v>95.0</v>
      </c>
    </row>
    <row r="391">
      <c r="A391" s="10">
        <v>606115.0</v>
      </c>
      <c r="B391" s="11" t="s">
        <v>380</v>
      </c>
      <c r="C391" s="12">
        <v>2227.0</v>
      </c>
      <c r="D391" s="10">
        <v>1094.0</v>
      </c>
      <c r="E391" s="13">
        <v>413.0</v>
      </c>
      <c r="F391" s="14">
        <v>0.002860366</v>
      </c>
      <c r="G391" s="15">
        <v>108.0</v>
      </c>
      <c r="H391" s="15">
        <v>102.0</v>
      </c>
      <c r="I391" s="15">
        <v>110.0</v>
      </c>
      <c r="J391" s="15">
        <v>98.0</v>
      </c>
      <c r="K391" s="15">
        <v>99.0</v>
      </c>
      <c r="L391" s="15">
        <v>83.0</v>
      </c>
      <c r="M391" s="16">
        <v>83.0</v>
      </c>
      <c r="N391" s="16">
        <v>87.0</v>
      </c>
    </row>
    <row r="392">
      <c r="A392" s="10">
        <v>670032.0</v>
      </c>
      <c r="B392" s="11" t="s">
        <v>542</v>
      </c>
      <c r="C392" s="12">
        <v>1592.0</v>
      </c>
      <c r="D392" s="10">
        <v>774.0</v>
      </c>
      <c r="E392" s="13">
        <v>328.0</v>
      </c>
      <c r="F392" s="14">
        <v>0.016756187</v>
      </c>
      <c r="G392" s="15">
        <v>97.0</v>
      </c>
      <c r="H392" s="15">
        <v>107.0</v>
      </c>
      <c r="I392" s="15">
        <v>114.0</v>
      </c>
      <c r="J392" s="15">
        <v>101.0</v>
      </c>
      <c r="K392" s="15">
        <v>106.0</v>
      </c>
      <c r="L392" s="15">
        <v>79.0</v>
      </c>
      <c r="M392" s="16">
        <v>82.0</v>
      </c>
      <c r="N392" s="16">
        <v>90.0</v>
      </c>
    </row>
    <row r="393">
      <c r="A393" s="10">
        <v>670764.0</v>
      </c>
      <c r="B393" s="11" t="s">
        <v>326</v>
      </c>
      <c r="C393" s="12">
        <v>973.0</v>
      </c>
      <c r="D393" s="10">
        <v>434.0</v>
      </c>
      <c r="E393" s="13">
        <v>145.0</v>
      </c>
      <c r="F393" s="14">
        <v>-0.031741348</v>
      </c>
      <c r="G393" s="15">
        <v>126.0</v>
      </c>
      <c r="H393" s="15">
        <v>121.0</v>
      </c>
      <c r="I393" s="15">
        <v>109.0</v>
      </c>
      <c r="J393" s="15">
        <v>117.0</v>
      </c>
      <c r="K393" s="15">
        <v>91.0</v>
      </c>
      <c r="L393" s="15">
        <v>72.0</v>
      </c>
      <c r="M393" s="16">
        <v>82.0</v>
      </c>
      <c r="N393" s="16">
        <v>79.0</v>
      </c>
    </row>
    <row r="394">
      <c r="A394" s="10">
        <v>664901.0</v>
      </c>
      <c r="B394" s="11" t="s">
        <v>543</v>
      </c>
      <c r="C394" s="12">
        <v>538.0</v>
      </c>
      <c r="D394" s="10">
        <v>258.0</v>
      </c>
      <c r="E394" s="13">
        <v>98.0</v>
      </c>
      <c r="F394" s="14">
        <v>-0.025721935</v>
      </c>
      <c r="G394" s="15">
        <v>100.0</v>
      </c>
      <c r="H394" s="15">
        <v>99.0</v>
      </c>
      <c r="I394" s="15">
        <v>89.0</v>
      </c>
      <c r="J394" s="15">
        <v>104.0</v>
      </c>
      <c r="K394" s="15">
        <v>95.0</v>
      </c>
      <c r="L394" s="15">
        <v>86.0</v>
      </c>
      <c r="M394" s="16">
        <v>82.0</v>
      </c>
      <c r="N394" s="16">
        <v>82.0</v>
      </c>
    </row>
    <row r="395">
      <c r="A395" s="10">
        <v>518792.0</v>
      </c>
      <c r="B395" s="11" t="s">
        <v>544</v>
      </c>
      <c r="C395" s="12">
        <v>944.0</v>
      </c>
      <c r="D395" s="10">
        <v>468.0</v>
      </c>
      <c r="E395" s="13">
        <v>165.0</v>
      </c>
      <c r="F395" s="14">
        <v>0.019712477</v>
      </c>
      <c r="G395" s="15">
        <v>95.0</v>
      </c>
      <c r="H395" s="15">
        <v>93.0</v>
      </c>
      <c r="I395" s="15">
        <v>112.0</v>
      </c>
      <c r="J395" s="15">
        <v>90.0</v>
      </c>
      <c r="K395" s="15">
        <v>103.0</v>
      </c>
      <c r="L395" s="15">
        <v>83.0</v>
      </c>
      <c r="M395" s="16">
        <v>82.0</v>
      </c>
      <c r="N395" s="16">
        <v>89.0</v>
      </c>
    </row>
    <row r="396">
      <c r="A396" s="10">
        <v>687597.0</v>
      </c>
      <c r="B396" s="11" t="s">
        <v>160</v>
      </c>
      <c r="C396" s="12">
        <v>635.0</v>
      </c>
      <c r="D396" s="10">
        <v>340.0</v>
      </c>
      <c r="E396" s="13">
        <v>101.0</v>
      </c>
      <c r="F396" s="14">
        <v>0.04544548</v>
      </c>
      <c r="G396" s="15">
        <v>104.0</v>
      </c>
      <c r="H396" s="15">
        <v>91.0</v>
      </c>
      <c r="I396" s="15">
        <v>106.0</v>
      </c>
      <c r="J396" s="15">
        <v>89.0</v>
      </c>
      <c r="K396" s="15">
        <v>68.0</v>
      </c>
      <c r="L396" s="15">
        <v>107.0</v>
      </c>
      <c r="M396" s="16">
        <v>82.0</v>
      </c>
      <c r="N396" s="16">
        <v>69.0</v>
      </c>
    </row>
    <row r="397">
      <c r="A397" s="10">
        <v>660644.0</v>
      </c>
      <c r="B397" s="11" t="s">
        <v>545</v>
      </c>
      <c r="C397" s="12">
        <v>1045.0</v>
      </c>
      <c r="D397" s="10">
        <v>541.0</v>
      </c>
      <c r="E397" s="13">
        <v>192.0</v>
      </c>
      <c r="F397" s="14">
        <v>0.036952906</v>
      </c>
      <c r="G397" s="15">
        <v>122.0</v>
      </c>
      <c r="H397" s="15">
        <v>102.0</v>
      </c>
      <c r="I397" s="15">
        <v>106.0</v>
      </c>
      <c r="J397" s="15">
        <v>99.0</v>
      </c>
      <c r="K397" s="15">
        <v>102.0</v>
      </c>
      <c r="L397" s="15">
        <v>80.0</v>
      </c>
      <c r="M397" s="16">
        <v>82.0</v>
      </c>
      <c r="N397" s="16">
        <v>91.0</v>
      </c>
    </row>
    <row r="398">
      <c r="A398" s="10">
        <v>694388.0</v>
      </c>
      <c r="B398" s="11" t="s">
        <v>546</v>
      </c>
      <c r="C398" s="12">
        <v>931.0</v>
      </c>
      <c r="D398" s="10">
        <v>495.0</v>
      </c>
      <c r="E398" s="13">
        <v>141.0</v>
      </c>
      <c r="F398" s="14">
        <v>0.051176838</v>
      </c>
      <c r="G398" s="15">
        <v>103.0</v>
      </c>
      <c r="H398" s="15">
        <v>84.0</v>
      </c>
      <c r="I398" s="15">
        <v>94.0</v>
      </c>
      <c r="J398" s="15">
        <v>87.0</v>
      </c>
      <c r="K398" s="15">
        <v>78.0</v>
      </c>
      <c r="L398" s="15">
        <v>103.0</v>
      </c>
      <c r="M398" s="16">
        <v>82.0</v>
      </c>
      <c r="N398" s="16">
        <v>91.0</v>
      </c>
    </row>
    <row r="399">
      <c r="A399" s="10">
        <v>681460.0</v>
      </c>
      <c r="B399" s="11" t="s">
        <v>321</v>
      </c>
      <c r="C399" s="12">
        <v>422.0</v>
      </c>
      <c r="D399" s="10">
        <v>243.0</v>
      </c>
      <c r="E399" s="13">
        <v>83.0</v>
      </c>
      <c r="F399" s="14">
        <v>0.086583568</v>
      </c>
      <c r="G399" s="15">
        <v>107.0</v>
      </c>
      <c r="H399" s="15">
        <v>89.0</v>
      </c>
      <c r="I399" s="15">
        <v>111.0</v>
      </c>
      <c r="J399" s="15">
        <v>85.0</v>
      </c>
      <c r="K399" s="15">
        <v>90.0</v>
      </c>
      <c r="L399" s="15">
        <v>95.0</v>
      </c>
      <c r="M399" s="16">
        <v>82.0</v>
      </c>
      <c r="N399" s="16">
        <v>79.0</v>
      </c>
    </row>
    <row r="400">
      <c r="A400" s="10">
        <v>622761.0</v>
      </c>
      <c r="B400" s="11" t="s">
        <v>547</v>
      </c>
      <c r="C400" s="12">
        <v>808.0</v>
      </c>
      <c r="D400" s="10">
        <v>416.0</v>
      </c>
      <c r="E400" s="13">
        <v>147.0</v>
      </c>
      <c r="F400" s="14">
        <v>0.028138971</v>
      </c>
      <c r="G400" s="15">
        <v>89.0</v>
      </c>
      <c r="H400" s="15">
        <v>93.0</v>
      </c>
      <c r="I400" s="15">
        <v>110.0</v>
      </c>
      <c r="J400" s="15">
        <v>89.0</v>
      </c>
      <c r="K400" s="15">
        <v>103.0</v>
      </c>
      <c r="L400" s="15">
        <v>83.0</v>
      </c>
      <c r="M400" s="16">
        <v>82.0</v>
      </c>
      <c r="N400" s="16">
        <v>94.0</v>
      </c>
    </row>
    <row r="401">
      <c r="A401" s="10">
        <v>662139.0</v>
      </c>
      <c r="B401" s="11" t="s">
        <v>548</v>
      </c>
      <c r="C401" s="12">
        <v>2027.0</v>
      </c>
      <c r="D401" s="10">
        <v>966.0</v>
      </c>
      <c r="E401" s="13">
        <v>320.0</v>
      </c>
      <c r="F401" s="14">
        <v>0.005499644</v>
      </c>
      <c r="G401" s="15">
        <v>109.0</v>
      </c>
      <c r="H401" s="15">
        <v>103.0</v>
      </c>
      <c r="I401" s="15">
        <v>106.0</v>
      </c>
      <c r="J401" s="15">
        <v>100.0</v>
      </c>
      <c r="K401" s="15">
        <v>86.0</v>
      </c>
      <c r="L401" s="15">
        <v>86.0</v>
      </c>
      <c r="M401" s="16">
        <v>82.0</v>
      </c>
      <c r="N401" s="16">
        <v>100.0</v>
      </c>
    </row>
    <row r="402">
      <c r="A402" s="10">
        <v>642731.0</v>
      </c>
      <c r="B402" s="11" t="s">
        <v>350</v>
      </c>
      <c r="C402" s="12">
        <v>1297.0</v>
      </c>
      <c r="D402" s="10">
        <v>664.0</v>
      </c>
      <c r="E402" s="13">
        <v>285.0</v>
      </c>
      <c r="F402" s="14">
        <v>0.037359692</v>
      </c>
      <c r="G402" s="15">
        <v>81.0</v>
      </c>
      <c r="H402" s="15">
        <v>80.0</v>
      </c>
      <c r="I402" s="15">
        <v>101.0</v>
      </c>
      <c r="J402" s="15">
        <v>81.0</v>
      </c>
      <c r="K402" s="15">
        <v>115.0</v>
      </c>
      <c r="L402" s="15">
        <v>86.0</v>
      </c>
      <c r="M402" s="16">
        <v>81.0</v>
      </c>
      <c r="N402" s="16">
        <v>80.0</v>
      </c>
    </row>
    <row r="403">
      <c r="A403" s="10">
        <v>678882.0</v>
      </c>
      <c r="B403" s="11" t="s">
        <v>129</v>
      </c>
      <c r="C403" s="12">
        <v>1961.0</v>
      </c>
      <c r="D403" s="10">
        <v>1212.0</v>
      </c>
      <c r="E403" s="13">
        <v>379.0</v>
      </c>
      <c r="F403" s="14">
        <v>0.132679667</v>
      </c>
      <c r="G403" s="15">
        <v>79.0</v>
      </c>
      <c r="H403" s="15">
        <v>64.0</v>
      </c>
      <c r="I403" s="15">
        <v>119.0</v>
      </c>
      <c r="J403" s="15">
        <v>61.0</v>
      </c>
      <c r="K403" s="15">
        <v>96.0</v>
      </c>
      <c r="L403" s="15">
        <v>101.0</v>
      </c>
      <c r="M403" s="16">
        <v>81.0</v>
      </c>
      <c r="N403" s="16">
        <v>94.0</v>
      </c>
    </row>
    <row r="404">
      <c r="A404" s="10">
        <v>643289.0</v>
      </c>
      <c r="B404" s="11" t="s">
        <v>361</v>
      </c>
      <c r="C404" s="12">
        <v>1376.0</v>
      </c>
      <c r="D404" s="10">
        <v>835.0</v>
      </c>
      <c r="E404" s="13">
        <v>340.0</v>
      </c>
      <c r="F404" s="14">
        <v>0.129891205</v>
      </c>
      <c r="G404" s="15">
        <v>94.0</v>
      </c>
      <c r="H404" s="15">
        <v>85.0</v>
      </c>
      <c r="I404" s="15">
        <v>128.0</v>
      </c>
      <c r="J404" s="15">
        <v>75.0</v>
      </c>
      <c r="K404" s="15">
        <v>114.0</v>
      </c>
      <c r="L404" s="15">
        <v>85.0</v>
      </c>
      <c r="M404" s="16">
        <v>81.0</v>
      </c>
      <c r="N404" s="16">
        <v>89.0</v>
      </c>
    </row>
    <row r="405">
      <c r="A405" s="10">
        <v>596117.0</v>
      </c>
      <c r="B405" s="11" t="s">
        <v>549</v>
      </c>
      <c r="C405" s="12">
        <v>700.0</v>
      </c>
      <c r="D405" s="10">
        <v>348.0</v>
      </c>
      <c r="E405" s="13">
        <v>106.0</v>
      </c>
      <c r="F405" s="14">
        <v>0.019342904</v>
      </c>
      <c r="G405" s="15">
        <v>86.0</v>
      </c>
      <c r="H405" s="15">
        <v>97.0</v>
      </c>
      <c r="I405" s="15">
        <v>112.0</v>
      </c>
      <c r="J405" s="15">
        <v>93.0</v>
      </c>
      <c r="K405" s="15">
        <v>92.0</v>
      </c>
      <c r="L405" s="15">
        <v>84.0</v>
      </c>
      <c r="M405" s="16">
        <v>81.0</v>
      </c>
      <c r="N405" s="16">
        <v>87.0</v>
      </c>
    </row>
    <row r="406">
      <c r="A406" s="10">
        <v>663368.0</v>
      </c>
      <c r="B406" s="11" t="s">
        <v>550</v>
      </c>
      <c r="C406" s="12">
        <v>1614.0</v>
      </c>
      <c r="D406" s="10">
        <v>688.0</v>
      </c>
      <c r="E406" s="13">
        <v>259.0</v>
      </c>
      <c r="F406" s="14">
        <v>-0.05170664</v>
      </c>
      <c r="G406" s="15">
        <v>88.0</v>
      </c>
      <c r="H406" s="15">
        <v>104.0</v>
      </c>
      <c r="I406" s="15">
        <v>91.0</v>
      </c>
      <c r="J406" s="15">
        <v>107.0</v>
      </c>
      <c r="K406" s="15">
        <v>94.0</v>
      </c>
      <c r="L406" s="15">
        <v>80.0</v>
      </c>
      <c r="M406" s="16">
        <v>81.0</v>
      </c>
      <c r="N406" s="16">
        <v>94.0</v>
      </c>
    </row>
    <row r="407">
      <c r="A407" s="10">
        <v>672356.0</v>
      </c>
      <c r="B407" s="11" t="s">
        <v>287</v>
      </c>
      <c r="C407" s="12">
        <v>557.0</v>
      </c>
      <c r="D407" s="10">
        <v>338.0</v>
      </c>
      <c r="E407" s="13">
        <v>98.0</v>
      </c>
      <c r="F407" s="14">
        <v>0.096638646</v>
      </c>
      <c r="G407" s="15">
        <v>98.0</v>
      </c>
      <c r="H407" s="15">
        <v>90.0</v>
      </c>
      <c r="I407" s="15">
        <v>115.0</v>
      </c>
      <c r="J407" s="15">
        <v>84.0</v>
      </c>
      <c r="K407" s="15">
        <v>74.0</v>
      </c>
      <c r="L407" s="15">
        <v>104.0</v>
      </c>
      <c r="M407" s="16">
        <v>81.0</v>
      </c>
      <c r="N407" s="16">
        <v>83.0</v>
      </c>
    </row>
    <row r="408">
      <c r="A408" s="10">
        <v>666181.0</v>
      </c>
      <c r="B408" s="11" t="s">
        <v>67</v>
      </c>
      <c r="C408" s="12">
        <v>1590.0</v>
      </c>
      <c r="D408" s="10">
        <v>756.0</v>
      </c>
      <c r="E408" s="13">
        <v>183.0</v>
      </c>
      <c r="F408" s="14">
        <v>-0.029816288</v>
      </c>
      <c r="G408" s="15">
        <v>123.0</v>
      </c>
      <c r="H408" s="15">
        <v>110.0</v>
      </c>
      <c r="I408" s="15">
        <v>89.0</v>
      </c>
      <c r="J408" s="15">
        <v>114.0</v>
      </c>
      <c r="K408" s="15">
        <v>56.0</v>
      </c>
      <c r="L408" s="15">
        <v>99.0</v>
      </c>
      <c r="M408" s="16">
        <v>81.0</v>
      </c>
      <c r="N408" s="16">
        <v>92.0</v>
      </c>
    </row>
    <row r="409">
      <c r="A409" s="10">
        <v>605113.0</v>
      </c>
      <c r="B409" s="11" t="s">
        <v>551</v>
      </c>
      <c r="C409" s="12">
        <v>821.0</v>
      </c>
      <c r="D409" s="10">
        <v>448.0</v>
      </c>
      <c r="E409" s="13">
        <v>160.0</v>
      </c>
      <c r="F409" s="14">
        <v>0.027152341</v>
      </c>
      <c r="G409" s="15">
        <v>89.0</v>
      </c>
      <c r="H409" s="15">
        <v>84.0</v>
      </c>
      <c r="I409" s="15">
        <v>98.0</v>
      </c>
      <c r="J409" s="15">
        <v>85.0</v>
      </c>
      <c r="K409" s="15">
        <v>107.0</v>
      </c>
      <c r="L409" s="15">
        <v>85.0</v>
      </c>
      <c r="M409" s="16">
        <v>80.0</v>
      </c>
      <c r="N409" s="16">
        <v>79.0</v>
      </c>
    </row>
    <row r="410">
      <c r="A410" s="10">
        <v>571912.0</v>
      </c>
      <c r="B410" s="11" t="s">
        <v>552</v>
      </c>
      <c r="C410" s="10">
        <v>622.0</v>
      </c>
      <c r="D410" s="10">
        <v>282.0</v>
      </c>
      <c r="E410" s="10">
        <v>82.0</v>
      </c>
      <c r="F410" s="14">
        <v>-0.043987562</v>
      </c>
      <c r="G410" s="15">
        <v>110.0</v>
      </c>
      <c r="H410" s="15">
        <v>110.0</v>
      </c>
      <c r="I410" s="15">
        <v>82.0</v>
      </c>
      <c r="J410" s="15">
        <v>114.0</v>
      </c>
      <c r="K410" s="15">
        <v>74.0</v>
      </c>
      <c r="L410" s="15">
        <v>85.0</v>
      </c>
      <c r="M410" s="16">
        <v>80.0</v>
      </c>
      <c r="N410" s="16">
        <v>81.0</v>
      </c>
    </row>
    <row r="411">
      <c r="A411" s="10">
        <v>682622.0</v>
      </c>
      <c r="B411" s="11" t="s">
        <v>553</v>
      </c>
      <c r="C411" s="10">
        <v>841.0</v>
      </c>
      <c r="D411" s="10">
        <v>450.0</v>
      </c>
      <c r="E411" s="10">
        <v>141.0</v>
      </c>
      <c r="F411" s="14">
        <v>0.051447019</v>
      </c>
      <c r="G411" s="15">
        <v>88.0</v>
      </c>
      <c r="H411" s="15">
        <v>76.0</v>
      </c>
      <c r="I411" s="15">
        <v>98.0</v>
      </c>
      <c r="J411" s="15">
        <v>79.0</v>
      </c>
      <c r="K411" s="15">
        <v>94.0</v>
      </c>
      <c r="L411" s="15">
        <v>95.0</v>
      </c>
      <c r="M411" s="16">
        <v>80.0</v>
      </c>
      <c r="N411" s="16">
        <v>77.0</v>
      </c>
    </row>
    <row r="412">
      <c r="A412" s="10">
        <v>666150.0</v>
      </c>
      <c r="B412" s="11" t="s">
        <v>554</v>
      </c>
      <c r="C412" s="10">
        <v>806.0</v>
      </c>
      <c r="D412" s="10">
        <v>383.0</v>
      </c>
      <c r="E412" s="10">
        <v>149.0</v>
      </c>
      <c r="F412" s="14">
        <v>0.015414054</v>
      </c>
      <c r="G412" s="15">
        <v>71.0</v>
      </c>
      <c r="H412" s="15">
        <v>77.0</v>
      </c>
      <c r="I412" s="15">
        <v>84.0</v>
      </c>
      <c r="J412" s="15">
        <v>84.0</v>
      </c>
      <c r="K412" s="15">
        <v>106.0</v>
      </c>
      <c r="L412" s="15">
        <v>88.0</v>
      </c>
      <c r="M412" s="16">
        <v>80.0</v>
      </c>
      <c r="N412" s="16">
        <v>70.0</v>
      </c>
    </row>
    <row r="413">
      <c r="A413" s="10">
        <v>702358.0</v>
      </c>
      <c r="B413" s="11" t="s">
        <v>555</v>
      </c>
      <c r="C413" s="10">
        <v>744.0</v>
      </c>
      <c r="D413" s="10">
        <v>373.0</v>
      </c>
      <c r="E413" s="10">
        <v>147.0</v>
      </c>
      <c r="F413" s="14">
        <v>0.03847611</v>
      </c>
      <c r="G413" s="15">
        <v>95.0</v>
      </c>
      <c r="H413" s="15">
        <v>95.0</v>
      </c>
      <c r="I413" s="15">
        <v>114.0</v>
      </c>
      <c r="J413" s="15">
        <v>90.0</v>
      </c>
      <c r="K413" s="15">
        <v>110.0</v>
      </c>
      <c r="L413" s="15">
        <v>79.0</v>
      </c>
      <c r="M413" s="16">
        <v>80.0</v>
      </c>
      <c r="N413" s="16">
        <v>69.0</v>
      </c>
    </row>
    <row r="414">
      <c r="A414" s="10">
        <v>677587.0</v>
      </c>
      <c r="B414" s="11" t="s">
        <v>328</v>
      </c>
      <c r="C414" s="10">
        <v>1601.0</v>
      </c>
      <c r="D414" s="10">
        <v>771.0</v>
      </c>
      <c r="E414" s="10">
        <v>291.0</v>
      </c>
      <c r="F414" s="14">
        <v>0.020307072</v>
      </c>
      <c r="G414" s="15">
        <v>99.0</v>
      </c>
      <c r="H414" s="15">
        <v>96.0</v>
      </c>
      <c r="I414" s="15">
        <v>99.0</v>
      </c>
      <c r="J414" s="15">
        <v>96.0</v>
      </c>
      <c r="K414" s="15">
        <v>96.0</v>
      </c>
      <c r="L414" s="15">
        <v>84.0</v>
      </c>
      <c r="M414" s="16">
        <v>79.0</v>
      </c>
      <c r="N414" s="16">
        <v>84.0</v>
      </c>
    </row>
    <row r="415">
      <c r="A415" s="10">
        <v>680118.0</v>
      </c>
      <c r="B415" s="11" t="s">
        <v>556</v>
      </c>
      <c r="C415" s="10">
        <v>447.0</v>
      </c>
      <c r="D415" s="10">
        <v>234.0</v>
      </c>
      <c r="E415" s="10">
        <v>87.0</v>
      </c>
      <c r="F415" s="14">
        <v>0.044762003</v>
      </c>
      <c r="G415" s="15">
        <v>116.0</v>
      </c>
      <c r="H415" s="15">
        <v>94.0</v>
      </c>
      <c r="I415" s="15">
        <v>92.0</v>
      </c>
      <c r="J415" s="15">
        <v>97.0</v>
      </c>
      <c r="K415" s="15">
        <v>91.0</v>
      </c>
      <c r="L415" s="15">
        <v>88.0</v>
      </c>
      <c r="M415" s="16">
        <v>79.0</v>
      </c>
      <c r="N415" s="16">
        <v>99.0</v>
      </c>
    </row>
    <row r="416">
      <c r="A416" s="10">
        <v>660707.0</v>
      </c>
      <c r="B416" s="11" t="s">
        <v>557</v>
      </c>
      <c r="C416" s="10">
        <v>919.0</v>
      </c>
      <c r="D416" s="10">
        <v>497.0</v>
      </c>
      <c r="E416" s="10">
        <v>171.0</v>
      </c>
      <c r="F416" s="14">
        <v>0.078418299</v>
      </c>
      <c r="G416" s="15">
        <v>86.0</v>
      </c>
      <c r="H416" s="15">
        <v>80.0</v>
      </c>
      <c r="I416" s="15">
        <v>103.0</v>
      </c>
      <c r="J416" s="15">
        <v>81.0</v>
      </c>
      <c r="K416" s="15">
        <v>106.0</v>
      </c>
      <c r="L416" s="15">
        <v>85.0</v>
      </c>
      <c r="M416" s="16">
        <v>79.0</v>
      </c>
      <c r="N416" s="16">
        <v>74.0</v>
      </c>
    </row>
    <row r="417">
      <c r="A417" s="10">
        <v>595879.0</v>
      </c>
      <c r="B417" s="11" t="s">
        <v>311</v>
      </c>
      <c r="C417" s="10">
        <v>1006.0</v>
      </c>
      <c r="D417" s="10">
        <v>526.0</v>
      </c>
      <c r="E417" s="10">
        <v>201.0</v>
      </c>
      <c r="F417" s="14">
        <v>0.065224693</v>
      </c>
      <c r="G417" s="15">
        <v>61.0</v>
      </c>
      <c r="H417" s="15">
        <v>44.0</v>
      </c>
      <c r="I417" s="15">
        <v>71.0</v>
      </c>
      <c r="J417" s="15">
        <v>60.0</v>
      </c>
      <c r="K417" s="15">
        <v>119.0</v>
      </c>
      <c r="L417" s="15">
        <v>95.0</v>
      </c>
      <c r="M417" s="16">
        <v>79.0</v>
      </c>
      <c r="N417" s="16">
        <v>64.0</v>
      </c>
    </row>
    <row r="418">
      <c r="A418" s="10">
        <v>666185.0</v>
      </c>
      <c r="B418" s="11" t="s">
        <v>272</v>
      </c>
      <c r="C418" s="10">
        <v>1056.0</v>
      </c>
      <c r="D418" s="10">
        <v>509.0</v>
      </c>
      <c r="E418" s="10">
        <v>156.0</v>
      </c>
      <c r="F418" s="14">
        <v>-0.011764202</v>
      </c>
      <c r="G418" s="15">
        <v>115.0</v>
      </c>
      <c r="H418" s="15">
        <v>105.0</v>
      </c>
      <c r="I418" s="15">
        <v>102.0</v>
      </c>
      <c r="J418" s="15">
        <v>104.0</v>
      </c>
      <c r="K418" s="15">
        <v>90.0</v>
      </c>
      <c r="L418" s="15">
        <v>77.0</v>
      </c>
      <c r="M418" s="16">
        <v>78.0</v>
      </c>
      <c r="N418" s="16">
        <v>84.0</v>
      </c>
    </row>
    <row r="419">
      <c r="A419" s="10">
        <v>664314.0</v>
      </c>
      <c r="B419" s="11" t="s">
        <v>558</v>
      </c>
      <c r="C419" s="10">
        <v>431.0</v>
      </c>
      <c r="D419" s="10">
        <v>221.0</v>
      </c>
      <c r="E419" s="10">
        <v>57.0</v>
      </c>
      <c r="F419" s="14">
        <v>0.02329575</v>
      </c>
      <c r="G419" s="15">
        <v>127.0</v>
      </c>
      <c r="H419" s="15">
        <v>118.0</v>
      </c>
      <c r="I419" s="15">
        <v>120.0</v>
      </c>
      <c r="J419" s="15">
        <v>109.0</v>
      </c>
      <c r="K419" s="15">
        <v>67.0</v>
      </c>
      <c r="L419" s="15">
        <v>84.0</v>
      </c>
      <c r="M419" s="16">
        <v>77.0</v>
      </c>
      <c r="N419" s="16">
        <v>86.0</v>
      </c>
    </row>
    <row r="420">
      <c r="A420" s="10">
        <v>623912.0</v>
      </c>
      <c r="B420" s="11" t="s">
        <v>559</v>
      </c>
      <c r="C420" s="10">
        <v>871.0</v>
      </c>
      <c r="D420" s="10">
        <v>488.0</v>
      </c>
      <c r="E420" s="10">
        <v>189.0</v>
      </c>
      <c r="F420" s="14">
        <v>0.10408189</v>
      </c>
      <c r="G420" s="15">
        <v>58.0</v>
      </c>
      <c r="H420" s="15">
        <v>64.0</v>
      </c>
      <c r="I420" s="15">
        <v>118.0</v>
      </c>
      <c r="J420" s="15">
        <v>62.0</v>
      </c>
      <c r="K420" s="15">
        <v>115.0</v>
      </c>
      <c r="L420" s="15">
        <v>88.0</v>
      </c>
      <c r="M420" s="16">
        <v>77.0</v>
      </c>
      <c r="N420" s="16">
        <v>87.0</v>
      </c>
    </row>
    <row r="421">
      <c r="A421" s="10">
        <v>665506.0</v>
      </c>
      <c r="B421" s="11" t="s">
        <v>560</v>
      </c>
      <c r="C421" s="10">
        <v>740.0</v>
      </c>
      <c r="D421" s="10">
        <v>359.0</v>
      </c>
      <c r="E421" s="10">
        <v>97.0</v>
      </c>
      <c r="F421" s="14">
        <v>-0.019588293</v>
      </c>
      <c r="G421" s="15">
        <v>122.0</v>
      </c>
      <c r="H421" s="15">
        <v>116.0</v>
      </c>
      <c r="I421" s="15">
        <v>97.0</v>
      </c>
      <c r="J421" s="15">
        <v>116.0</v>
      </c>
      <c r="K421" s="15">
        <v>65.0</v>
      </c>
      <c r="L421" s="15">
        <v>84.0</v>
      </c>
      <c r="M421" s="16">
        <v>77.0</v>
      </c>
      <c r="N421" s="16">
        <v>79.0</v>
      </c>
    </row>
    <row r="422">
      <c r="A422" s="10">
        <v>663743.0</v>
      </c>
      <c r="B422" s="11" t="s">
        <v>296</v>
      </c>
      <c r="C422" s="10">
        <v>1081.0</v>
      </c>
      <c r="D422" s="10">
        <v>527.0</v>
      </c>
      <c r="E422" s="10">
        <v>260.0</v>
      </c>
      <c r="F422" s="14">
        <v>-0.002151101</v>
      </c>
      <c r="G422" s="15">
        <v>94.0</v>
      </c>
      <c r="H422" s="15">
        <v>95.0</v>
      </c>
      <c r="I422" s="15">
        <v>99.0</v>
      </c>
      <c r="J422" s="15">
        <v>95.0</v>
      </c>
      <c r="K422" s="15">
        <v>124.0</v>
      </c>
      <c r="L422" s="15">
        <v>75.0</v>
      </c>
      <c r="M422" s="16">
        <v>77.0</v>
      </c>
      <c r="N422" s="16">
        <v>79.0</v>
      </c>
    </row>
    <row r="423">
      <c r="A423" s="10">
        <v>641658.0</v>
      </c>
      <c r="B423" s="11" t="s">
        <v>561</v>
      </c>
      <c r="C423" s="10">
        <v>822.0</v>
      </c>
      <c r="D423" s="10">
        <v>394.0</v>
      </c>
      <c r="E423" s="10">
        <v>149.0</v>
      </c>
      <c r="F423" s="14">
        <v>-0.030660966</v>
      </c>
      <c r="G423" s="15">
        <v>99.0</v>
      </c>
      <c r="H423" s="15">
        <v>105.0</v>
      </c>
      <c r="I423" s="15">
        <v>96.0</v>
      </c>
      <c r="J423" s="15">
        <v>106.0</v>
      </c>
      <c r="K423" s="15">
        <v>98.0</v>
      </c>
      <c r="L423" s="15">
        <v>76.0</v>
      </c>
      <c r="M423" s="16">
        <v>76.0</v>
      </c>
      <c r="N423" s="16">
        <v>83.0</v>
      </c>
    </row>
    <row r="424">
      <c r="A424" s="10">
        <v>677649.0</v>
      </c>
      <c r="B424" s="11" t="s">
        <v>562</v>
      </c>
      <c r="C424" s="10">
        <v>943.0</v>
      </c>
      <c r="D424" s="10">
        <v>534.0</v>
      </c>
      <c r="E424" s="10">
        <v>191.0</v>
      </c>
      <c r="F424" s="14">
        <v>0.079211047</v>
      </c>
      <c r="G424" s="15">
        <v>88.0</v>
      </c>
      <c r="H424" s="15">
        <v>78.0</v>
      </c>
      <c r="I424" s="15">
        <v>102.0</v>
      </c>
      <c r="J424" s="15">
        <v>79.0</v>
      </c>
      <c r="K424" s="15">
        <v>105.0</v>
      </c>
      <c r="L424" s="15">
        <v>86.0</v>
      </c>
      <c r="M424" s="16">
        <v>76.0</v>
      </c>
      <c r="N424" s="16">
        <v>91.0</v>
      </c>
    </row>
    <row r="425">
      <c r="A425" s="10">
        <v>686676.0</v>
      </c>
      <c r="B425" s="11" t="s">
        <v>563</v>
      </c>
      <c r="C425" s="10">
        <v>1369.0</v>
      </c>
      <c r="D425" s="10">
        <v>812.0</v>
      </c>
      <c r="E425" s="10">
        <v>239.0</v>
      </c>
      <c r="F425" s="14">
        <v>0.073578329</v>
      </c>
      <c r="G425" s="15">
        <v>113.0</v>
      </c>
      <c r="H425" s="15">
        <v>100.0</v>
      </c>
      <c r="I425" s="15">
        <v>120.0</v>
      </c>
      <c r="J425" s="15">
        <v>92.0</v>
      </c>
      <c r="K425" s="15">
        <v>76.0</v>
      </c>
      <c r="L425" s="15">
        <v>92.0</v>
      </c>
      <c r="M425" s="16">
        <v>76.0</v>
      </c>
      <c r="N425" s="16">
        <v>80.0</v>
      </c>
    </row>
    <row r="426">
      <c r="A426" s="10">
        <v>592696.0</v>
      </c>
      <c r="B426" s="11" t="s">
        <v>564</v>
      </c>
      <c r="C426" s="10">
        <v>1180.0</v>
      </c>
      <c r="D426" s="10">
        <v>624.0</v>
      </c>
      <c r="E426" s="10">
        <v>224.0</v>
      </c>
      <c r="F426" s="14">
        <v>0.059797501</v>
      </c>
      <c r="G426" s="15">
        <v>88.0</v>
      </c>
      <c r="H426" s="15">
        <v>77.0</v>
      </c>
      <c r="I426" s="15">
        <v>108.0</v>
      </c>
      <c r="J426" s="15">
        <v>76.0</v>
      </c>
      <c r="K426" s="15">
        <v>99.0</v>
      </c>
      <c r="L426" s="15">
        <v>87.0</v>
      </c>
      <c r="M426" s="16">
        <v>75.0</v>
      </c>
      <c r="N426" s="16">
        <v>67.0</v>
      </c>
    </row>
    <row r="427">
      <c r="A427" s="10">
        <v>691718.0</v>
      </c>
      <c r="B427" s="11" t="s">
        <v>153</v>
      </c>
      <c r="C427" s="10">
        <v>1314.0</v>
      </c>
      <c r="D427" s="10">
        <v>796.0</v>
      </c>
      <c r="E427" s="10">
        <v>259.0</v>
      </c>
      <c r="F427" s="14">
        <v>0.128354698</v>
      </c>
      <c r="G427" s="15">
        <v>93.0</v>
      </c>
      <c r="H427" s="15">
        <v>69.0</v>
      </c>
      <c r="I427" s="15">
        <v>110.0</v>
      </c>
      <c r="J427" s="15">
        <v>67.0</v>
      </c>
      <c r="K427" s="15">
        <v>91.0</v>
      </c>
      <c r="L427" s="15">
        <v>96.0</v>
      </c>
      <c r="M427" s="16">
        <v>74.0</v>
      </c>
      <c r="N427" s="16">
        <v>91.0</v>
      </c>
    </row>
    <row r="428">
      <c r="A428" s="10">
        <v>689172.0</v>
      </c>
      <c r="B428" s="11" t="s">
        <v>565</v>
      </c>
      <c r="C428" s="10">
        <v>918.0</v>
      </c>
      <c r="D428" s="10">
        <v>457.0</v>
      </c>
      <c r="E428" s="10">
        <v>174.0</v>
      </c>
      <c r="F428" s="14">
        <v>0.016353165</v>
      </c>
      <c r="G428" s="15">
        <v>89.0</v>
      </c>
      <c r="H428" s="15">
        <v>84.0</v>
      </c>
      <c r="I428" s="15">
        <v>87.0</v>
      </c>
      <c r="J428" s="15">
        <v>89.0</v>
      </c>
      <c r="K428" s="15">
        <v>106.0</v>
      </c>
      <c r="L428" s="15">
        <v>80.0</v>
      </c>
      <c r="M428" s="15">
        <v>74.0</v>
      </c>
      <c r="N428" s="16">
        <v>83.0</v>
      </c>
    </row>
    <row r="429">
      <c r="A429" s="10">
        <v>624503.0</v>
      </c>
      <c r="B429" s="11" t="s">
        <v>566</v>
      </c>
      <c r="C429" s="10">
        <v>998.0</v>
      </c>
      <c r="D429" s="10">
        <v>600.0</v>
      </c>
      <c r="E429" s="10">
        <v>194.0</v>
      </c>
      <c r="F429" s="14">
        <v>0.135669403</v>
      </c>
      <c r="G429" s="15">
        <v>94.0</v>
      </c>
      <c r="H429" s="15">
        <v>72.0</v>
      </c>
      <c r="I429" s="15">
        <v>119.0</v>
      </c>
      <c r="J429" s="15">
        <v>67.0</v>
      </c>
      <c r="K429" s="15">
        <v>98.0</v>
      </c>
      <c r="L429" s="15">
        <v>90.0</v>
      </c>
      <c r="M429" s="15">
        <v>74.0</v>
      </c>
      <c r="N429" s="16">
        <v>83.0</v>
      </c>
    </row>
    <row r="430">
      <c r="A430" s="10">
        <v>677942.0</v>
      </c>
      <c r="B430" s="11" t="s">
        <v>567</v>
      </c>
      <c r="C430" s="10">
        <v>695.0</v>
      </c>
      <c r="D430" s="10">
        <v>360.0</v>
      </c>
      <c r="E430" s="10">
        <v>116.0</v>
      </c>
      <c r="F430" s="14">
        <v>0.039880431</v>
      </c>
      <c r="G430" s="15">
        <v>117.0</v>
      </c>
      <c r="H430" s="15">
        <v>102.0</v>
      </c>
      <c r="I430" s="15">
        <v>106.0</v>
      </c>
      <c r="J430" s="15">
        <v>99.0</v>
      </c>
      <c r="K430" s="15">
        <v>86.0</v>
      </c>
      <c r="L430" s="15">
        <v>80.0</v>
      </c>
      <c r="M430" s="15">
        <v>74.0</v>
      </c>
      <c r="N430" s="16">
        <v>96.0</v>
      </c>
    </row>
    <row r="431">
      <c r="A431" s="10">
        <v>641313.0</v>
      </c>
      <c r="B431" s="11" t="s">
        <v>568</v>
      </c>
      <c r="C431" s="10">
        <v>932.0</v>
      </c>
      <c r="D431" s="10">
        <v>507.0</v>
      </c>
      <c r="E431" s="10">
        <v>164.0</v>
      </c>
      <c r="F431" s="14">
        <v>0.03783808</v>
      </c>
      <c r="G431" s="15">
        <v>86.0</v>
      </c>
      <c r="H431" s="15">
        <v>85.0</v>
      </c>
      <c r="I431" s="15">
        <v>114.0</v>
      </c>
      <c r="J431" s="15">
        <v>81.0</v>
      </c>
      <c r="K431" s="15">
        <v>89.0</v>
      </c>
      <c r="L431" s="15">
        <v>87.0</v>
      </c>
      <c r="M431" s="15">
        <v>74.0</v>
      </c>
      <c r="N431" s="16">
        <v>70.0</v>
      </c>
    </row>
    <row r="432">
      <c r="A432" s="10">
        <v>680779.0</v>
      </c>
      <c r="B432" s="11" t="s">
        <v>235</v>
      </c>
      <c r="C432" s="10">
        <v>517.0</v>
      </c>
      <c r="D432" s="10">
        <v>241.0</v>
      </c>
      <c r="E432" s="10">
        <v>62.0</v>
      </c>
      <c r="F432" s="14">
        <v>-0.022165473</v>
      </c>
      <c r="G432" s="15">
        <v>119.0</v>
      </c>
      <c r="H432" s="15">
        <v>112.0</v>
      </c>
      <c r="I432" s="15">
        <v>84.0</v>
      </c>
      <c r="J432" s="15">
        <v>116.0</v>
      </c>
      <c r="K432" s="15">
        <v>63.0</v>
      </c>
      <c r="L432" s="15">
        <v>81.0</v>
      </c>
      <c r="M432" s="15">
        <v>74.0</v>
      </c>
      <c r="N432" s="16">
        <v>73.0</v>
      </c>
    </row>
    <row r="433">
      <c r="A433" s="10">
        <v>455117.0</v>
      </c>
      <c r="B433" s="11" t="s">
        <v>358</v>
      </c>
      <c r="C433" s="10">
        <v>553.0</v>
      </c>
      <c r="D433" s="10">
        <v>273.0</v>
      </c>
      <c r="E433" s="10">
        <v>86.0</v>
      </c>
      <c r="F433" s="14">
        <v>-0.012387427</v>
      </c>
      <c r="G433" s="15">
        <v>88.0</v>
      </c>
      <c r="H433" s="15">
        <v>96.0</v>
      </c>
      <c r="I433" s="15">
        <v>73.0</v>
      </c>
      <c r="J433" s="15">
        <v>107.0</v>
      </c>
      <c r="K433" s="15">
        <v>80.0</v>
      </c>
      <c r="L433" s="15">
        <v>85.0</v>
      </c>
      <c r="M433" s="15">
        <v>73.0</v>
      </c>
      <c r="N433" s="16">
        <v>59.0</v>
      </c>
    </row>
    <row r="434">
      <c r="A434" s="10">
        <v>608671.0</v>
      </c>
      <c r="B434" s="11" t="s">
        <v>569</v>
      </c>
      <c r="C434" s="10">
        <v>748.0</v>
      </c>
      <c r="D434" s="10">
        <v>336.0</v>
      </c>
      <c r="E434" s="10">
        <v>133.0</v>
      </c>
      <c r="F434" s="14">
        <v>-0.066439441</v>
      </c>
      <c r="G434" s="15">
        <v>105.0</v>
      </c>
      <c r="H434" s="15">
        <v>109.0</v>
      </c>
      <c r="I434" s="15">
        <v>91.0</v>
      </c>
      <c r="J434" s="15">
        <v>114.0</v>
      </c>
      <c r="K434" s="15">
        <v>105.0</v>
      </c>
      <c r="L434" s="15">
        <v>66.0</v>
      </c>
      <c r="M434" s="15">
        <v>73.0</v>
      </c>
      <c r="N434" s="16">
        <v>81.0</v>
      </c>
    </row>
    <row r="435">
      <c r="A435" s="10">
        <v>672279.0</v>
      </c>
      <c r="B435" s="11" t="s">
        <v>570</v>
      </c>
      <c r="C435" s="10">
        <v>1186.0</v>
      </c>
      <c r="D435" s="10">
        <v>582.0</v>
      </c>
      <c r="E435" s="10">
        <v>206.0</v>
      </c>
      <c r="F435" s="14">
        <v>-0.004627046</v>
      </c>
      <c r="G435" s="15">
        <v>85.0</v>
      </c>
      <c r="H435" s="15">
        <v>89.0</v>
      </c>
      <c r="I435" s="15">
        <v>94.0</v>
      </c>
      <c r="J435" s="15">
        <v>91.0</v>
      </c>
      <c r="K435" s="15">
        <v>91.0</v>
      </c>
      <c r="L435" s="15">
        <v>83.0</v>
      </c>
      <c r="M435" s="15">
        <v>73.0</v>
      </c>
      <c r="N435" s="16">
        <v>82.0</v>
      </c>
    </row>
    <row r="436">
      <c r="A436" s="10">
        <v>542194.0</v>
      </c>
      <c r="B436" s="11" t="s">
        <v>571</v>
      </c>
      <c r="C436" s="10">
        <v>487.0</v>
      </c>
      <c r="D436" s="10">
        <v>294.0</v>
      </c>
      <c r="E436" s="10">
        <v>99.0</v>
      </c>
      <c r="F436" s="14">
        <v>0.134332657</v>
      </c>
      <c r="G436" s="15">
        <v>77.0</v>
      </c>
      <c r="H436" s="15">
        <v>64.0</v>
      </c>
      <c r="I436" s="15">
        <v>117.0</v>
      </c>
      <c r="J436" s="15">
        <v>63.0</v>
      </c>
      <c r="K436" s="15">
        <v>98.0</v>
      </c>
      <c r="L436" s="15">
        <v>93.0</v>
      </c>
      <c r="M436" s="15">
        <v>73.0</v>
      </c>
      <c r="N436" s="16">
        <v>79.0</v>
      </c>
    </row>
    <row r="437">
      <c r="A437" s="10">
        <v>679032.0</v>
      </c>
      <c r="B437" s="11" t="s">
        <v>381</v>
      </c>
      <c r="C437" s="10">
        <v>1263.0</v>
      </c>
      <c r="D437" s="10">
        <v>611.0</v>
      </c>
      <c r="E437" s="10">
        <v>263.0</v>
      </c>
      <c r="F437" s="14">
        <v>-0.011289995</v>
      </c>
      <c r="G437" s="15">
        <v>70.0</v>
      </c>
      <c r="H437" s="15">
        <v>79.0</v>
      </c>
      <c r="I437" s="15">
        <v>76.0</v>
      </c>
      <c r="J437" s="15">
        <v>88.0</v>
      </c>
      <c r="K437" s="15">
        <v>119.0</v>
      </c>
      <c r="L437" s="15">
        <v>76.0</v>
      </c>
      <c r="M437" s="15">
        <v>72.0</v>
      </c>
      <c r="N437" s="16">
        <v>85.0</v>
      </c>
    </row>
    <row r="438">
      <c r="A438" s="10">
        <v>656248.0</v>
      </c>
      <c r="B438" s="11" t="s">
        <v>572</v>
      </c>
      <c r="C438" s="10">
        <v>430.0</v>
      </c>
      <c r="D438" s="10">
        <v>187.0</v>
      </c>
      <c r="E438" s="10">
        <v>61.0</v>
      </c>
      <c r="F438" s="14">
        <v>-0.038267365</v>
      </c>
      <c r="G438" s="15">
        <v>108.0</v>
      </c>
      <c r="H438" s="15">
        <v>100.0</v>
      </c>
      <c r="I438" s="15">
        <v>83.0</v>
      </c>
      <c r="J438" s="15">
        <v>106.0</v>
      </c>
      <c r="K438" s="15">
        <v>77.0</v>
      </c>
      <c r="L438" s="15">
        <v>77.0</v>
      </c>
      <c r="M438" s="15">
        <v>70.0</v>
      </c>
      <c r="N438" s="16">
        <v>76.0</v>
      </c>
    </row>
    <row r="439">
      <c r="A439" s="10">
        <v>687363.0</v>
      </c>
      <c r="B439" s="11" t="s">
        <v>353</v>
      </c>
      <c r="C439" s="10">
        <v>551.0</v>
      </c>
      <c r="D439" s="10">
        <v>278.0</v>
      </c>
      <c r="E439" s="10">
        <v>99.0</v>
      </c>
      <c r="F439" s="14">
        <v>0.032683259</v>
      </c>
      <c r="G439" s="15">
        <v>106.0</v>
      </c>
      <c r="H439" s="15">
        <v>95.0</v>
      </c>
      <c r="I439" s="15">
        <v>89.0</v>
      </c>
      <c r="J439" s="15">
        <v>99.0</v>
      </c>
      <c r="K439" s="15">
        <v>91.0</v>
      </c>
      <c r="L439" s="15">
        <v>76.0</v>
      </c>
      <c r="M439" s="15">
        <v>68.0</v>
      </c>
      <c r="N439" s="16">
        <v>64.0</v>
      </c>
    </row>
    <row r="440">
      <c r="A440" s="10">
        <v>547989.0</v>
      </c>
      <c r="B440" s="11" t="s">
        <v>573</v>
      </c>
      <c r="C440" s="10">
        <v>482.0</v>
      </c>
      <c r="D440" s="10">
        <v>247.0</v>
      </c>
      <c r="E440" s="10">
        <v>85.0</v>
      </c>
      <c r="F440" s="14">
        <v>0.011397673</v>
      </c>
      <c r="G440" s="15">
        <v>87.0</v>
      </c>
      <c r="H440" s="15">
        <v>97.0</v>
      </c>
      <c r="I440" s="15">
        <v>111.0</v>
      </c>
      <c r="J440" s="15">
        <v>93.0</v>
      </c>
      <c r="K440" s="15">
        <v>96.0</v>
      </c>
      <c r="L440" s="15">
        <v>69.0</v>
      </c>
      <c r="M440" s="15">
        <v>65.0</v>
      </c>
      <c r="N440" s="16">
        <v>53.0</v>
      </c>
    </row>
    <row r="441">
      <c r="A441" s="10">
        <v>666915.0</v>
      </c>
      <c r="B441" s="11" t="s">
        <v>574</v>
      </c>
      <c r="C441" s="10">
        <v>411.0</v>
      </c>
      <c r="D441" s="10">
        <v>193.0</v>
      </c>
      <c r="E441" s="10">
        <v>41.0</v>
      </c>
      <c r="F441" s="14">
        <v>-0.044503709</v>
      </c>
      <c r="G441" s="15">
        <v>85.0</v>
      </c>
      <c r="H441" s="15">
        <v>98.0</v>
      </c>
      <c r="I441" s="15">
        <v>69.0</v>
      </c>
      <c r="J441" s="15">
        <v>109.0</v>
      </c>
      <c r="K441" s="15">
        <v>61.0</v>
      </c>
      <c r="L441" s="15">
        <v>73.0</v>
      </c>
      <c r="M441" s="15">
        <v>64.0</v>
      </c>
      <c r="N441" s="16">
        <v>70.0</v>
      </c>
    </row>
    <row r="442">
      <c r="A442" s="10">
        <v>656577.0</v>
      </c>
      <c r="B442" s="11" t="s">
        <v>575</v>
      </c>
      <c r="C442" s="10">
        <v>622.0</v>
      </c>
      <c r="D442" s="10">
        <v>329.0</v>
      </c>
      <c r="E442" s="10">
        <v>87.0</v>
      </c>
      <c r="F442" s="14">
        <v>0.047258644</v>
      </c>
      <c r="G442" s="15">
        <v>88.0</v>
      </c>
      <c r="H442" s="15">
        <v>76.0</v>
      </c>
      <c r="I442" s="15">
        <v>93.0</v>
      </c>
      <c r="J442" s="15">
        <v>81.0</v>
      </c>
      <c r="K442" s="15">
        <v>91.0</v>
      </c>
      <c r="L442" s="15">
        <v>75.0</v>
      </c>
      <c r="M442" s="15">
        <v>64.0</v>
      </c>
      <c r="N442" s="16">
        <v>61.0</v>
      </c>
    </row>
    <row r="443">
      <c r="A443" s="10">
        <v>595281.0</v>
      </c>
      <c r="B443" s="11" t="s">
        <v>576</v>
      </c>
      <c r="C443" s="10">
        <v>994.0</v>
      </c>
      <c r="D443" s="10">
        <v>545.0</v>
      </c>
      <c r="E443" s="10">
        <v>173.0</v>
      </c>
      <c r="F443" s="14">
        <v>0.080495013</v>
      </c>
      <c r="G443" s="15">
        <v>108.0</v>
      </c>
      <c r="H443" s="15">
        <v>91.0</v>
      </c>
      <c r="I443" s="15">
        <v>118.0</v>
      </c>
      <c r="J443" s="15">
        <v>85.0</v>
      </c>
      <c r="K443" s="15">
        <v>75.0</v>
      </c>
      <c r="L443" s="15">
        <v>81.0</v>
      </c>
      <c r="M443" s="15">
        <v>61.0</v>
      </c>
      <c r="N443" s="16">
        <v>69.0</v>
      </c>
    </row>
    <row r="444">
      <c r="A444" s="10">
        <v>595978.0</v>
      </c>
      <c r="B444" s="11" t="s">
        <v>577</v>
      </c>
      <c r="C444" s="10">
        <v>526.0</v>
      </c>
      <c r="D444" s="10">
        <v>287.0</v>
      </c>
      <c r="E444" s="10">
        <v>85.0</v>
      </c>
      <c r="F444" s="14">
        <v>0.042194587</v>
      </c>
      <c r="G444" s="15">
        <v>118.0</v>
      </c>
      <c r="H444" s="15">
        <v>110.0</v>
      </c>
      <c r="I444" s="15">
        <v>122.0</v>
      </c>
      <c r="J444" s="15">
        <v>101.0</v>
      </c>
      <c r="K444" s="15">
        <v>75.0</v>
      </c>
      <c r="L444" s="15">
        <v>56.0</v>
      </c>
      <c r="M444" s="15">
        <v>49.0</v>
      </c>
      <c r="N444" s="15">
        <v>60.0</v>
      </c>
    </row>
  </sheetData>
  <conditionalFormatting sqref="G1:N444">
    <cfRule type="colorScale" priority="1">
      <colorScale>
        <cfvo type="formula" val="60"/>
        <cfvo type="formula" val="100"/>
        <cfvo type="formula" val="140"/>
        <color rgb="FFE67C73"/>
        <color rgb="FFFFFFFF"/>
        <color rgb="FF57BB8A"/>
      </colorScale>
    </cfRule>
  </conditionalFormatting>
  <conditionalFormatting sqref="C1:C444">
    <cfRule type="cellIs" dxfId="0" priority="2" operator="greaterThanOrEqual">
      <formula>400</formula>
    </cfRule>
  </conditionalFormatting>
  <conditionalFormatting sqref="D1:D444">
    <cfRule type="cellIs" dxfId="0" priority="3" operator="greaterThanOrEqual">
      <formula>200</formula>
    </cfRule>
  </conditionalFormatting>
  <conditionalFormatting sqref="E1:E444">
    <cfRule type="cellIs" dxfId="0" priority="4" operator="greaterThanOrEqual">
      <formula>75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63"/>
    <col customWidth="1" min="2" max="2" width="22.75"/>
    <col customWidth="1" min="3" max="5" width="6.5"/>
    <col customWidth="1" min="6" max="12" width="10.13"/>
    <col customWidth="1" min="13" max="14" width="10.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6" t="s">
        <v>391</v>
      </c>
      <c r="H1" s="6" t="s">
        <v>578</v>
      </c>
      <c r="I1" s="6" t="s">
        <v>430</v>
      </c>
      <c r="J1" s="6" t="s">
        <v>432</v>
      </c>
      <c r="K1" s="6" t="s">
        <v>434</v>
      </c>
      <c r="L1" s="6" t="s">
        <v>436</v>
      </c>
      <c r="M1" s="6" t="s">
        <v>579</v>
      </c>
      <c r="N1" s="6" t="s">
        <v>13</v>
      </c>
    </row>
    <row r="2">
      <c r="A2" s="10">
        <v>592450.0</v>
      </c>
      <c r="B2" s="11" t="s">
        <v>18</v>
      </c>
      <c r="C2" s="12">
        <v>1882.0</v>
      </c>
      <c r="D2" s="10">
        <v>774.0</v>
      </c>
      <c r="E2" s="13">
        <v>237.0</v>
      </c>
      <c r="F2" s="14">
        <v>-0.083</v>
      </c>
      <c r="G2" s="15">
        <v>120.0</v>
      </c>
      <c r="H2" s="15">
        <v>133.0</v>
      </c>
      <c r="I2" s="15">
        <v>92.0</v>
      </c>
      <c r="J2" s="15">
        <v>132.0</v>
      </c>
      <c r="K2" s="15">
        <v>84.0</v>
      </c>
      <c r="L2" s="15">
        <v>166.0</v>
      </c>
      <c r="M2" s="15">
        <v>159.0</v>
      </c>
      <c r="N2" s="15">
        <v>135.0</v>
      </c>
    </row>
    <row r="3">
      <c r="A3" s="10">
        <v>660670.0</v>
      </c>
      <c r="B3" s="11" t="s">
        <v>22</v>
      </c>
      <c r="C3" s="12">
        <v>2749.0</v>
      </c>
      <c r="D3" s="10">
        <v>1269.0</v>
      </c>
      <c r="E3" s="13">
        <v>552.0</v>
      </c>
      <c r="F3" s="14">
        <v>-0.014</v>
      </c>
      <c r="G3" s="15">
        <v>125.0</v>
      </c>
      <c r="H3" s="15">
        <v>116.0</v>
      </c>
      <c r="I3" s="15">
        <v>114.0</v>
      </c>
      <c r="J3" s="15">
        <v>110.0</v>
      </c>
      <c r="K3" s="15">
        <v>115.0</v>
      </c>
      <c r="L3" s="15">
        <v>129.0</v>
      </c>
      <c r="M3" s="15">
        <v>151.0</v>
      </c>
      <c r="N3" s="15">
        <v>138.0</v>
      </c>
    </row>
    <row r="4">
      <c r="A4" s="10">
        <v>608369.0</v>
      </c>
      <c r="B4" s="11" t="s">
        <v>27</v>
      </c>
      <c r="C4" s="12">
        <v>1814.0</v>
      </c>
      <c r="D4" s="10">
        <v>1000.0</v>
      </c>
      <c r="E4" s="13">
        <v>386.0</v>
      </c>
      <c r="F4" s="14">
        <v>0.09</v>
      </c>
      <c r="G4" s="15">
        <v>138.0</v>
      </c>
      <c r="H4" s="15">
        <v>111.0</v>
      </c>
      <c r="I4" s="15">
        <v>127.0</v>
      </c>
      <c r="J4" s="15">
        <v>101.0</v>
      </c>
      <c r="K4" s="15">
        <v>107.0</v>
      </c>
      <c r="L4" s="15">
        <v>129.0</v>
      </c>
      <c r="M4" s="15">
        <v>148.0</v>
      </c>
      <c r="N4" s="15">
        <v>142.0</v>
      </c>
    </row>
    <row r="5">
      <c r="A5" s="10">
        <v>670541.0</v>
      </c>
      <c r="B5" s="11" t="s">
        <v>65</v>
      </c>
      <c r="C5" s="12">
        <v>1893.0</v>
      </c>
      <c r="D5" s="10">
        <v>828.0</v>
      </c>
      <c r="E5" s="13">
        <v>320.0</v>
      </c>
      <c r="F5" s="14">
        <v>0.0</v>
      </c>
      <c r="G5" s="15">
        <v>100.0</v>
      </c>
      <c r="H5" s="15">
        <v>93.0</v>
      </c>
      <c r="I5" s="15">
        <v>95.0</v>
      </c>
      <c r="J5" s="15">
        <v>95.0</v>
      </c>
      <c r="K5" s="15">
        <v>117.0</v>
      </c>
      <c r="L5" s="15">
        <v>139.0</v>
      </c>
      <c r="M5" s="15">
        <v>145.0</v>
      </c>
      <c r="N5" s="15">
        <v>132.0</v>
      </c>
    </row>
    <row r="6">
      <c r="A6" s="10">
        <v>605141.0</v>
      </c>
      <c r="B6" s="11" t="s">
        <v>118</v>
      </c>
      <c r="C6" s="12">
        <v>2664.0</v>
      </c>
      <c r="D6" s="10">
        <v>1017.0</v>
      </c>
      <c r="E6" s="13">
        <v>475.0</v>
      </c>
      <c r="F6" s="14">
        <v>-0.079</v>
      </c>
      <c r="G6" s="15">
        <v>110.0</v>
      </c>
      <c r="H6" s="15">
        <v>123.0</v>
      </c>
      <c r="I6" s="15">
        <v>98.0</v>
      </c>
      <c r="J6" s="15">
        <v>122.0</v>
      </c>
      <c r="K6" s="15">
        <v>125.0</v>
      </c>
      <c r="L6" s="15">
        <v>120.0</v>
      </c>
      <c r="M6" s="15">
        <v>144.0</v>
      </c>
      <c r="N6" s="15">
        <v>142.0</v>
      </c>
    </row>
    <row r="7">
      <c r="A7" s="10">
        <v>660271.0</v>
      </c>
      <c r="B7" s="11" t="s">
        <v>20</v>
      </c>
      <c r="C7" s="12">
        <v>2277.0</v>
      </c>
      <c r="D7" s="10">
        <v>1096.0</v>
      </c>
      <c r="E7" s="13">
        <v>353.0</v>
      </c>
      <c r="F7" s="14">
        <v>0.019</v>
      </c>
      <c r="G7" s="15">
        <v>105.0</v>
      </c>
      <c r="H7" s="15">
        <v>92.0</v>
      </c>
      <c r="I7" s="15">
        <v>99.0</v>
      </c>
      <c r="J7" s="15">
        <v>92.0</v>
      </c>
      <c r="K7" s="15">
        <v>96.0</v>
      </c>
      <c r="L7" s="15">
        <v>149.0</v>
      </c>
      <c r="M7" s="15">
        <v>140.0</v>
      </c>
      <c r="N7" s="15">
        <v>140.0</v>
      </c>
    </row>
    <row r="8">
      <c r="A8" s="10">
        <v>665742.0</v>
      </c>
      <c r="B8" s="11" t="s">
        <v>19</v>
      </c>
      <c r="C8" s="12">
        <v>2879.0</v>
      </c>
      <c r="D8" s="10">
        <v>1029.0</v>
      </c>
      <c r="E8" s="13">
        <v>438.0</v>
      </c>
      <c r="F8" s="14">
        <v>-0.084</v>
      </c>
      <c r="G8" s="15">
        <v>120.0</v>
      </c>
      <c r="H8" s="15">
        <v>132.0</v>
      </c>
      <c r="I8" s="15">
        <v>97.0</v>
      </c>
      <c r="J8" s="15">
        <v>129.0</v>
      </c>
      <c r="K8" s="15">
        <v>104.0</v>
      </c>
      <c r="L8" s="15">
        <v>123.0</v>
      </c>
      <c r="M8" s="15">
        <v>139.0</v>
      </c>
      <c r="N8" s="15">
        <v>128.0</v>
      </c>
    </row>
    <row r="9">
      <c r="A9" s="10">
        <v>518692.0</v>
      </c>
      <c r="B9" s="11" t="s">
        <v>99</v>
      </c>
      <c r="C9" s="12">
        <v>2709.0</v>
      </c>
      <c r="D9" s="10">
        <v>1379.0</v>
      </c>
      <c r="E9" s="13">
        <v>513.0</v>
      </c>
      <c r="F9" s="14">
        <v>0.041</v>
      </c>
      <c r="G9" s="15">
        <v>130.0</v>
      </c>
      <c r="H9" s="15">
        <v>111.0</v>
      </c>
      <c r="I9" s="15">
        <v>124.0</v>
      </c>
      <c r="J9" s="15">
        <v>102.0</v>
      </c>
      <c r="K9" s="15">
        <v>106.0</v>
      </c>
      <c r="L9" s="15">
        <v>122.0</v>
      </c>
      <c r="M9" s="15">
        <v>135.0</v>
      </c>
      <c r="N9" s="15">
        <v>132.0</v>
      </c>
    </row>
    <row r="10">
      <c r="A10" s="10">
        <v>542303.0</v>
      </c>
      <c r="B10" s="11" t="s">
        <v>57</v>
      </c>
      <c r="C10" s="12">
        <v>2348.0</v>
      </c>
      <c r="D10" s="10">
        <v>1136.0</v>
      </c>
      <c r="E10" s="13">
        <v>394.0</v>
      </c>
      <c r="F10" s="14">
        <v>-0.008</v>
      </c>
      <c r="G10" s="15">
        <v>109.0</v>
      </c>
      <c r="H10" s="15">
        <v>110.0</v>
      </c>
      <c r="I10" s="15">
        <v>116.0</v>
      </c>
      <c r="J10" s="15">
        <v>103.0</v>
      </c>
      <c r="K10" s="15">
        <v>97.0</v>
      </c>
      <c r="L10" s="15">
        <v>130.0</v>
      </c>
      <c r="M10" s="15">
        <v>134.0</v>
      </c>
      <c r="N10" s="15">
        <v>124.0</v>
      </c>
    </row>
    <row r="11">
      <c r="A11" s="10">
        <v>669221.0</v>
      </c>
      <c r="B11" s="11" t="s">
        <v>92</v>
      </c>
      <c r="C11" s="12">
        <v>1716.0</v>
      </c>
      <c r="D11" s="10">
        <v>785.0</v>
      </c>
      <c r="E11" s="13">
        <v>268.0</v>
      </c>
      <c r="F11" s="14">
        <v>-0.031</v>
      </c>
      <c r="G11" s="15">
        <v>116.0</v>
      </c>
      <c r="H11" s="15">
        <v>122.0</v>
      </c>
      <c r="I11" s="15">
        <v>104.0</v>
      </c>
      <c r="J11" s="15">
        <v>119.0</v>
      </c>
      <c r="K11" s="15">
        <v>88.0</v>
      </c>
      <c r="L11" s="15">
        <v>129.0</v>
      </c>
      <c r="M11" s="15">
        <v>133.0</v>
      </c>
      <c r="N11" s="15">
        <v>118.0</v>
      </c>
    </row>
    <row r="12">
      <c r="A12" s="10">
        <v>663656.0</v>
      </c>
      <c r="B12" s="11" t="s">
        <v>63</v>
      </c>
      <c r="C12" s="12">
        <v>2531.0</v>
      </c>
      <c r="D12" s="10">
        <v>1185.0</v>
      </c>
      <c r="E12" s="13">
        <v>485.0</v>
      </c>
      <c r="F12" s="14">
        <v>-0.005</v>
      </c>
      <c r="G12" s="15">
        <v>131.0</v>
      </c>
      <c r="H12" s="15">
        <v>121.0</v>
      </c>
      <c r="I12" s="15">
        <v>111.0</v>
      </c>
      <c r="J12" s="15">
        <v>116.0</v>
      </c>
      <c r="K12" s="15">
        <v>116.0</v>
      </c>
      <c r="L12" s="15">
        <v>110.0</v>
      </c>
      <c r="M12" s="15">
        <v>132.0</v>
      </c>
      <c r="N12" s="15">
        <v>123.0</v>
      </c>
    </row>
    <row r="13">
      <c r="A13" s="10">
        <v>676369.0</v>
      </c>
      <c r="B13" s="11" t="s">
        <v>473</v>
      </c>
      <c r="C13" s="12">
        <v>703.0</v>
      </c>
      <c r="D13" s="10">
        <v>352.0</v>
      </c>
      <c r="E13" s="13">
        <v>112.0</v>
      </c>
      <c r="F13" s="14">
        <v>0.008</v>
      </c>
      <c r="G13" s="15">
        <v>116.0</v>
      </c>
      <c r="H13" s="15">
        <v>109.0</v>
      </c>
      <c r="I13" s="15">
        <v>97.0</v>
      </c>
      <c r="J13" s="15">
        <v>109.0</v>
      </c>
      <c r="K13" s="15">
        <v>97.0</v>
      </c>
      <c r="L13" s="15">
        <v>128.0</v>
      </c>
      <c r="M13" s="15">
        <v>131.0</v>
      </c>
      <c r="N13" s="15">
        <v>124.0</v>
      </c>
    </row>
    <row r="14">
      <c r="A14" s="10">
        <v>608596.0</v>
      </c>
      <c r="B14" s="11" t="s">
        <v>580</v>
      </c>
      <c r="C14" s="12">
        <v>587.0</v>
      </c>
      <c r="D14" s="10">
        <v>306.0</v>
      </c>
      <c r="E14" s="13">
        <v>102.0</v>
      </c>
      <c r="F14" s="14">
        <v>0.0</v>
      </c>
      <c r="G14" s="15">
        <v>118.0</v>
      </c>
      <c r="H14" s="15">
        <v>109.0</v>
      </c>
      <c r="I14" s="15">
        <v>108.0</v>
      </c>
      <c r="J14" s="15">
        <v>105.0</v>
      </c>
      <c r="K14" s="15">
        <v>87.0</v>
      </c>
      <c r="L14" s="15">
        <v>131.0</v>
      </c>
      <c r="M14" s="15">
        <v>130.0</v>
      </c>
      <c r="N14" s="15">
        <v>125.0</v>
      </c>
    </row>
    <row r="15">
      <c r="A15" s="10">
        <v>502110.0</v>
      </c>
      <c r="B15" s="11" t="s">
        <v>447</v>
      </c>
      <c r="C15" s="12">
        <v>1830.0</v>
      </c>
      <c r="D15" s="10">
        <v>962.0</v>
      </c>
      <c r="E15" s="13">
        <v>285.0</v>
      </c>
      <c r="F15" s="14">
        <v>0.035</v>
      </c>
      <c r="G15" s="15">
        <v>110.0</v>
      </c>
      <c r="H15" s="15">
        <v>103.0</v>
      </c>
      <c r="I15" s="15">
        <v>116.0</v>
      </c>
      <c r="J15" s="15">
        <v>97.0</v>
      </c>
      <c r="K15" s="15">
        <v>82.0</v>
      </c>
      <c r="L15" s="15">
        <v>140.0</v>
      </c>
      <c r="M15" s="15">
        <v>128.0</v>
      </c>
      <c r="N15" s="15">
        <v>118.0</v>
      </c>
    </row>
    <row r="16">
      <c r="A16" s="10">
        <v>621566.0</v>
      </c>
      <c r="B16" s="11" t="s">
        <v>52</v>
      </c>
      <c r="C16" s="12">
        <v>3044.0</v>
      </c>
      <c r="D16" s="10">
        <v>1423.0</v>
      </c>
      <c r="E16" s="13">
        <v>441.0</v>
      </c>
      <c r="F16" s="14">
        <v>0.006</v>
      </c>
      <c r="G16" s="15">
        <v>121.0</v>
      </c>
      <c r="H16" s="15">
        <v>109.0</v>
      </c>
      <c r="I16" s="15">
        <v>118.0</v>
      </c>
      <c r="J16" s="15">
        <v>102.0</v>
      </c>
      <c r="K16" s="15">
        <v>93.0</v>
      </c>
      <c r="L16" s="15">
        <v>131.0</v>
      </c>
      <c r="M16" s="15">
        <v>128.0</v>
      </c>
      <c r="N16" s="15">
        <v>128.0</v>
      </c>
    </row>
    <row r="17">
      <c r="A17" s="10">
        <v>624585.0</v>
      </c>
      <c r="B17" s="11" t="s">
        <v>226</v>
      </c>
      <c r="C17" s="12">
        <v>2295.0</v>
      </c>
      <c r="D17" s="10">
        <v>1012.0</v>
      </c>
      <c r="E17" s="13">
        <v>360.0</v>
      </c>
      <c r="F17" s="14">
        <v>-0.029</v>
      </c>
      <c r="G17" s="15">
        <v>110.0</v>
      </c>
      <c r="H17" s="15">
        <v>112.0</v>
      </c>
      <c r="I17" s="15">
        <v>92.0</v>
      </c>
      <c r="J17" s="15">
        <v>113.0</v>
      </c>
      <c r="K17" s="15">
        <v>101.0</v>
      </c>
      <c r="L17" s="15">
        <v>122.0</v>
      </c>
      <c r="M17" s="15">
        <v>128.0</v>
      </c>
      <c r="N17" s="15">
        <v>118.0</v>
      </c>
    </row>
    <row r="18">
      <c r="A18" s="10">
        <v>545361.0</v>
      </c>
      <c r="B18" s="11" t="s">
        <v>23</v>
      </c>
      <c r="C18" s="12">
        <v>1527.0</v>
      </c>
      <c r="D18" s="10">
        <v>680.0</v>
      </c>
      <c r="E18" s="13">
        <v>204.0</v>
      </c>
      <c r="F18" s="14">
        <v>-0.05</v>
      </c>
      <c r="G18" s="15">
        <v>131.0</v>
      </c>
      <c r="H18" s="15">
        <v>130.0</v>
      </c>
      <c r="I18" s="15">
        <v>116.0</v>
      </c>
      <c r="J18" s="15">
        <v>124.0</v>
      </c>
      <c r="K18" s="15">
        <v>71.0</v>
      </c>
      <c r="L18" s="15">
        <v>133.0</v>
      </c>
      <c r="M18" s="15">
        <v>127.0</v>
      </c>
      <c r="N18" s="15">
        <v>118.0</v>
      </c>
    </row>
    <row r="19">
      <c r="A19" s="10">
        <v>650490.0</v>
      </c>
      <c r="B19" s="11" t="s">
        <v>33</v>
      </c>
      <c r="C19" s="12">
        <v>2336.0</v>
      </c>
      <c r="D19" s="10">
        <v>992.0</v>
      </c>
      <c r="E19" s="13">
        <v>427.0</v>
      </c>
      <c r="F19" s="14">
        <v>-0.061</v>
      </c>
      <c r="G19" s="15">
        <v>120.0</v>
      </c>
      <c r="H19" s="15">
        <v>129.0</v>
      </c>
      <c r="I19" s="15">
        <v>112.0</v>
      </c>
      <c r="J19" s="15">
        <v>124.0</v>
      </c>
      <c r="K19" s="15">
        <v>117.0</v>
      </c>
      <c r="L19" s="15">
        <v>103.0</v>
      </c>
      <c r="M19" s="15">
        <v>127.0</v>
      </c>
      <c r="N19" s="15">
        <v>134.0</v>
      </c>
    </row>
    <row r="20">
      <c r="A20" s="10">
        <v>596847.0</v>
      </c>
      <c r="B20" s="11" t="s">
        <v>581</v>
      </c>
      <c r="C20" s="12">
        <v>515.0</v>
      </c>
      <c r="D20" s="10">
        <v>240.0</v>
      </c>
      <c r="E20" s="13">
        <v>71.0</v>
      </c>
      <c r="F20" s="14">
        <v>-0.001</v>
      </c>
      <c r="G20" s="15">
        <v>118.0</v>
      </c>
      <c r="H20" s="15">
        <v>119.0</v>
      </c>
      <c r="I20" s="15">
        <v>111.0</v>
      </c>
      <c r="J20" s="15">
        <v>114.0</v>
      </c>
      <c r="K20" s="15">
        <v>83.0</v>
      </c>
      <c r="L20" s="15">
        <v>130.0</v>
      </c>
      <c r="M20" s="15">
        <v>127.0</v>
      </c>
      <c r="N20" s="15">
        <v>90.0</v>
      </c>
    </row>
    <row r="21">
      <c r="A21" s="10">
        <v>676914.0</v>
      </c>
      <c r="B21" s="11" t="s">
        <v>260</v>
      </c>
      <c r="C21" s="12">
        <v>576.0</v>
      </c>
      <c r="D21" s="10">
        <v>223.0</v>
      </c>
      <c r="E21" s="13">
        <v>72.0</v>
      </c>
      <c r="F21" s="14">
        <v>-0.089</v>
      </c>
      <c r="G21" s="15">
        <v>118.0</v>
      </c>
      <c r="H21" s="15">
        <v>124.0</v>
      </c>
      <c r="I21" s="15">
        <v>83.0</v>
      </c>
      <c r="J21" s="15">
        <v>128.0</v>
      </c>
      <c r="K21" s="15">
        <v>79.0</v>
      </c>
      <c r="L21" s="15">
        <v>130.0</v>
      </c>
      <c r="M21" s="15">
        <v>125.0</v>
      </c>
      <c r="N21" s="15">
        <v>143.0</v>
      </c>
    </row>
    <row r="22">
      <c r="A22" s="10">
        <v>547180.0</v>
      </c>
      <c r="B22" s="11" t="s">
        <v>60</v>
      </c>
      <c r="C22" s="12">
        <v>2009.0</v>
      </c>
      <c r="D22" s="10">
        <v>1033.0</v>
      </c>
      <c r="E22" s="13">
        <v>340.0</v>
      </c>
      <c r="F22" s="14">
        <v>0.091</v>
      </c>
      <c r="G22" s="15">
        <v>113.0</v>
      </c>
      <c r="H22" s="15">
        <v>90.0</v>
      </c>
      <c r="I22" s="15">
        <v>120.0</v>
      </c>
      <c r="J22" s="15">
        <v>86.0</v>
      </c>
      <c r="K22" s="15">
        <v>97.0</v>
      </c>
      <c r="L22" s="15">
        <v>131.0</v>
      </c>
      <c r="M22" s="15">
        <v>125.0</v>
      </c>
      <c r="N22" s="15">
        <v>120.0</v>
      </c>
    </row>
    <row r="23">
      <c r="A23" s="10">
        <v>665489.0</v>
      </c>
      <c r="B23" s="11" t="s">
        <v>32</v>
      </c>
      <c r="C23" s="12">
        <v>2423.0</v>
      </c>
      <c r="D23" s="10">
        <v>1222.0</v>
      </c>
      <c r="E23" s="13">
        <v>500.0</v>
      </c>
      <c r="F23" s="14">
        <v>0.024</v>
      </c>
      <c r="G23" s="15">
        <v>116.0</v>
      </c>
      <c r="H23" s="15">
        <v>106.0</v>
      </c>
      <c r="I23" s="15">
        <v>112.0</v>
      </c>
      <c r="J23" s="15">
        <v>101.0</v>
      </c>
      <c r="K23" s="15">
        <v>122.0</v>
      </c>
      <c r="L23" s="15">
        <v>107.0</v>
      </c>
      <c r="M23" s="15">
        <v>125.0</v>
      </c>
      <c r="N23" s="15">
        <v>110.0</v>
      </c>
    </row>
    <row r="24">
      <c r="A24" s="10">
        <v>650402.0</v>
      </c>
      <c r="B24" s="11" t="s">
        <v>25</v>
      </c>
      <c r="C24" s="12">
        <v>2628.0</v>
      </c>
      <c r="D24" s="10">
        <v>1226.0</v>
      </c>
      <c r="E24" s="13">
        <v>499.0</v>
      </c>
      <c r="F24" s="14">
        <v>-0.021</v>
      </c>
      <c r="G24" s="15">
        <v>112.0</v>
      </c>
      <c r="H24" s="15">
        <v>117.0</v>
      </c>
      <c r="I24" s="15">
        <v>109.0</v>
      </c>
      <c r="J24" s="15">
        <v>112.0</v>
      </c>
      <c r="K24" s="15">
        <v>109.0</v>
      </c>
      <c r="L24" s="15">
        <v>109.0</v>
      </c>
      <c r="M24" s="15">
        <v>125.0</v>
      </c>
      <c r="N24" s="15">
        <v>116.0</v>
      </c>
    </row>
    <row r="25">
      <c r="A25" s="10">
        <v>624413.0</v>
      </c>
      <c r="B25" s="11" t="s">
        <v>21</v>
      </c>
      <c r="C25" s="12">
        <v>2517.0</v>
      </c>
      <c r="D25" s="10">
        <v>1097.0</v>
      </c>
      <c r="E25" s="13">
        <v>413.0</v>
      </c>
      <c r="F25" s="14">
        <v>-0.048</v>
      </c>
      <c r="G25" s="15">
        <v>96.0</v>
      </c>
      <c r="H25" s="15">
        <v>102.0</v>
      </c>
      <c r="I25" s="15">
        <v>91.0</v>
      </c>
      <c r="J25" s="15">
        <v>104.0</v>
      </c>
      <c r="K25" s="15">
        <v>96.0</v>
      </c>
      <c r="L25" s="15">
        <v>125.0</v>
      </c>
      <c r="M25" s="15">
        <v>124.0</v>
      </c>
      <c r="N25" s="15">
        <v>110.0</v>
      </c>
    </row>
    <row r="26">
      <c r="A26" s="10">
        <v>673237.0</v>
      </c>
      <c r="B26" s="11" t="s">
        <v>106</v>
      </c>
      <c r="C26" s="12">
        <v>1287.0</v>
      </c>
      <c r="D26" s="10">
        <v>757.0</v>
      </c>
      <c r="E26" s="13">
        <v>286.0</v>
      </c>
      <c r="F26" s="14">
        <v>0.133</v>
      </c>
      <c r="G26" s="15">
        <v>88.0</v>
      </c>
      <c r="H26" s="15">
        <v>72.0</v>
      </c>
      <c r="I26" s="15">
        <v>124.0</v>
      </c>
      <c r="J26" s="15">
        <v>67.0</v>
      </c>
      <c r="K26" s="15">
        <v>105.0</v>
      </c>
      <c r="L26" s="15">
        <v>126.0</v>
      </c>
      <c r="M26" s="15">
        <v>124.0</v>
      </c>
      <c r="N26" s="15">
        <v>115.0</v>
      </c>
    </row>
    <row r="27">
      <c r="A27" s="10">
        <v>666969.0</v>
      </c>
      <c r="B27" s="11" t="s">
        <v>203</v>
      </c>
      <c r="C27" s="12">
        <v>2522.0</v>
      </c>
      <c r="D27" s="10">
        <v>1226.0</v>
      </c>
      <c r="E27" s="13">
        <v>377.0</v>
      </c>
      <c r="F27" s="14">
        <v>0.006</v>
      </c>
      <c r="G27" s="15">
        <v>108.0</v>
      </c>
      <c r="H27" s="15">
        <v>103.0</v>
      </c>
      <c r="I27" s="15">
        <v>102.0</v>
      </c>
      <c r="J27" s="15">
        <v>101.0</v>
      </c>
      <c r="K27" s="15">
        <v>89.0</v>
      </c>
      <c r="L27" s="15">
        <v>132.0</v>
      </c>
      <c r="M27" s="15">
        <v>124.0</v>
      </c>
      <c r="N27" s="15">
        <v>115.0</v>
      </c>
    </row>
    <row r="28">
      <c r="A28" s="10">
        <v>671213.0</v>
      </c>
      <c r="B28" s="11" t="s">
        <v>170</v>
      </c>
      <c r="C28" s="12">
        <v>2043.0</v>
      </c>
      <c r="D28" s="10">
        <v>893.0</v>
      </c>
      <c r="E28" s="13">
        <v>303.0</v>
      </c>
      <c r="F28" s="14">
        <v>-0.046</v>
      </c>
      <c r="G28" s="15">
        <v>116.0</v>
      </c>
      <c r="H28" s="15">
        <v>120.0</v>
      </c>
      <c r="I28" s="15">
        <v>97.0</v>
      </c>
      <c r="J28" s="15">
        <v>120.0</v>
      </c>
      <c r="K28" s="15">
        <v>94.0</v>
      </c>
      <c r="L28" s="15">
        <v>118.0</v>
      </c>
      <c r="M28" s="15">
        <v>124.0</v>
      </c>
      <c r="N28" s="15">
        <v>120.0</v>
      </c>
    </row>
    <row r="29">
      <c r="A29" s="10">
        <v>673548.0</v>
      </c>
      <c r="B29" s="11" t="s">
        <v>36</v>
      </c>
      <c r="C29" s="12">
        <v>2380.0</v>
      </c>
      <c r="D29" s="10">
        <v>975.0</v>
      </c>
      <c r="E29" s="13">
        <v>381.0</v>
      </c>
      <c r="F29" s="14">
        <v>-0.083</v>
      </c>
      <c r="G29" s="15">
        <v>105.0</v>
      </c>
      <c r="H29" s="15">
        <v>120.0</v>
      </c>
      <c r="I29" s="15">
        <v>90.0</v>
      </c>
      <c r="J29" s="15">
        <v>124.0</v>
      </c>
      <c r="K29" s="15">
        <v>95.0</v>
      </c>
      <c r="L29" s="15">
        <v>117.0</v>
      </c>
      <c r="M29" s="15">
        <v>124.0</v>
      </c>
      <c r="N29" s="15">
        <v>125.0</v>
      </c>
    </row>
    <row r="30">
      <c r="A30" s="10">
        <v>646240.0</v>
      </c>
      <c r="B30" s="11" t="s">
        <v>93</v>
      </c>
      <c r="C30" s="12">
        <v>2560.0</v>
      </c>
      <c r="D30" s="10">
        <v>1345.0</v>
      </c>
      <c r="E30" s="13">
        <v>453.0</v>
      </c>
      <c r="F30" s="14">
        <v>0.074</v>
      </c>
      <c r="G30" s="15">
        <v>110.0</v>
      </c>
      <c r="H30" s="15">
        <v>85.0</v>
      </c>
      <c r="I30" s="15">
        <v>111.0</v>
      </c>
      <c r="J30" s="15">
        <v>83.0</v>
      </c>
      <c r="K30" s="15">
        <v>105.0</v>
      </c>
      <c r="L30" s="15">
        <v>125.0</v>
      </c>
      <c r="M30" s="15">
        <v>123.0</v>
      </c>
      <c r="N30" s="15">
        <v>114.0</v>
      </c>
    </row>
    <row r="31">
      <c r="A31" s="10">
        <v>502054.0</v>
      </c>
      <c r="B31" s="11" t="s">
        <v>274</v>
      </c>
      <c r="C31" s="12">
        <v>1907.0</v>
      </c>
      <c r="D31" s="10">
        <v>772.0</v>
      </c>
      <c r="E31" s="13">
        <v>324.0</v>
      </c>
      <c r="F31" s="14">
        <v>-0.088</v>
      </c>
      <c r="G31" s="15">
        <v>106.0</v>
      </c>
      <c r="H31" s="15">
        <v>116.0</v>
      </c>
      <c r="I31" s="15">
        <v>83.0</v>
      </c>
      <c r="J31" s="15">
        <v>122.0</v>
      </c>
      <c r="K31" s="15">
        <v>103.0</v>
      </c>
      <c r="L31" s="15">
        <v>112.0</v>
      </c>
      <c r="M31" s="15">
        <v>122.0</v>
      </c>
      <c r="N31" s="15">
        <v>111.0</v>
      </c>
    </row>
    <row r="32">
      <c r="A32" s="10">
        <v>596146.0</v>
      </c>
      <c r="B32" s="11" t="s">
        <v>216</v>
      </c>
      <c r="C32" s="12">
        <v>1898.0</v>
      </c>
      <c r="D32" s="10">
        <v>900.0</v>
      </c>
      <c r="E32" s="13">
        <v>332.0</v>
      </c>
      <c r="F32" s="14">
        <v>0.002</v>
      </c>
      <c r="G32" s="15">
        <v>117.0</v>
      </c>
      <c r="H32" s="15">
        <v>110.0</v>
      </c>
      <c r="I32" s="15">
        <v>111.0</v>
      </c>
      <c r="J32" s="15">
        <v>105.0</v>
      </c>
      <c r="K32" s="15">
        <v>107.0</v>
      </c>
      <c r="L32" s="15">
        <v>111.0</v>
      </c>
      <c r="M32" s="15">
        <v>122.0</v>
      </c>
      <c r="N32" s="15">
        <v>114.0</v>
      </c>
    </row>
    <row r="33">
      <c r="A33" s="10">
        <v>663586.0</v>
      </c>
      <c r="B33" s="11" t="s">
        <v>95</v>
      </c>
      <c r="C33" s="12">
        <v>2819.0</v>
      </c>
      <c r="D33" s="10">
        <v>1362.0</v>
      </c>
      <c r="E33" s="13">
        <v>469.0</v>
      </c>
      <c r="F33" s="14">
        <v>-0.01</v>
      </c>
      <c r="G33" s="15">
        <v>110.0</v>
      </c>
      <c r="H33" s="15">
        <v>111.0</v>
      </c>
      <c r="I33" s="15">
        <v>109.0</v>
      </c>
      <c r="J33" s="15">
        <v>107.0</v>
      </c>
      <c r="K33" s="15">
        <v>91.0</v>
      </c>
      <c r="L33" s="15">
        <v>120.0</v>
      </c>
      <c r="M33" s="15">
        <v>122.0</v>
      </c>
      <c r="N33" s="15">
        <v>119.0</v>
      </c>
    </row>
    <row r="34">
      <c r="A34" s="10">
        <v>682985.0</v>
      </c>
      <c r="B34" s="11" t="s">
        <v>66</v>
      </c>
      <c r="C34" s="12">
        <v>1705.0</v>
      </c>
      <c r="D34" s="10">
        <v>801.0</v>
      </c>
      <c r="E34" s="13">
        <v>261.0</v>
      </c>
      <c r="F34" s="14">
        <v>-0.012</v>
      </c>
      <c r="G34" s="15">
        <v>106.0</v>
      </c>
      <c r="H34" s="15">
        <v>98.0</v>
      </c>
      <c r="I34" s="15">
        <v>102.0</v>
      </c>
      <c r="J34" s="15">
        <v>97.0</v>
      </c>
      <c r="K34" s="15">
        <v>98.0</v>
      </c>
      <c r="L34" s="15">
        <v>125.0</v>
      </c>
      <c r="M34" s="15">
        <v>122.0</v>
      </c>
      <c r="N34" s="15">
        <v>112.0</v>
      </c>
    </row>
    <row r="35">
      <c r="A35" s="10">
        <v>668939.0</v>
      </c>
      <c r="B35" s="11" t="s">
        <v>90</v>
      </c>
      <c r="C35" s="12">
        <v>2864.0</v>
      </c>
      <c r="D35" s="10">
        <v>1181.0</v>
      </c>
      <c r="E35" s="13">
        <v>485.0</v>
      </c>
      <c r="F35" s="14">
        <v>-0.053</v>
      </c>
      <c r="G35" s="15">
        <v>95.0</v>
      </c>
      <c r="H35" s="15">
        <v>107.0</v>
      </c>
      <c r="I35" s="15">
        <v>95.0</v>
      </c>
      <c r="J35" s="15">
        <v>108.0</v>
      </c>
      <c r="K35" s="15">
        <v>126.0</v>
      </c>
      <c r="L35" s="15">
        <v>105.0</v>
      </c>
      <c r="M35" s="15">
        <v>121.0</v>
      </c>
      <c r="N35" s="15">
        <v>111.0</v>
      </c>
    </row>
    <row r="36">
      <c r="A36" s="10">
        <v>663624.0</v>
      </c>
      <c r="B36" s="11" t="s">
        <v>180</v>
      </c>
      <c r="C36" s="12">
        <v>1724.0</v>
      </c>
      <c r="D36" s="10">
        <v>946.0</v>
      </c>
      <c r="E36" s="13">
        <v>320.0</v>
      </c>
      <c r="F36" s="14">
        <v>0.066</v>
      </c>
      <c r="G36" s="15">
        <v>92.0</v>
      </c>
      <c r="H36" s="15">
        <v>89.0</v>
      </c>
      <c r="I36" s="15">
        <v>124.0</v>
      </c>
      <c r="J36" s="15">
        <v>82.0</v>
      </c>
      <c r="K36" s="15">
        <v>110.0</v>
      </c>
      <c r="L36" s="15">
        <v>117.0</v>
      </c>
      <c r="M36" s="15">
        <v>121.0</v>
      </c>
      <c r="N36" s="15">
        <v>108.0</v>
      </c>
    </row>
    <row r="37">
      <c r="A37" s="10">
        <v>663457.0</v>
      </c>
      <c r="B37" s="11" t="s">
        <v>197</v>
      </c>
      <c r="C37" s="12">
        <v>2020.0</v>
      </c>
      <c r="D37" s="10">
        <v>714.0</v>
      </c>
      <c r="E37" s="13">
        <v>319.0</v>
      </c>
      <c r="F37" s="14">
        <v>-0.12</v>
      </c>
      <c r="G37" s="15">
        <v>92.0</v>
      </c>
      <c r="H37" s="15">
        <v>112.0</v>
      </c>
      <c r="I37" s="15">
        <v>69.0</v>
      </c>
      <c r="J37" s="15">
        <v>124.0</v>
      </c>
      <c r="K37" s="15">
        <v>116.0</v>
      </c>
      <c r="L37" s="15">
        <v>106.0</v>
      </c>
      <c r="M37" s="15">
        <v>119.0</v>
      </c>
      <c r="N37" s="15">
        <v>115.0</v>
      </c>
    </row>
    <row r="38">
      <c r="A38" s="10">
        <v>502671.0</v>
      </c>
      <c r="B38" s="11" t="s">
        <v>76</v>
      </c>
      <c r="C38" s="12">
        <v>2782.0</v>
      </c>
      <c r="D38" s="10">
        <v>1221.0</v>
      </c>
      <c r="E38" s="13">
        <v>423.0</v>
      </c>
      <c r="F38" s="14">
        <v>-0.044</v>
      </c>
      <c r="G38" s="15">
        <v>95.0</v>
      </c>
      <c r="H38" s="15">
        <v>104.0</v>
      </c>
      <c r="I38" s="15">
        <v>94.0</v>
      </c>
      <c r="J38" s="15">
        <v>106.0</v>
      </c>
      <c r="K38" s="15">
        <v>97.0</v>
      </c>
      <c r="L38" s="15">
        <v>120.0</v>
      </c>
      <c r="M38" s="15">
        <v>119.0</v>
      </c>
      <c r="N38" s="15">
        <v>112.0</v>
      </c>
    </row>
    <row r="39">
      <c r="A39" s="10">
        <v>677951.0</v>
      </c>
      <c r="B39" s="11" t="s">
        <v>44</v>
      </c>
      <c r="C39" s="12">
        <v>2664.0</v>
      </c>
      <c r="D39" s="10">
        <v>1344.0</v>
      </c>
      <c r="E39" s="13">
        <v>522.0</v>
      </c>
      <c r="F39" s="14">
        <v>0.024</v>
      </c>
      <c r="G39" s="15">
        <v>102.0</v>
      </c>
      <c r="H39" s="15">
        <v>97.0</v>
      </c>
      <c r="I39" s="15">
        <v>112.0</v>
      </c>
      <c r="J39" s="15">
        <v>93.0</v>
      </c>
      <c r="K39" s="15">
        <v>111.0</v>
      </c>
      <c r="L39" s="15">
        <v>112.0</v>
      </c>
      <c r="M39" s="15">
        <v>119.0</v>
      </c>
      <c r="N39" s="15">
        <v>111.0</v>
      </c>
    </row>
    <row r="40">
      <c r="A40" s="10">
        <v>571970.0</v>
      </c>
      <c r="B40" s="11" t="s">
        <v>43</v>
      </c>
      <c r="C40" s="12">
        <v>2464.0</v>
      </c>
      <c r="D40" s="10">
        <v>971.0</v>
      </c>
      <c r="E40" s="13">
        <v>332.0</v>
      </c>
      <c r="F40" s="14">
        <v>-0.065</v>
      </c>
      <c r="G40" s="15">
        <v>98.0</v>
      </c>
      <c r="H40" s="15">
        <v>109.0</v>
      </c>
      <c r="I40" s="15">
        <v>84.0</v>
      </c>
      <c r="J40" s="15">
        <v>113.0</v>
      </c>
      <c r="K40" s="15">
        <v>86.0</v>
      </c>
      <c r="L40" s="15">
        <v>125.0</v>
      </c>
      <c r="M40" s="15">
        <v>119.0</v>
      </c>
      <c r="N40" s="15">
        <v>110.0</v>
      </c>
    </row>
    <row r="41">
      <c r="A41" s="10">
        <v>641598.0</v>
      </c>
      <c r="B41" s="11" t="s">
        <v>259</v>
      </c>
      <c r="C41" s="12">
        <v>1403.0</v>
      </c>
      <c r="D41" s="10">
        <v>555.0</v>
      </c>
      <c r="E41" s="13">
        <v>210.0</v>
      </c>
      <c r="F41" s="14">
        <v>-0.083</v>
      </c>
      <c r="G41" s="15">
        <v>110.0</v>
      </c>
      <c r="H41" s="15">
        <v>121.0</v>
      </c>
      <c r="I41" s="15">
        <v>95.0</v>
      </c>
      <c r="J41" s="15">
        <v>122.0</v>
      </c>
      <c r="K41" s="15">
        <v>92.0</v>
      </c>
      <c r="L41" s="15">
        <v>113.0</v>
      </c>
      <c r="M41" s="15">
        <v>119.0</v>
      </c>
      <c r="N41" s="15">
        <v>124.0</v>
      </c>
    </row>
    <row r="42">
      <c r="A42" s="10">
        <v>666182.0</v>
      </c>
      <c r="B42" s="11" t="s">
        <v>48</v>
      </c>
      <c r="C42" s="12">
        <v>2205.0</v>
      </c>
      <c r="D42" s="10">
        <v>1246.0</v>
      </c>
      <c r="E42" s="13">
        <v>451.0</v>
      </c>
      <c r="F42" s="14">
        <v>0.071</v>
      </c>
      <c r="G42" s="15">
        <v>101.0</v>
      </c>
      <c r="H42" s="15">
        <v>86.0</v>
      </c>
      <c r="I42" s="15">
        <v>118.0</v>
      </c>
      <c r="J42" s="15">
        <v>80.0</v>
      </c>
      <c r="K42" s="15">
        <v>115.0</v>
      </c>
      <c r="L42" s="15">
        <v>112.0</v>
      </c>
      <c r="M42" s="15">
        <v>119.0</v>
      </c>
      <c r="N42" s="15">
        <v>117.0</v>
      </c>
    </row>
    <row r="43">
      <c r="A43" s="10">
        <v>656941.0</v>
      </c>
      <c r="B43" s="11" t="s">
        <v>39</v>
      </c>
      <c r="C43" s="12">
        <v>3036.0</v>
      </c>
      <c r="D43" s="10">
        <v>1145.0</v>
      </c>
      <c r="E43" s="13">
        <v>367.0</v>
      </c>
      <c r="F43" s="14">
        <v>-0.081</v>
      </c>
      <c r="G43" s="15">
        <v>95.0</v>
      </c>
      <c r="H43" s="15">
        <v>109.0</v>
      </c>
      <c r="I43" s="15">
        <v>75.0</v>
      </c>
      <c r="J43" s="15">
        <v>117.0</v>
      </c>
      <c r="K43" s="15">
        <v>89.0</v>
      </c>
      <c r="L43" s="15">
        <v>125.0</v>
      </c>
      <c r="M43" s="15">
        <v>119.0</v>
      </c>
      <c r="N43" s="15">
        <v>113.0</v>
      </c>
    </row>
    <row r="44">
      <c r="A44" s="10">
        <v>677551.0</v>
      </c>
      <c r="B44" s="11" t="s">
        <v>582</v>
      </c>
      <c r="C44" s="12">
        <v>1855.0</v>
      </c>
      <c r="D44" s="10">
        <v>836.0</v>
      </c>
      <c r="E44" s="13">
        <v>368.0</v>
      </c>
      <c r="F44" s="14">
        <v>-0.031</v>
      </c>
      <c r="G44" s="15">
        <v>94.0</v>
      </c>
      <c r="H44" s="15">
        <v>99.0</v>
      </c>
      <c r="I44" s="15">
        <v>100.0</v>
      </c>
      <c r="J44" s="15">
        <v>98.0</v>
      </c>
      <c r="K44" s="15">
        <v>120.0</v>
      </c>
      <c r="L44" s="15">
        <v>107.0</v>
      </c>
      <c r="M44" s="15">
        <v>118.0</v>
      </c>
      <c r="N44" s="15">
        <v>117.0</v>
      </c>
    </row>
    <row r="45">
      <c r="A45" s="10">
        <v>681351.0</v>
      </c>
      <c r="B45" s="11" t="s">
        <v>112</v>
      </c>
      <c r="C45" s="12">
        <v>754.0</v>
      </c>
      <c r="D45" s="10">
        <v>388.0</v>
      </c>
      <c r="E45" s="13">
        <v>134.0</v>
      </c>
      <c r="F45" s="14">
        <v>0.031</v>
      </c>
      <c r="G45" s="15">
        <v>101.0</v>
      </c>
      <c r="H45" s="15">
        <v>100.0</v>
      </c>
      <c r="I45" s="15">
        <v>110.0</v>
      </c>
      <c r="J45" s="15">
        <v>96.0</v>
      </c>
      <c r="K45" s="15">
        <v>96.0</v>
      </c>
      <c r="L45" s="15">
        <v>118.0</v>
      </c>
      <c r="M45" s="15">
        <v>118.0</v>
      </c>
      <c r="N45" s="15">
        <v>112.0</v>
      </c>
    </row>
    <row r="46">
      <c r="A46" s="10">
        <v>686469.0</v>
      </c>
      <c r="B46" s="11" t="s">
        <v>123</v>
      </c>
      <c r="C46" s="12">
        <v>1000.0</v>
      </c>
      <c r="D46" s="10">
        <v>466.0</v>
      </c>
      <c r="E46" s="13">
        <v>200.0</v>
      </c>
      <c r="F46" s="14">
        <v>0.011</v>
      </c>
      <c r="G46" s="15">
        <v>80.0</v>
      </c>
      <c r="H46" s="15">
        <v>90.0</v>
      </c>
      <c r="I46" s="15">
        <v>99.0</v>
      </c>
      <c r="J46" s="15">
        <v>91.0</v>
      </c>
      <c r="K46" s="15">
        <v>130.0</v>
      </c>
      <c r="L46" s="15">
        <v>104.0</v>
      </c>
      <c r="M46" s="15">
        <v>118.0</v>
      </c>
      <c r="N46" s="15">
        <v>102.0</v>
      </c>
    </row>
    <row r="47">
      <c r="A47" s="10">
        <v>596142.0</v>
      </c>
      <c r="B47" s="11" t="s">
        <v>143</v>
      </c>
      <c r="C47" s="12">
        <v>1088.0</v>
      </c>
      <c r="D47" s="10">
        <v>454.0</v>
      </c>
      <c r="E47" s="13">
        <v>174.0</v>
      </c>
      <c r="F47" s="14">
        <v>-0.059</v>
      </c>
      <c r="G47" s="15">
        <v>84.0</v>
      </c>
      <c r="H47" s="15">
        <v>99.0</v>
      </c>
      <c r="I47" s="15">
        <v>83.0</v>
      </c>
      <c r="J47" s="15">
        <v>105.0</v>
      </c>
      <c r="K47" s="15">
        <v>102.0</v>
      </c>
      <c r="L47" s="15">
        <v>117.0</v>
      </c>
      <c r="M47" s="15">
        <v>118.0</v>
      </c>
      <c r="N47" s="15">
        <v>109.0</v>
      </c>
    </row>
    <row r="48">
      <c r="A48" s="10">
        <v>670242.0</v>
      </c>
      <c r="B48" s="11" t="s">
        <v>206</v>
      </c>
      <c r="C48" s="12">
        <v>1033.0</v>
      </c>
      <c r="D48" s="10">
        <v>487.0</v>
      </c>
      <c r="E48" s="13">
        <v>131.0</v>
      </c>
      <c r="F48" s="14">
        <v>-0.025</v>
      </c>
      <c r="G48" s="15">
        <v>131.0</v>
      </c>
      <c r="H48" s="15">
        <v>122.0</v>
      </c>
      <c r="I48" s="15">
        <v>98.0</v>
      </c>
      <c r="J48" s="15">
        <v>121.0</v>
      </c>
      <c r="K48" s="15">
        <v>70.0</v>
      </c>
      <c r="L48" s="15">
        <v>129.0</v>
      </c>
      <c r="M48" s="15">
        <v>117.0</v>
      </c>
      <c r="N48" s="15">
        <v>121.0</v>
      </c>
    </row>
    <row r="49">
      <c r="A49" s="10">
        <v>575929.0</v>
      </c>
      <c r="B49" s="11" t="s">
        <v>45</v>
      </c>
      <c r="C49" s="12">
        <v>1914.0</v>
      </c>
      <c r="D49" s="10">
        <v>923.0</v>
      </c>
      <c r="E49" s="13">
        <v>312.0</v>
      </c>
      <c r="F49" s="14">
        <v>0.009</v>
      </c>
      <c r="G49" s="15">
        <v>99.0</v>
      </c>
      <c r="H49" s="15">
        <v>97.0</v>
      </c>
      <c r="I49" s="15">
        <v>105.0</v>
      </c>
      <c r="J49" s="15">
        <v>96.0</v>
      </c>
      <c r="K49" s="15">
        <v>101.0</v>
      </c>
      <c r="L49" s="15">
        <v>117.0</v>
      </c>
      <c r="M49" s="15">
        <v>117.0</v>
      </c>
      <c r="N49" s="15">
        <v>114.0</v>
      </c>
    </row>
    <row r="50">
      <c r="A50" s="10">
        <v>518626.0</v>
      </c>
      <c r="B50" s="11" t="s">
        <v>583</v>
      </c>
      <c r="C50" s="12">
        <v>710.0</v>
      </c>
      <c r="D50" s="10">
        <v>319.0</v>
      </c>
      <c r="E50" s="13">
        <v>115.0</v>
      </c>
      <c r="F50" s="14">
        <v>-0.037</v>
      </c>
      <c r="G50" s="15">
        <v>106.0</v>
      </c>
      <c r="H50" s="15">
        <v>114.0</v>
      </c>
      <c r="I50" s="15">
        <v>90.0</v>
      </c>
      <c r="J50" s="15">
        <v>116.0</v>
      </c>
      <c r="K50" s="15">
        <v>87.0</v>
      </c>
      <c r="L50" s="15">
        <v>116.0</v>
      </c>
      <c r="M50" s="15">
        <v>117.0</v>
      </c>
      <c r="N50" s="15">
        <v>93.0</v>
      </c>
    </row>
    <row r="51">
      <c r="A51" s="10">
        <v>592626.0</v>
      </c>
      <c r="B51" s="11" t="s">
        <v>285</v>
      </c>
      <c r="C51" s="12">
        <v>1693.0</v>
      </c>
      <c r="D51" s="10">
        <v>766.0</v>
      </c>
      <c r="E51" s="13">
        <v>269.0</v>
      </c>
      <c r="F51" s="14">
        <v>0.001</v>
      </c>
      <c r="G51" s="15">
        <v>101.0</v>
      </c>
      <c r="H51" s="15">
        <v>89.0</v>
      </c>
      <c r="I51" s="15">
        <v>91.0</v>
      </c>
      <c r="J51" s="15">
        <v>93.0</v>
      </c>
      <c r="K51" s="15">
        <v>113.0</v>
      </c>
      <c r="L51" s="15">
        <v>115.0</v>
      </c>
      <c r="M51" s="15">
        <v>117.0</v>
      </c>
      <c r="N51" s="15">
        <v>102.0</v>
      </c>
    </row>
    <row r="52">
      <c r="A52" s="10">
        <v>650333.0</v>
      </c>
      <c r="B52" s="11" t="s">
        <v>293</v>
      </c>
      <c r="C52" s="12">
        <v>2144.0</v>
      </c>
      <c r="D52" s="10">
        <v>1090.0</v>
      </c>
      <c r="E52" s="13">
        <v>542.0</v>
      </c>
      <c r="F52" s="14">
        <v>0.044</v>
      </c>
      <c r="G52" s="15">
        <v>93.0</v>
      </c>
      <c r="H52" s="15">
        <v>96.0</v>
      </c>
      <c r="I52" s="15">
        <v>122.0</v>
      </c>
      <c r="J52" s="15">
        <v>87.0</v>
      </c>
      <c r="K52" s="15">
        <v>136.0</v>
      </c>
      <c r="L52" s="15">
        <v>98.0</v>
      </c>
      <c r="M52" s="15">
        <v>116.0</v>
      </c>
      <c r="N52" s="15">
        <v>126.0</v>
      </c>
    </row>
    <row r="53">
      <c r="A53" s="10">
        <v>474832.0</v>
      </c>
      <c r="B53" s="11" t="s">
        <v>584</v>
      </c>
      <c r="C53" s="12">
        <v>1787.0</v>
      </c>
      <c r="D53" s="10">
        <v>732.0</v>
      </c>
      <c r="E53" s="13">
        <v>198.0</v>
      </c>
      <c r="F53" s="14">
        <v>-0.062</v>
      </c>
      <c r="G53" s="15">
        <v>127.0</v>
      </c>
      <c r="H53" s="15">
        <v>127.0</v>
      </c>
      <c r="I53" s="15">
        <v>89.0</v>
      </c>
      <c r="J53" s="15">
        <v>128.0</v>
      </c>
      <c r="K53" s="15">
        <v>69.0</v>
      </c>
      <c r="L53" s="15">
        <v>125.0</v>
      </c>
      <c r="M53" s="15">
        <v>116.0</v>
      </c>
      <c r="N53" s="15">
        <v>121.0</v>
      </c>
    </row>
    <row r="54">
      <c r="A54" s="10">
        <v>665487.0</v>
      </c>
      <c r="B54" s="11" t="s">
        <v>46</v>
      </c>
      <c r="C54" s="12">
        <v>2301.0</v>
      </c>
      <c r="D54" s="10">
        <v>1249.0</v>
      </c>
      <c r="E54" s="13">
        <v>435.0</v>
      </c>
      <c r="F54" s="14">
        <v>0.051</v>
      </c>
      <c r="G54" s="15">
        <v>121.0</v>
      </c>
      <c r="H54" s="15">
        <v>112.0</v>
      </c>
      <c r="I54" s="15">
        <v>135.0</v>
      </c>
      <c r="J54" s="15">
        <v>99.0</v>
      </c>
      <c r="K54" s="15">
        <v>95.0</v>
      </c>
      <c r="L54" s="15">
        <v>111.0</v>
      </c>
      <c r="M54" s="15">
        <v>116.0</v>
      </c>
      <c r="N54" s="15">
        <v>107.0</v>
      </c>
    </row>
    <row r="55">
      <c r="A55" s="10">
        <v>673962.0</v>
      </c>
      <c r="B55" s="11" t="s">
        <v>168</v>
      </c>
      <c r="C55" s="12">
        <v>1951.0</v>
      </c>
      <c r="D55" s="10">
        <v>1020.0</v>
      </c>
      <c r="E55" s="13">
        <v>328.0</v>
      </c>
      <c r="F55" s="14">
        <v>0.029</v>
      </c>
      <c r="G55" s="15">
        <v>98.0</v>
      </c>
      <c r="H55" s="15">
        <v>87.0</v>
      </c>
      <c r="I55" s="15">
        <v>90.0</v>
      </c>
      <c r="J55" s="15">
        <v>91.0</v>
      </c>
      <c r="K55" s="15">
        <v>99.0</v>
      </c>
      <c r="L55" s="15">
        <v>122.0</v>
      </c>
      <c r="M55" s="15">
        <v>116.0</v>
      </c>
      <c r="N55" s="15">
        <v>111.0</v>
      </c>
    </row>
    <row r="56">
      <c r="A56" s="10">
        <v>666397.0</v>
      </c>
      <c r="B56" s="11" t="s">
        <v>113</v>
      </c>
      <c r="C56" s="12">
        <v>1695.0</v>
      </c>
      <c r="D56" s="10">
        <v>634.0</v>
      </c>
      <c r="E56" s="13">
        <v>210.0</v>
      </c>
      <c r="F56" s="14">
        <v>-0.102</v>
      </c>
      <c r="G56" s="15">
        <v>123.0</v>
      </c>
      <c r="H56" s="15">
        <v>125.0</v>
      </c>
      <c r="I56" s="15">
        <v>71.0</v>
      </c>
      <c r="J56" s="15">
        <v>135.0</v>
      </c>
      <c r="K56" s="15">
        <v>78.0</v>
      </c>
      <c r="L56" s="15">
        <v>116.0</v>
      </c>
      <c r="M56" s="15">
        <v>116.0</v>
      </c>
      <c r="N56" s="15">
        <v>117.0</v>
      </c>
    </row>
    <row r="57">
      <c r="A57" s="10">
        <v>669134.0</v>
      </c>
      <c r="B57" s="11" t="s">
        <v>506</v>
      </c>
      <c r="C57" s="12">
        <v>592.0</v>
      </c>
      <c r="D57" s="10">
        <v>328.0</v>
      </c>
      <c r="E57" s="13">
        <v>142.0</v>
      </c>
      <c r="F57" s="14">
        <v>0.075</v>
      </c>
      <c r="G57" s="15">
        <v>100.0</v>
      </c>
      <c r="H57" s="15">
        <v>94.0</v>
      </c>
      <c r="I57" s="15">
        <v>130.0</v>
      </c>
      <c r="J57" s="15">
        <v>82.0</v>
      </c>
      <c r="K57" s="15">
        <v>127.0</v>
      </c>
      <c r="L57" s="15">
        <v>100.0</v>
      </c>
      <c r="M57" s="15">
        <v>116.0</v>
      </c>
      <c r="N57" s="15">
        <v>127.0</v>
      </c>
    </row>
    <row r="58">
      <c r="A58" s="10">
        <v>608324.0</v>
      </c>
      <c r="B58" s="11" t="s">
        <v>74</v>
      </c>
      <c r="C58" s="12">
        <v>2765.0</v>
      </c>
      <c r="D58" s="10">
        <v>1067.0</v>
      </c>
      <c r="E58" s="13">
        <v>531.0</v>
      </c>
      <c r="F58" s="14">
        <v>-0.067</v>
      </c>
      <c r="G58" s="15">
        <v>112.0</v>
      </c>
      <c r="H58" s="15">
        <v>129.0</v>
      </c>
      <c r="I58" s="15">
        <v>108.0</v>
      </c>
      <c r="J58" s="15">
        <v>124.0</v>
      </c>
      <c r="K58" s="15">
        <v>123.0</v>
      </c>
      <c r="L58" s="15">
        <v>92.0</v>
      </c>
      <c r="M58" s="15">
        <v>116.0</v>
      </c>
      <c r="N58" s="15">
        <v>117.0</v>
      </c>
    </row>
    <row r="59">
      <c r="A59" s="10">
        <v>680977.0</v>
      </c>
      <c r="B59" s="11" t="s">
        <v>58</v>
      </c>
      <c r="C59" s="12">
        <v>1394.0</v>
      </c>
      <c r="D59" s="10">
        <v>596.0</v>
      </c>
      <c r="E59" s="13">
        <v>271.0</v>
      </c>
      <c r="F59" s="14">
        <v>-0.026</v>
      </c>
      <c r="G59" s="15">
        <v>101.0</v>
      </c>
      <c r="H59" s="15">
        <v>99.0</v>
      </c>
      <c r="I59" s="15">
        <v>95.0</v>
      </c>
      <c r="J59" s="15">
        <v>101.0</v>
      </c>
      <c r="K59" s="15">
        <v>127.0</v>
      </c>
      <c r="L59" s="15">
        <v>102.0</v>
      </c>
      <c r="M59" s="15">
        <v>116.0</v>
      </c>
      <c r="N59" s="15">
        <v>113.0</v>
      </c>
    </row>
    <row r="60">
      <c r="A60" s="10">
        <v>668904.0</v>
      </c>
      <c r="B60" s="11" t="s">
        <v>154</v>
      </c>
      <c r="C60" s="12">
        <v>886.0</v>
      </c>
      <c r="D60" s="10">
        <v>419.0</v>
      </c>
      <c r="E60" s="13">
        <v>158.0</v>
      </c>
      <c r="F60" s="14">
        <v>-0.019</v>
      </c>
      <c r="G60" s="15">
        <v>97.0</v>
      </c>
      <c r="H60" s="15">
        <v>105.0</v>
      </c>
      <c r="I60" s="15">
        <v>101.0</v>
      </c>
      <c r="J60" s="15">
        <v>104.0</v>
      </c>
      <c r="K60" s="15">
        <v>105.0</v>
      </c>
      <c r="L60" s="15">
        <v>109.0</v>
      </c>
      <c r="M60" s="15">
        <v>116.0</v>
      </c>
      <c r="N60" s="15">
        <v>135.0</v>
      </c>
    </row>
    <row r="61">
      <c r="A61" s="10">
        <v>668804.0</v>
      </c>
      <c r="B61" s="11" t="s">
        <v>88</v>
      </c>
      <c r="C61" s="12">
        <v>2499.0</v>
      </c>
      <c r="D61" s="10">
        <v>1183.0</v>
      </c>
      <c r="E61" s="13">
        <v>437.0</v>
      </c>
      <c r="F61" s="14">
        <v>0.023</v>
      </c>
      <c r="G61" s="15">
        <v>120.0</v>
      </c>
      <c r="H61" s="15">
        <v>105.0</v>
      </c>
      <c r="I61" s="15">
        <v>111.0</v>
      </c>
      <c r="J61" s="15">
        <v>100.0</v>
      </c>
      <c r="K61" s="15">
        <v>96.0</v>
      </c>
      <c r="L61" s="15">
        <v>114.0</v>
      </c>
      <c r="M61" s="15">
        <v>115.0</v>
      </c>
      <c r="N61" s="15">
        <v>108.0</v>
      </c>
    </row>
    <row r="62">
      <c r="A62" s="10">
        <v>669394.0</v>
      </c>
      <c r="B62" s="11" t="s">
        <v>205</v>
      </c>
      <c r="C62" s="12">
        <v>2034.0</v>
      </c>
      <c r="D62" s="10">
        <v>1099.0</v>
      </c>
      <c r="E62" s="13">
        <v>346.0</v>
      </c>
      <c r="F62" s="14">
        <v>0.052</v>
      </c>
      <c r="G62" s="15">
        <v>87.0</v>
      </c>
      <c r="H62" s="15">
        <v>84.0</v>
      </c>
      <c r="I62" s="15">
        <v>105.0</v>
      </c>
      <c r="J62" s="15">
        <v>83.0</v>
      </c>
      <c r="K62" s="15">
        <v>92.0</v>
      </c>
      <c r="L62" s="15">
        <v>127.0</v>
      </c>
      <c r="M62" s="15">
        <v>115.0</v>
      </c>
      <c r="N62" s="15">
        <v>114.0</v>
      </c>
    </row>
    <row r="63">
      <c r="A63" s="10">
        <v>592885.0</v>
      </c>
      <c r="B63" s="11" t="s">
        <v>139</v>
      </c>
      <c r="C63" s="12">
        <v>2550.0</v>
      </c>
      <c r="D63" s="10">
        <v>1150.0</v>
      </c>
      <c r="E63" s="13">
        <v>411.0</v>
      </c>
      <c r="F63" s="14">
        <v>-0.009</v>
      </c>
      <c r="G63" s="15">
        <v>114.0</v>
      </c>
      <c r="H63" s="15">
        <v>112.0</v>
      </c>
      <c r="I63" s="15">
        <v>112.0</v>
      </c>
      <c r="J63" s="15">
        <v>107.0</v>
      </c>
      <c r="K63" s="15">
        <v>95.0</v>
      </c>
      <c r="L63" s="15">
        <v>111.0</v>
      </c>
      <c r="M63" s="15">
        <v>115.0</v>
      </c>
      <c r="N63" s="15">
        <v>112.0</v>
      </c>
    </row>
    <row r="64">
      <c r="A64" s="10">
        <v>621020.0</v>
      </c>
      <c r="B64" s="11" t="s">
        <v>98</v>
      </c>
      <c r="C64" s="12">
        <v>2498.0</v>
      </c>
      <c r="D64" s="10">
        <v>1183.0</v>
      </c>
      <c r="E64" s="13">
        <v>406.0</v>
      </c>
      <c r="F64" s="14">
        <v>-0.021</v>
      </c>
      <c r="G64" s="15">
        <v>120.0</v>
      </c>
      <c r="H64" s="15">
        <v>123.0</v>
      </c>
      <c r="I64" s="15">
        <v>106.0</v>
      </c>
      <c r="J64" s="15">
        <v>120.0</v>
      </c>
      <c r="K64" s="15">
        <v>87.0</v>
      </c>
      <c r="L64" s="15">
        <v>110.0</v>
      </c>
      <c r="M64" s="15">
        <v>115.0</v>
      </c>
      <c r="N64" s="15">
        <v>106.0</v>
      </c>
    </row>
    <row r="65">
      <c r="A65" s="10">
        <v>457705.0</v>
      </c>
      <c r="B65" s="11" t="s">
        <v>120</v>
      </c>
      <c r="C65" s="12">
        <v>1989.0</v>
      </c>
      <c r="D65" s="10">
        <v>828.0</v>
      </c>
      <c r="E65" s="13">
        <v>290.0</v>
      </c>
      <c r="F65" s="14">
        <v>-0.078</v>
      </c>
      <c r="G65" s="15">
        <v>120.0</v>
      </c>
      <c r="H65" s="15">
        <v>137.0</v>
      </c>
      <c r="I65" s="15">
        <v>106.0</v>
      </c>
      <c r="J65" s="15">
        <v>134.0</v>
      </c>
      <c r="K65" s="15">
        <v>89.0</v>
      </c>
      <c r="L65" s="15">
        <v>100.0</v>
      </c>
      <c r="M65" s="15">
        <v>114.0</v>
      </c>
      <c r="N65" s="15">
        <v>114.0</v>
      </c>
    </row>
    <row r="66">
      <c r="A66" s="10">
        <v>679529.0</v>
      </c>
      <c r="B66" s="11" t="s">
        <v>50</v>
      </c>
      <c r="C66" s="12">
        <v>2767.0</v>
      </c>
      <c r="D66" s="10">
        <v>1276.0</v>
      </c>
      <c r="E66" s="13">
        <v>432.0</v>
      </c>
      <c r="F66" s="14">
        <v>-0.028</v>
      </c>
      <c r="G66" s="15">
        <v>113.0</v>
      </c>
      <c r="H66" s="15">
        <v>113.0</v>
      </c>
      <c r="I66" s="15">
        <v>105.0</v>
      </c>
      <c r="J66" s="15">
        <v>111.0</v>
      </c>
      <c r="K66" s="15">
        <v>95.0</v>
      </c>
      <c r="L66" s="15">
        <v>110.0</v>
      </c>
      <c r="M66" s="15">
        <v>114.0</v>
      </c>
      <c r="N66" s="15">
        <v>108.0</v>
      </c>
    </row>
    <row r="67">
      <c r="A67" s="10">
        <v>647304.0</v>
      </c>
      <c r="B67" s="11" t="s">
        <v>177</v>
      </c>
      <c r="C67" s="12">
        <v>1632.0</v>
      </c>
      <c r="D67" s="10">
        <v>924.0</v>
      </c>
      <c r="E67" s="13">
        <v>386.0</v>
      </c>
      <c r="F67" s="14">
        <v>0.126</v>
      </c>
      <c r="G67" s="15">
        <v>97.0</v>
      </c>
      <c r="H67" s="15">
        <v>81.0</v>
      </c>
      <c r="I67" s="15">
        <v>122.0</v>
      </c>
      <c r="J67" s="15">
        <v>75.0</v>
      </c>
      <c r="K67" s="15">
        <v>119.0</v>
      </c>
      <c r="L67" s="15">
        <v>108.0</v>
      </c>
      <c r="M67" s="15">
        <v>114.0</v>
      </c>
      <c r="N67" s="15">
        <v>119.0</v>
      </c>
    </row>
    <row r="68">
      <c r="A68" s="10">
        <v>608701.0</v>
      </c>
      <c r="B68" s="11" t="s">
        <v>148</v>
      </c>
      <c r="C68" s="12">
        <v>995.0</v>
      </c>
      <c r="D68" s="10">
        <v>399.0</v>
      </c>
      <c r="E68" s="13">
        <v>157.0</v>
      </c>
      <c r="F68" s="14">
        <v>-0.084</v>
      </c>
      <c r="G68" s="15">
        <v>106.0</v>
      </c>
      <c r="H68" s="15">
        <v>129.0</v>
      </c>
      <c r="I68" s="15">
        <v>105.0</v>
      </c>
      <c r="J68" s="15">
        <v>127.0</v>
      </c>
      <c r="K68" s="15">
        <v>103.0</v>
      </c>
      <c r="L68" s="15">
        <v>97.0</v>
      </c>
      <c r="M68" s="15">
        <v>114.0</v>
      </c>
      <c r="N68" s="15">
        <v>104.0</v>
      </c>
    </row>
    <row r="69">
      <c r="A69" s="10">
        <v>607043.0</v>
      </c>
      <c r="B69" s="11" t="s">
        <v>124</v>
      </c>
      <c r="C69" s="12">
        <v>2808.0</v>
      </c>
      <c r="D69" s="10">
        <v>1187.0</v>
      </c>
      <c r="E69" s="13">
        <v>440.0</v>
      </c>
      <c r="F69" s="14">
        <v>-0.064</v>
      </c>
      <c r="G69" s="15">
        <v>107.0</v>
      </c>
      <c r="H69" s="15">
        <v>116.0</v>
      </c>
      <c r="I69" s="15">
        <v>101.0</v>
      </c>
      <c r="J69" s="15">
        <v>115.0</v>
      </c>
      <c r="K69" s="15">
        <v>106.0</v>
      </c>
      <c r="L69" s="15">
        <v>103.0</v>
      </c>
      <c r="M69" s="15">
        <v>114.0</v>
      </c>
      <c r="N69" s="15">
        <v>117.0</v>
      </c>
    </row>
    <row r="70">
      <c r="A70" s="10">
        <v>683002.0</v>
      </c>
      <c r="B70" s="11" t="s">
        <v>173</v>
      </c>
      <c r="C70" s="12">
        <v>2384.0</v>
      </c>
      <c r="D70" s="10">
        <v>1114.0</v>
      </c>
      <c r="E70" s="13">
        <v>399.0</v>
      </c>
      <c r="F70" s="14">
        <v>-0.016</v>
      </c>
      <c r="G70" s="15">
        <v>106.0</v>
      </c>
      <c r="H70" s="15">
        <v>102.0</v>
      </c>
      <c r="I70" s="15">
        <v>100.0</v>
      </c>
      <c r="J70" s="15">
        <v>102.0</v>
      </c>
      <c r="K70" s="15">
        <v>96.0</v>
      </c>
      <c r="L70" s="15">
        <v>114.0</v>
      </c>
      <c r="M70" s="15">
        <v>114.0</v>
      </c>
      <c r="N70" s="15">
        <v>114.0</v>
      </c>
    </row>
    <row r="71">
      <c r="A71" s="10">
        <v>456781.0</v>
      </c>
      <c r="B71" s="11" t="s">
        <v>270</v>
      </c>
      <c r="C71" s="12">
        <v>1796.0</v>
      </c>
      <c r="D71" s="10">
        <v>854.0</v>
      </c>
      <c r="E71" s="13">
        <v>293.0</v>
      </c>
      <c r="F71" s="14">
        <v>-0.033</v>
      </c>
      <c r="G71" s="15">
        <v>92.0</v>
      </c>
      <c r="H71" s="15">
        <v>110.0</v>
      </c>
      <c r="I71" s="15">
        <v>108.0</v>
      </c>
      <c r="J71" s="15">
        <v>106.0</v>
      </c>
      <c r="K71" s="15">
        <v>97.0</v>
      </c>
      <c r="L71" s="15">
        <v>110.0</v>
      </c>
      <c r="M71" s="15">
        <v>114.0</v>
      </c>
      <c r="N71" s="15">
        <v>112.0</v>
      </c>
    </row>
    <row r="72">
      <c r="A72" s="10">
        <v>664774.0</v>
      </c>
      <c r="B72" s="11" t="s">
        <v>295</v>
      </c>
      <c r="C72" s="12">
        <v>2077.0</v>
      </c>
      <c r="D72" s="10">
        <v>826.0</v>
      </c>
      <c r="E72" s="13">
        <v>337.0</v>
      </c>
      <c r="F72" s="14">
        <v>-0.068</v>
      </c>
      <c r="G72" s="15">
        <v>116.0</v>
      </c>
      <c r="H72" s="15">
        <v>119.0</v>
      </c>
      <c r="I72" s="15">
        <v>94.0</v>
      </c>
      <c r="J72" s="15">
        <v>119.0</v>
      </c>
      <c r="K72" s="15">
        <v>104.0</v>
      </c>
      <c r="L72" s="15">
        <v>102.0</v>
      </c>
      <c r="M72" s="15">
        <v>114.0</v>
      </c>
      <c r="N72" s="15">
        <v>110.0</v>
      </c>
    </row>
    <row r="73">
      <c r="A73" s="10">
        <v>669357.0</v>
      </c>
      <c r="B73" s="11" t="s">
        <v>174</v>
      </c>
      <c r="C73" s="12">
        <v>1859.0</v>
      </c>
      <c r="D73" s="10">
        <v>912.0</v>
      </c>
      <c r="E73" s="13">
        <v>257.0</v>
      </c>
      <c r="F73" s="14">
        <v>0.022</v>
      </c>
      <c r="G73" s="15">
        <v>117.0</v>
      </c>
      <c r="H73" s="15">
        <v>101.0</v>
      </c>
      <c r="I73" s="15">
        <v>111.0</v>
      </c>
      <c r="J73" s="15">
        <v>97.0</v>
      </c>
      <c r="K73" s="15">
        <v>74.0</v>
      </c>
      <c r="L73" s="15">
        <v>133.0</v>
      </c>
      <c r="M73" s="15">
        <v>114.0</v>
      </c>
      <c r="N73" s="15">
        <v>107.0</v>
      </c>
    </row>
    <row r="74">
      <c r="A74" s="10">
        <v>676475.0</v>
      </c>
      <c r="B74" s="11" t="s">
        <v>110</v>
      </c>
      <c r="C74" s="12">
        <v>1229.0</v>
      </c>
      <c r="D74" s="10">
        <v>638.0</v>
      </c>
      <c r="E74" s="13">
        <v>271.0</v>
      </c>
      <c r="F74" s="14">
        <v>0.068</v>
      </c>
      <c r="G74" s="15">
        <v>93.0</v>
      </c>
      <c r="H74" s="15">
        <v>83.0</v>
      </c>
      <c r="I74" s="15">
        <v>116.0</v>
      </c>
      <c r="J74" s="15">
        <v>79.0</v>
      </c>
      <c r="K74" s="15">
        <v>126.0</v>
      </c>
      <c r="L74" s="15">
        <v>104.0</v>
      </c>
      <c r="M74" s="15">
        <v>113.0</v>
      </c>
      <c r="N74" s="15">
        <v>91.0</v>
      </c>
    </row>
    <row r="75">
      <c r="A75" s="10">
        <v>656811.0</v>
      </c>
      <c r="B75" s="11" t="s">
        <v>94</v>
      </c>
      <c r="C75" s="12">
        <v>1437.0</v>
      </c>
      <c r="D75" s="10">
        <v>729.0</v>
      </c>
      <c r="E75" s="13">
        <v>267.0</v>
      </c>
      <c r="F75" s="14">
        <v>0.034</v>
      </c>
      <c r="G75" s="15">
        <v>105.0</v>
      </c>
      <c r="H75" s="15">
        <v>92.0</v>
      </c>
      <c r="I75" s="15">
        <v>117.0</v>
      </c>
      <c r="J75" s="15">
        <v>86.0</v>
      </c>
      <c r="K75" s="15">
        <v>107.0</v>
      </c>
      <c r="L75" s="15">
        <v>111.0</v>
      </c>
      <c r="M75" s="15">
        <v>113.0</v>
      </c>
      <c r="N75" s="15">
        <v>112.0</v>
      </c>
    </row>
    <row r="76">
      <c r="A76" s="10">
        <v>669257.0</v>
      </c>
      <c r="B76" s="11" t="s">
        <v>34</v>
      </c>
      <c r="C76" s="12">
        <v>2252.0</v>
      </c>
      <c r="D76" s="10">
        <v>1027.0</v>
      </c>
      <c r="E76" s="13">
        <v>382.0</v>
      </c>
      <c r="F76" s="14">
        <v>-0.013</v>
      </c>
      <c r="G76" s="15">
        <v>112.0</v>
      </c>
      <c r="H76" s="15">
        <v>114.0</v>
      </c>
      <c r="I76" s="15">
        <v>109.0</v>
      </c>
      <c r="J76" s="15">
        <v>110.0</v>
      </c>
      <c r="K76" s="15">
        <v>108.0</v>
      </c>
      <c r="L76" s="15">
        <v>101.0</v>
      </c>
      <c r="M76" s="15">
        <v>113.0</v>
      </c>
      <c r="N76" s="15">
        <v>110.0</v>
      </c>
    </row>
    <row r="77">
      <c r="A77" s="10">
        <v>671739.0</v>
      </c>
      <c r="B77" s="11" t="s">
        <v>322</v>
      </c>
      <c r="C77" s="12">
        <v>1931.0</v>
      </c>
      <c r="D77" s="10">
        <v>1026.0</v>
      </c>
      <c r="E77" s="13">
        <v>406.0</v>
      </c>
      <c r="F77" s="14">
        <v>0.061</v>
      </c>
      <c r="G77" s="15">
        <v>76.0</v>
      </c>
      <c r="H77" s="15">
        <v>80.0</v>
      </c>
      <c r="I77" s="15">
        <v>112.0</v>
      </c>
      <c r="J77" s="15">
        <v>76.0</v>
      </c>
      <c r="K77" s="15">
        <v>110.0</v>
      </c>
      <c r="L77" s="15">
        <v>113.0</v>
      </c>
      <c r="M77" s="15">
        <v>113.0</v>
      </c>
      <c r="N77" s="15">
        <v>111.0</v>
      </c>
    </row>
    <row r="78">
      <c r="A78" s="10">
        <v>669261.0</v>
      </c>
      <c r="B78" s="11" t="s">
        <v>497</v>
      </c>
      <c r="C78" s="12">
        <v>2264.0</v>
      </c>
      <c r="D78" s="10">
        <v>885.0</v>
      </c>
      <c r="E78" s="13">
        <v>278.0</v>
      </c>
      <c r="F78" s="14">
        <v>-0.086</v>
      </c>
      <c r="G78" s="15">
        <v>114.0</v>
      </c>
      <c r="H78" s="15">
        <v>116.0</v>
      </c>
      <c r="I78" s="15">
        <v>77.0</v>
      </c>
      <c r="J78" s="15">
        <v>123.0</v>
      </c>
      <c r="K78" s="15">
        <v>78.0</v>
      </c>
      <c r="L78" s="15">
        <v>119.0</v>
      </c>
      <c r="M78" s="15">
        <v>113.0</v>
      </c>
      <c r="N78" s="15">
        <v>109.0</v>
      </c>
    </row>
    <row r="79">
      <c r="A79" s="10">
        <v>673357.0</v>
      </c>
      <c r="B79" s="11" t="s">
        <v>248</v>
      </c>
      <c r="C79" s="12">
        <v>2174.0</v>
      </c>
      <c r="D79" s="10">
        <v>1264.0</v>
      </c>
      <c r="E79" s="13">
        <v>373.0</v>
      </c>
      <c r="F79" s="14">
        <v>0.088</v>
      </c>
      <c r="G79" s="15">
        <v>99.0</v>
      </c>
      <c r="H79" s="15">
        <v>89.0</v>
      </c>
      <c r="I79" s="15">
        <v>130.0</v>
      </c>
      <c r="J79" s="15">
        <v>79.0</v>
      </c>
      <c r="K79" s="15">
        <v>90.0</v>
      </c>
      <c r="L79" s="15">
        <v>124.0</v>
      </c>
      <c r="M79" s="15">
        <v>113.0</v>
      </c>
      <c r="N79" s="15">
        <v>117.0</v>
      </c>
    </row>
    <row r="80">
      <c r="A80" s="10">
        <v>664761.0</v>
      </c>
      <c r="B80" s="11" t="s">
        <v>140</v>
      </c>
      <c r="C80" s="12">
        <v>2227.0</v>
      </c>
      <c r="D80" s="10">
        <v>1111.0</v>
      </c>
      <c r="E80" s="13">
        <v>464.0</v>
      </c>
      <c r="F80" s="14">
        <v>0.009</v>
      </c>
      <c r="G80" s="15">
        <v>99.0</v>
      </c>
      <c r="H80" s="15">
        <v>95.0</v>
      </c>
      <c r="I80" s="15">
        <v>87.0</v>
      </c>
      <c r="J80" s="15">
        <v>100.0</v>
      </c>
      <c r="K80" s="15">
        <v>116.0</v>
      </c>
      <c r="L80" s="15">
        <v>105.0</v>
      </c>
      <c r="M80" s="15">
        <v>113.0</v>
      </c>
      <c r="N80" s="15">
        <v>107.0</v>
      </c>
    </row>
    <row r="81">
      <c r="A81" s="10">
        <v>656305.0</v>
      </c>
      <c r="B81" s="11" t="s">
        <v>127</v>
      </c>
      <c r="C81" s="12">
        <v>2435.0</v>
      </c>
      <c r="D81" s="10">
        <v>1055.0</v>
      </c>
      <c r="E81" s="13">
        <v>342.0</v>
      </c>
      <c r="F81" s="14">
        <v>-0.067</v>
      </c>
      <c r="G81" s="15">
        <v>120.0</v>
      </c>
      <c r="H81" s="15">
        <v>122.0</v>
      </c>
      <c r="I81" s="15">
        <v>97.0</v>
      </c>
      <c r="J81" s="15">
        <v>123.0</v>
      </c>
      <c r="K81" s="15">
        <v>85.0</v>
      </c>
      <c r="L81" s="15">
        <v>110.0</v>
      </c>
      <c r="M81" s="15">
        <v>113.0</v>
      </c>
      <c r="N81" s="15">
        <v>109.0</v>
      </c>
    </row>
    <row r="82">
      <c r="A82" s="10">
        <v>667670.0</v>
      </c>
      <c r="B82" s="11" t="s">
        <v>47</v>
      </c>
      <c r="C82" s="12">
        <v>2128.0</v>
      </c>
      <c r="D82" s="10">
        <v>979.0</v>
      </c>
      <c r="E82" s="13">
        <v>292.0</v>
      </c>
      <c r="F82" s="14">
        <v>-0.036</v>
      </c>
      <c r="G82" s="15">
        <v>102.0</v>
      </c>
      <c r="H82" s="15">
        <v>99.0</v>
      </c>
      <c r="I82" s="15">
        <v>83.0</v>
      </c>
      <c r="J82" s="15">
        <v>105.0</v>
      </c>
      <c r="K82" s="15">
        <v>82.0</v>
      </c>
      <c r="L82" s="15">
        <v>126.0</v>
      </c>
      <c r="M82" s="15">
        <v>112.0</v>
      </c>
      <c r="N82" s="15">
        <v>114.0</v>
      </c>
    </row>
    <row r="83">
      <c r="A83" s="10">
        <v>666134.0</v>
      </c>
      <c r="B83" s="11" t="s">
        <v>135</v>
      </c>
      <c r="C83" s="12">
        <v>1788.0</v>
      </c>
      <c r="D83" s="10">
        <v>743.0</v>
      </c>
      <c r="E83" s="13">
        <v>237.0</v>
      </c>
      <c r="F83" s="14">
        <v>-0.068</v>
      </c>
      <c r="G83" s="15">
        <v>89.0</v>
      </c>
      <c r="H83" s="15">
        <v>96.0</v>
      </c>
      <c r="I83" s="15">
        <v>75.0</v>
      </c>
      <c r="J83" s="15">
        <v>105.0</v>
      </c>
      <c r="K83" s="15">
        <v>85.0</v>
      </c>
      <c r="L83" s="15">
        <v>126.0</v>
      </c>
      <c r="M83" s="15">
        <v>112.0</v>
      </c>
      <c r="N83" s="15">
        <v>127.0</v>
      </c>
    </row>
    <row r="84">
      <c r="A84" s="10">
        <v>656582.0</v>
      </c>
      <c r="B84" s="11" t="s">
        <v>522</v>
      </c>
      <c r="C84" s="12">
        <v>1965.0</v>
      </c>
      <c r="D84" s="10">
        <v>776.0</v>
      </c>
      <c r="E84" s="13">
        <v>300.0</v>
      </c>
      <c r="F84" s="14">
        <v>-0.088</v>
      </c>
      <c r="G84" s="15">
        <v>105.0</v>
      </c>
      <c r="H84" s="15">
        <v>124.0</v>
      </c>
      <c r="I84" s="15">
        <v>93.0</v>
      </c>
      <c r="J84" s="15">
        <v>126.0</v>
      </c>
      <c r="K84" s="15">
        <v>100.0</v>
      </c>
      <c r="L84" s="15">
        <v>99.0</v>
      </c>
      <c r="M84" s="15">
        <v>112.0</v>
      </c>
      <c r="N84" s="15">
        <v>113.0</v>
      </c>
    </row>
    <row r="85">
      <c r="A85" s="10">
        <v>514888.0</v>
      </c>
      <c r="B85" s="11" t="s">
        <v>277</v>
      </c>
      <c r="C85" s="12">
        <v>1540.0</v>
      </c>
      <c r="D85" s="10">
        <v>697.0</v>
      </c>
      <c r="E85" s="13">
        <v>286.0</v>
      </c>
      <c r="F85" s="14">
        <v>0.004</v>
      </c>
      <c r="G85" s="15">
        <v>83.0</v>
      </c>
      <c r="H85" s="15">
        <v>100.0</v>
      </c>
      <c r="I85" s="15">
        <v>98.0</v>
      </c>
      <c r="J85" s="15">
        <v>100.0</v>
      </c>
      <c r="K85" s="15">
        <v>119.0</v>
      </c>
      <c r="L85" s="15">
        <v>101.0</v>
      </c>
      <c r="M85" s="15">
        <v>112.0</v>
      </c>
      <c r="N85" s="15">
        <v>132.0</v>
      </c>
    </row>
    <row r="86">
      <c r="A86" s="10">
        <v>668227.0</v>
      </c>
      <c r="B86" s="11" t="s">
        <v>96</v>
      </c>
      <c r="C86" s="12">
        <v>2654.0</v>
      </c>
      <c r="D86" s="10">
        <v>1141.0</v>
      </c>
      <c r="E86" s="13">
        <v>393.0</v>
      </c>
      <c r="F86" s="14">
        <v>-0.041</v>
      </c>
      <c r="G86" s="15">
        <v>93.0</v>
      </c>
      <c r="H86" s="15">
        <v>101.0</v>
      </c>
      <c r="I86" s="15">
        <v>94.0</v>
      </c>
      <c r="J86" s="15">
        <v>102.0</v>
      </c>
      <c r="K86" s="15">
        <v>101.0</v>
      </c>
      <c r="L86" s="15">
        <v>111.0</v>
      </c>
      <c r="M86" s="15">
        <v>112.0</v>
      </c>
      <c r="N86" s="15">
        <v>112.0</v>
      </c>
    </row>
    <row r="87">
      <c r="A87" s="10">
        <v>663697.0</v>
      </c>
      <c r="B87" s="11" t="s">
        <v>146</v>
      </c>
      <c r="C87" s="12">
        <v>2185.0</v>
      </c>
      <c r="D87" s="10">
        <v>844.0</v>
      </c>
      <c r="E87" s="13">
        <v>347.0</v>
      </c>
      <c r="F87" s="14">
        <v>-0.099</v>
      </c>
      <c r="G87" s="15">
        <v>99.0</v>
      </c>
      <c r="H87" s="15">
        <v>115.0</v>
      </c>
      <c r="I87" s="15">
        <v>87.0</v>
      </c>
      <c r="J87" s="15">
        <v>120.0</v>
      </c>
      <c r="K87" s="15">
        <v>105.0</v>
      </c>
      <c r="L87" s="15">
        <v>102.0</v>
      </c>
      <c r="M87" s="15">
        <v>112.0</v>
      </c>
      <c r="N87" s="15">
        <v>111.0</v>
      </c>
    </row>
    <row r="88">
      <c r="A88" s="10">
        <v>527038.0</v>
      </c>
      <c r="B88" s="11" t="s">
        <v>288</v>
      </c>
      <c r="C88" s="12">
        <v>1836.0</v>
      </c>
      <c r="D88" s="10">
        <v>823.0</v>
      </c>
      <c r="E88" s="13">
        <v>336.0</v>
      </c>
      <c r="F88" s="14">
        <v>-0.04</v>
      </c>
      <c r="G88" s="15">
        <v>93.0</v>
      </c>
      <c r="H88" s="15">
        <v>111.0</v>
      </c>
      <c r="I88" s="15">
        <v>106.0</v>
      </c>
      <c r="J88" s="15">
        <v>108.0</v>
      </c>
      <c r="K88" s="15">
        <v>119.0</v>
      </c>
      <c r="L88" s="15">
        <v>95.0</v>
      </c>
      <c r="M88" s="15">
        <v>111.0</v>
      </c>
      <c r="N88" s="15">
        <v>120.0</v>
      </c>
    </row>
    <row r="89">
      <c r="A89" s="10">
        <v>592518.0</v>
      </c>
      <c r="B89" s="11" t="s">
        <v>30</v>
      </c>
      <c r="C89" s="12">
        <v>2257.0</v>
      </c>
      <c r="D89" s="10">
        <v>1111.0</v>
      </c>
      <c r="E89" s="13">
        <v>436.0</v>
      </c>
      <c r="F89" s="14">
        <v>0.008</v>
      </c>
      <c r="G89" s="15">
        <v>105.0</v>
      </c>
      <c r="H89" s="15">
        <v>105.0</v>
      </c>
      <c r="I89" s="15">
        <v>107.0</v>
      </c>
      <c r="J89" s="15">
        <v>102.0</v>
      </c>
      <c r="K89" s="15">
        <v>113.0</v>
      </c>
      <c r="L89" s="15">
        <v>101.0</v>
      </c>
      <c r="M89" s="15">
        <v>111.0</v>
      </c>
      <c r="N89" s="15">
        <v>110.0</v>
      </c>
    </row>
    <row r="90">
      <c r="A90" s="10">
        <v>676801.0</v>
      </c>
      <c r="B90" s="11" t="s">
        <v>510</v>
      </c>
      <c r="C90" s="12">
        <v>1783.0</v>
      </c>
      <c r="D90" s="10">
        <v>882.0</v>
      </c>
      <c r="E90" s="13">
        <v>286.0</v>
      </c>
      <c r="F90" s="14">
        <v>0.011</v>
      </c>
      <c r="G90" s="15">
        <v>103.0</v>
      </c>
      <c r="H90" s="15">
        <v>109.0</v>
      </c>
      <c r="I90" s="15">
        <v>115.0</v>
      </c>
      <c r="J90" s="15">
        <v>103.0</v>
      </c>
      <c r="K90" s="15">
        <v>85.0</v>
      </c>
      <c r="L90" s="15">
        <v>116.0</v>
      </c>
      <c r="M90" s="15">
        <v>111.0</v>
      </c>
      <c r="N90" s="15">
        <v>117.0</v>
      </c>
    </row>
    <row r="91">
      <c r="A91" s="10">
        <v>446334.0</v>
      </c>
      <c r="B91" s="11" t="s">
        <v>585</v>
      </c>
      <c r="C91" s="12">
        <v>915.0</v>
      </c>
      <c r="D91" s="10">
        <v>390.0</v>
      </c>
      <c r="E91" s="13">
        <v>141.0</v>
      </c>
      <c r="F91" s="14">
        <v>-0.055</v>
      </c>
      <c r="G91" s="15">
        <v>90.0</v>
      </c>
      <c r="H91" s="15">
        <v>104.0</v>
      </c>
      <c r="I91" s="15">
        <v>84.0</v>
      </c>
      <c r="J91" s="15">
        <v>109.0</v>
      </c>
      <c r="K91" s="15">
        <v>91.0</v>
      </c>
      <c r="L91" s="15">
        <v>114.0</v>
      </c>
      <c r="M91" s="15">
        <v>111.0</v>
      </c>
      <c r="N91" s="15">
        <v>100.0</v>
      </c>
    </row>
    <row r="92">
      <c r="A92" s="10">
        <v>668670.0</v>
      </c>
      <c r="B92" s="11" t="s">
        <v>470</v>
      </c>
      <c r="C92" s="12">
        <v>1410.0</v>
      </c>
      <c r="D92" s="10">
        <v>647.0</v>
      </c>
      <c r="E92" s="13">
        <v>213.0</v>
      </c>
      <c r="F92" s="14">
        <v>-0.046</v>
      </c>
      <c r="G92" s="15">
        <v>111.0</v>
      </c>
      <c r="H92" s="15">
        <v>108.0</v>
      </c>
      <c r="I92" s="15">
        <v>85.0</v>
      </c>
      <c r="J92" s="15">
        <v>115.0</v>
      </c>
      <c r="K92" s="15">
        <v>80.0</v>
      </c>
      <c r="L92" s="15">
        <v>119.0</v>
      </c>
      <c r="M92" s="15">
        <v>111.0</v>
      </c>
      <c r="N92" s="15">
        <v>102.0</v>
      </c>
    </row>
    <row r="93">
      <c r="A93" s="10">
        <v>606192.0</v>
      </c>
      <c r="B93" s="11" t="s">
        <v>111</v>
      </c>
      <c r="C93" s="12">
        <v>2657.0</v>
      </c>
      <c r="D93" s="10">
        <v>1428.0</v>
      </c>
      <c r="E93" s="13">
        <v>418.0</v>
      </c>
      <c r="F93" s="14">
        <v>0.038</v>
      </c>
      <c r="G93" s="15">
        <v>98.0</v>
      </c>
      <c r="H93" s="15">
        <v>94.0</v>
      </c>
      <c r="I93" s="15">
        <v>114.0</v>
      </c>
      <c r="J93" s="15">
        <v>89.0</v>
      </c>
      <c r="K93" s="15">
        <v>86.0</v>
      </c>
      <c r="L93" s="15">
        <v>123.0</v>
      </c>
      <c r="M93" s="15">
        <v>111.0</v>
      </c>
      <c r="N93" s="15">
        <v>104.0</v>
      </c>
    </row>
    <row r="94">
      <c r="A94" s="10">
        <v>663616.0</v>
      </c>
      <c r="B94" s="11" t="s">
        <v>234</v>
      </c>
      <c r="C94" s="12">
        <v>904.0</v>
      </c>
      <c r="D94" s="10">
        <v>370.0</v>
      </c>
      <c r="E94" s="13">
        <v>110.0</v>
      </c>
      <c r="F94" s="14">
        <v>-0.062</v>
      </c>
      <c r="G94" s="15">
        <v>108.0</v>
      </c>
      <c r="H94" s="15">
        <v>112.0</v>
      </c>
      <c r="I94" s="15">
        <v>94.0</v>
      </c>
      <c r="J94" s="15">
        <v>112.0</v>
      </c>
      <c r="K94" s="15">
        <v>72.0</v>
      </c>
      <c r="L94" s="15">
        <v>124.0</v>
      </c>
      <c r="M94" s="15">
        <v>111.0</v>
      </c>
      <c r="N94" s="15">
        <v>99.0</v>
      </c>
    </row>
    <row r="95">
      <c r="A95" s="10">
        <v>686527.0</v>
      </c>
      <c r="B95" s="11" t="s">
        <v>468</v>
      </c>
      <c r="C95" s="12">
        <v>597.0</v>
      </c>
      <c r="D95" s="10">
        <v>325.0</v>
      </c>
      <c r="E95" s="13">
        <v>138.0</v>
      </c>
      <c r="F95" s="14">
        <v>0.093</v>
      </c>
      <c r="G95" s="15">
        <v>65.0</v>
      </c>
      <c r="H95" s="15">
        <v>65.0</v>
      </c>
      <c r="I95" s="15">
        <v>91.0</v>
      </c>
      <c r="J95" s="15">
        <v>69.0</v>
      </c>
      <c r="K95" s="15">
        <v>114.0</v>
      </c>
      <c r="L95" s="15">
        <v>113.0</v>
      </c>
      <c r="M95" s="15">
        <v>111.0</v>
      </c>
      <c r="N95" s="15">
        <v>87.0</v>
      </c>
    </row>
    <row r="96">
      <c r="A96" s="10">
        <v>543068.0</v>
      </c>
      <c r="B96" s="11" t="s">
        <v>586</v>
      </c>
      <c r="C96" s="12">
        <v>1054.0</v>
      </c>
      <c r="D96" s="10">
        <v>505.0</v>
      </c>
      <c r="E96" s="13">
        <v>194.0</v>
      </c>
      <c r="F96" s="14">
        <v>-0.007</v>
      </c>
      <c r="G96" s="15">
        <v>78.0</v>
      </c>
      <c r="H96" s="15">
        <v>79.0</v>
      </c>
      <c r="I96" s="15">
        <v>85.0</v>
      </c>
      <c r="J96" s="15">
        <v>85.0</v>
      </c>
      <c r="K96" s="15">
        <v>115.0</v>
      </c>
      <c r="L96" s="15">
        <v>111.0</v>
      </c>
      <c r="M96" s="15">
        <v>111.0</v>
      </c>
      <c r="N96" s="15">
        <v>99.0</v>
      </c>
    </row>
    <row r="97">
      <c r="A97" s="10">
        <v>457759.0</v>
      </c>
      <c r="B97" s="11" t="s">
        <v>276</v>
      </c>
      <c r="C97" s="12">
        <v>2640.0</v>
      </c>
      <c r="D97" s="10">
        <v>1187.0</v>
      </c>
      <c r="E97" s="13">
        <v>450.0</v>
      </c>
      <c r="F97" s="14">
        <v>-0.042</v>
      </c>
      <c r="G97" s="15">
        <v>97.0</v>
      </c>
      <c r="H97" s="15">
        <v>102.0</v>
      </c>
      <c r="I97" s="15">
        <v>94.0</v>
      </c>
      <c r="J97" s="15">
        <v>105.0</v>
      </c>
      <c r="K97" s="15">
        <v>116.0</v>
      </c>
      <c r="L97" s="15">
        <v>100.0</v>
      </c>
      <c r="M97" s="15">
        <v>111.0</v>
      </c>
      <c r="N97" s="15">
        <v>116.0</v>
      </c>
    </row>
    <row r="98">
      <c r="A98" s="10">
        <v>596103.0</v>
      </c>
      <c r="B98" s="11" t="s">
        <v>51</v>
      </c>
      <c r="C98" s="12">
        <v>799.0</v>
      </c>
      <c r="D98" s="10">
        <v>339.0</v>
      </c>
      <c r="E98" s="13">
        <v>125.0</v>
      </c>
      <c r="F98" s="14">
        <v>-0.063</v>
      </c>
      <c r="G98" s="15">
        <v>109.0</v>
      </c>
      <c r="H98" s="15">
        <v>118.0</v>
      </c>
      <c r="I98" s="15">
        <v>77.0</v>
      </c>
      <c r="J98" s="15">
        <v>124.0</v>
      </c>
      <c r="K98" s="15">
        <v>91.0</v>
      </c>
      <c r="L98" s="15">
        <v>105.0</v>
      </c>
      <c r="M98" s="15">
        <v>110.0</v>
      </c>
      <c r="N98" s="15">
        <v>108.0</v>
      </c>
    </row>
    <row r="99">
      <c r="A99" s="10">
        <v>650559.0</v>
      </c>
      <c r="B99" s="11" t="s">
        <v>484</v>
      </c>
      <c r="C99" s="12">
        <v>2442.0</v>
      </c>
      <c r="D99" s="10">
        <v>1222.0</v>
      </c>
      <c r="E99" s="13">
        <v>438.0</v>
      </c>
      <c r="F99" s="14">
        <v>0.027</v>
      </c>
      <c r="G99" s="15">
        <v>95.0</v>
      </c>
      <c r="H99" s="15">
        <v>97.0</v>
      </c>
      <c r="I99" s="15">
        <v>112.0</v>
      </c>
      <c r="J99" s="15">
        <v>93.0</v>
      </c>
      <c r="K99" s="15">
        <v>106.0</v>
      </c>
      <c r="L99" s="15">
        <v>107.0</v>
      </c>
      <c r="M99" s="15">
        <v>110.0</v>
      </c>
      <c r="N99" s="15">
        <v>101.0</v>
      </c>
    </row>
    <row r="100">
      <c r="A100" s="10">
        <v>641343.0</v>
      </c>
      <c r="B100" s="11" t="s">
        <v>149</v>
      </c>
      <c r="C100" s="12">
        <v>1155.0</v>
      </c>
      <c r="D100" s="10">
        <v>528.0</v>
      </c>
      <c r="E100" s="13">
        <v>150.0</v>
      </c>
      <c r="F100" s="14">
        <v>-0.034</v>
      </c>
      <c r="G100" s="15">
        <v>104.0</v>
      </c>
      <c r="H100" s="15">
        <v>104.0</v>
      </c>
      <c r="I100" s="15">
        <v>103.0</v>
      </c>
      <c r="J100" s="15">
        <v>103.0</v>
      </c>
      <c r="K100" s="15">
        <v>73.0</v>
      </c>
      <c r="L100" s="15">
        <v>128.0</v>
      </c>
      <c r="M100" s="15">
        <v>110.0</v>
      </c>
      <c r="N100" s="15">
        <v>97.0</v>
      </c>
    </row>
    <row r="101">
      <c r="A101" s="10">
        <v>663647.0</v>
      </c>
      <c r="B101" s="11" t="s">
        <v>273</v>
      </c>
      <c r="C101" s="12">
        <v>1917.0</v>
      </c>
      <c r="D101" s="10">
        <v>872.0</v>
      </c>
      <c r="E101" s="13">
        <v>392.0</v>
      </c>
      <c r="F101" s="14">
        <v>-0.009</v>
      </c>
      <c r="G101" s="15">
        <v>82.0</v>
      </c>
      <c r="H101" s="15">
        <v>87.0</v>
      </c>
      <c r="I101" s="15">
        <v>91.0</v>
      </c>
      <c r="J101" s="15">
        <v>90.0</v>
      </c>
      <c r="K101" s="15">
        <v>118.0</v>
      </c>
      <c r="L101" s="15">
        <v>105.0</v>
      </c>
      <c r="M101" s="15">
        <v>110.0</v>
      </c>
      <c r="N101" s="15">
        <v>107.0</v>
      </c>
    </row>
    <row r="102">
      <c r="A102" s="10">
        <v>543685.0</v>
      </c>
      <c r="B102" s="11" t="s">
        <v>482</v>
      </c>
      <c r="C102" s="12">
        <v>753.0</v>
      </c>
      <c r="D102" s="10">
        <v>299.0</v>
      </c>
      <c r="E102" s="13">
        <v>124.0</v>
      </c>
      <c r="F102" s="14">
        <v>-0.066</v>
      </c>
      <c r="G102" s="15">
        <v>118.0</v>
      </c>
      <c r="H102" s="15">
        <v>132.0</v>
      </c>
      <c r="I102" s="15">
        <v>105.0</v>
      </c>
      <c r="J102" s="15">
        <v>128.0</v>
      </c>
      <c r="K102" s="15">
        <v>116.0</v>
      </c>
      <c r="L102" s="15">
        <v>86.0</v>
      </c>
      <c r="M102" s="15">
        <v>110.0</v>
      </c>
      <c r="N102" s="15">
        <v>102.0</v>
      </c>
    </row>
    <row r="103">
      <c r="A103" s="10">
        <v>593871.0</v>
      </c>
      <c r="B103" s="11" t="s">
        <v>116</v>
      </c>
      <c r="C103" s="12">
        <v>1370.0</v>
      </c>
      <c r="D103" s="10">
        <v>636.0</v>
      </c>
      <c r="E103" s="13">
        <v>212.0</v>
      </c>
      <c r="F103" s="14">
        <v>-0.006</v>
      </c>
      <c r="G103" s="15">
        <v>104.0</v>
      </c>
      <c r="H103" s="15">
        <v>99.0</v>
      </c>
      <c r="I103" s="15">
        <v>92.0</v>
      </c>
      <c r="J103" s="15">
        <v>101.0</v>
      </c>
      <c r="K103" s="15">
        <v>95.0</v>
      </c>
      <c r="L103" s="15">
        <v>113.0</v>
      </c>
      <c r="M103" s="15">
        <v>110.0</v>
      </c>
      <c r="N103" s="15">
        <v>104.0</v>
      </c>
    </row>
    <row r="104">
      <c r="A104" s="10">
        <v>672386.0</v>
      </c>
      <c r="B104" s="11" t="s">
        <v>35</v>
      </c>
      <c r="C104" s="12">
        <v>1707.0</v>
      </c>
      <c r="D104" s="10">
        <v>710.0</v>
      </c>
      <c r="E104" s="13">
        <v>327.0</v>
      </c>
      <c r="F104" s="14">
        <v>-0.062</v>
      </c>
      <c r="G104" s="15">
        <v>85.0</v>
      </c>
      <c r="H104" s="15">
        <v>108.0</v>
      </c>
      <c r="I104" s="15">
        <v>102.0</v>
      </c>
      <c r="J104" s="15">
        <v>106.0</v>
      </c>
      <c r="K104" s="15">
        <v>127.0</v>
      </c>
      <c r="L104" s="15">
        <v>93.0</v>
      </c>
      <c r="M104" s="15">
        <v>110.0</v>
      </c>
      <c r="N104" s="15">
        <v>102.0</v>
      </c>
    </row>
    <row r="105">
      <c r="A105" s="10">
        <v>664040.0</v>
      </c>
      <c r="B105" s="11" t="s">
        <v>91</v>
      </c>
      <c r="C105" s="12">
        <v>1695.0</v>
      </c>
      <c r="D105" s="10">
        <v>877.0</v>
      </c>
      <c r="E105" s="13">
        <v>256.0</v>
      </c>
      <c r="F105" s="14">
        <v>0.043</v>
      </c>
      <c r="G105" s="15">
        <v>115.0</v>
      </c>
      <c r="H105" s="15">
        <v>102.0</v>
      </c>
      <c r="I105" s="15">
        <v>116.0</v>
      </c>
      <c r="J105" s="15">
        <v>96.0</v>
      </c>
      <c r="K105" s="15">
        <v>91.0</v>
      </c>
      <c r="L105" s="15">
        <v>115.0</v>
      </c>
      <c r="M105" s="15">
        <v>110.0</v>
      </c>
      <c r="N105" s="15">
        <v>109.0</v>
      </c>
    </row>
    <row r="106">
      <c r="A106" s="10">
        <v>641856.0</v>
      </c>
      <c r="B106" s="11" t="s">
        <v>587</v>
      </c>
      <c r="C106" s="12">
        <v>609.0</v>
      </c>
      <c r="D106" s="10">
        <v>272.0</v>
      </c>
      <c r="E106" s="13">
        <v>90.0</v>
      </c>
      <c r="F106" s="14">
        <v>-0.018</v>
      </c>
      <c r="G106" s="15">
        <v>112.0</v>
      </c>
      <c r="H106" s="15">
        <v>111.0</v>
      </c>
      <c r="I106" s="15">
        <v>97.0</v>
      </c>
      <c r="J106" s="15">
        <v>112.0</v>
      </c>
      <c r="K106" s="15">
        <v>80.0</v>
      </c>
      <c r="L106" s="15">
        <v>116.0</v>
      </c>
      <c r="M106" s="15">
        <v>110.0</v>
      </c>
      <c r="N106" s="15">
        <v>101.0</v>
      </c>
    </row>
    <row r="107">
      <c r="A107" s="10">
        <v>608070.0</v>
      </c>
      <c r="B107" s="11" t="s">
        <v>171</v>
      </c>
      <c r="C107" s="12">
        <v>2588.0</v>
      </c>
      <c r="D107" s="10">
        <v>1207.0</v>
      </c>
      <c r="E107" s="13">
        <v>539.0</v>
      </c>
      <c r="F107" s="14">
        <v>0.017</v>
      </c>
      <c r="G107" s="15">
        <v>104.0</v>
      </c>
      <c r="H107" s="15">
        <v>91.0</v>
      </c>
      <c r="I107" s="15">
        <v>117.0</v>
      </c>
      <c r="J107" s="15">
        <v>86.0</v>
      </c>
      <c r="K107" s="15">
        <v>128.0</v>
      </c>
      <c r="L107" s="15">
        <v>98.0</v>
      </c>
      <c r="M107" s="15">
        <v>110.0</v>
      </c>
      <c r="N107" s="15">
        <v>109.0</v>
      </c>
    </row>
    <row r="108">
      <c r="A108" s="10">
        <v>571912.0</v>
      </c>
      <c r="B108" s="11" t="s">
        <v>552</v>
      </c>
      <c r="C108" s="12">
        <v>762.0</v>
      </c>
      <c r="D108" s="10">
        <v>341.0</v>
      </c>
      <c r="E108" s="13">
        <v>131.0</v>
      </c>
      <c r="F108" s="14">
        <v>-0.036</v>
      </c>
      <c r="G108" s="15">
        <v>104.0</v>
      </c>
      <c r="H108" s="15">
        <v>118.0</v>
      </c>
      <c r="I108" s="15">
        <v>108.0</v>
      </c>
      <c r="J108" s="15">
        <v>114.0</v>
      </c>
      <c r="K108" s="15">
        <v>89.0</v>
      </c>
      <c r="L108" s="15">
        <v>105.0</v>
      </c>
      <c r="M108" s="15">
        <v>109.0</v>
      </c>
      <c r="N108" s="15">
        <v>101.0</v>
      </c>
    </row>
    <row r="109">
      <c r="A109" s="10">
        <v>661388.0</v>
      </c>
      <c r="B109" s="11" t="s">
        <v>155</v>
      </c>
      <c r="C109" s="12">
        <v>2403.0</v>
      </c>
      <c r="D109" s="10">
        <v>1038.0</v>
      </c>
      <c r="E109" s="13">
        <v>415.0</v>
      </c>
      <c r="F109" s="14">
        <v>-0.047</v>
      </c>
      <c r="G109" s="15">
        <v>100.0</v>
      </c>
      <c r="H109" s="15">
        <v>111.0</v>
      </c>
      <c r="I109" s="15">
        <v>96.0</v>
      </c>
      <c r="J109" s="15">
        <v>112.0</v>
      </c>
      <c r="K109" s="15">
        <v>100.0</v>
      </c>
      <c r="L109" s="15">
        <v>103.0</v>
      </c>
      <c r="M109" s="15">
        <v>109.0</v>
      </c>
      <c r="N109" s="15">
        <v>116.0</v>
      </c>
    </row>
    <row r="110">
      <c r="A110" s="10">
        <v>660821.0</v>
      </c>
      <c r="B110" s="11" t="s">
        <v>128</v>
      </c>
      <c r="C110" s="12">
        <v>1635.0</v>
      </c>
      <c r="D110" s="10">
        <v>801.0</v>
      </c>
      <c r="E110" s="13">
        <v>252.0</v>
      </c>
      <c r="F110" s="14">
        <v>0.014</v>
      </c>
      <c r="G110" s="15">
        <v>96.0</v>
      </c>
      <c r="H110" s="15">
        <v>84.0</v>
      </c>
      <c r="I110" s="15">
        <v>104.0</v>
      </c>
      <c r="J110" s="15">
        <v>84.0</v>
      </c>
      <c r="K110" s="15">
        <v>96.0</v>
      </c>
      <c r="L110" s="15">
        <v>120.0</v>
      </c>
      <c r="M110" s="15">
        <v>109.0</v>
      </c>
      <c r="N110" s="15">
        <v>103.0</v>
      </c>
    </row>
    <row r="111">
      <c r="A111" s="10">
        <v>518934.0</v>
      </c>
      <c r="B111" s="11" t="s">
        <v>258</v>
      </c>
      <c r="C111" s="12">
        <v>2227.0</v>
      </c>
      <c r="D111" s="10">
        <v>874.0</v>
      </c>
      <c r="E111" s="13">
        <v>369.0</v>
      </c>
      <c r="F111" s="14">
        <v>-0.099</v>
      </c>
      <c r="G111" s="15">
        <v>77.0</v>
      </c>
      <c r="H111" s="15">
        <v>107.0</v>
      </c>
      <c r="I111" s="15">
        <v>77.0</v>
      </c>
      <c r="J111" s="15">
        <v>116.0</v>
      </c>
      <c r="K111" s="15">
        <v>107.0</v>
      </c>
      <c r="L111" s="15">
        <v>102.0</v>
      </c>
      <c r="M111" s="15">
        <v>109.0</v>
      </c>
      <c r="N111" s="15">
        <v>106.0</v>
      </c>
    </row>
    <row r="112">
      <c r="A112" s="10">
        <v>656976.0</v>
      </c>
      <c r="B112" s="11" t="s">
        <v>199</v>
      </c>
      <c r="C112" s="12">
        <v>913.0</v>
      </c>
      <c r="D112" s="10">
        <v>368.0</v>
      </c>
      <c r="E112" s="13">
        <v>144.0</v>
      </c>
      <c r="F112" s="14">
        <v>-0.055</v>
      </c>
      <c r="G112" s="15">
        <v>99.0</v>
      </c>
      <c r="H112" s="15">
        <v>114.0</v>
      </c>
      <c r="I112" s="15">
        <v>101.0</v>
      </c>
      <c r="J112" s="15">
        <v>113.0</v>
      </c>
      <c r="K112" s="15">
        <v>114.0</v>
      </c>
      <c r="L112" s="15">
        <v>94.0</v>
      </c>
      <c r="M112" s="15">
        <v>109.0</v>
      </c>
      <c r="N112" s="15">
        <v>89.0</v>
      </c>
    </row>
    <row r="113">
      <c r="A113" s="10">
        <v>680777.0</v>
      </c>
      <c r="B113" s="11" t="s">
        <v>72</v>
      </c>
      <c r="C113" s="12">
        <v>1305.0</v>
      </c>
      <c r="D113" s="10">
        <v>588.0</v>
      </c>
      <c r="E113" s="13">
        <v>196.0</v>
      </c>
      <c r="F113" s="14">
        <v>-0.024</v>
      </c>
      <c r="G113" s="15">
        <v>88.0</v>
      </c>
      <c r="H113" s="15">
        <v>87.0</v>
      </c>
      <c r="I113" s="15">
        <v>64.0</v>
      </c>
      <c r="J113" s="15">
        <v>100.0</v>
      </c>
      <c r="K113" s="15">
        <v>98.0</v>
      </c>
      <c r="L113" s="15">
        <v>117.0</v>
      </c>
      <c r="M113" s="15">
        <v>109.0</v>
      </c>
      <c r="N113" s="15">
        <v>118.0</v>
      </c>
    </row>
    <row r="114">
      <c r="A114" s="10">
        <v>573262.0</v>
      </c>
      <c r="B114" s="11" t="s">
        <v>267</v>
      </c>
      <c r="C114" s="12">
        <v>1543.0</v>
      </c>
      <c r="D114" s="10">
        <v>636.0</v>
      </c>
      <c r="E114" s="13">
        <v>229.0</v>
      </c>
      <c r="F114" s="14">
        <v>-0.073</v>
      </c>
      <c r="G114" s="15">
        <v>106.0</v>
      </c>
      <c r="H114" s="15">
        <v>110.0</v>
      </c>
      <c r="I114" s="15">
        <v>83.0</v>
      </c>
      <c r="J114" s="15">
        <v>116.0</v>
      </c>
      <c r="K114" s="15">
        <v>91.0</v>
      </c>
      <c r="L114" s="15">
        <v>108.0</v>
      </c>
      <c r="M114" s="15">
        <v>109.0</v>
      </c>
      <c r="N114" s="15">
        <v>105.0</v>
      </c>
    </row>
    <row r="115">
      <c r="A115" s="10">
        <v>666023.0</v>
      </c>
      <c r="B115" s="11" t="s">
        <v>300</v>
      </c>
      <c r="C115" s="12">
        <v>913.0</v>
      </c>
      <c r="D115" s="10">
        <v>498.0</v>
      </c>
      <c r="E115" s="13">
        <v>169.0</v>
      </c>
      <c r="F115" s="14">
        <v>0.054</v>
      </c>
      <c r="G115" s="15">
        <v>128.0</v>
      </c>
      <c r="H115" s="15">
        <v>111.0</v>
      </c>
      <c r="I115" s="15">
        <v>132.0</v>
      </c>
      <c r="J115" s="15">
        <v>99.0</v>
      </c>
      <c r="K115" s="15">
        <v>95.0</v>
      </c>
      <c r="L115" s="15">
        <v>105.0</v>
      </c>
      <c r="M115" s="15">
        <v>109.0</v>
      </c>
      <c r="N115" s="15">
        <v>107.0</v>
      </c>
    </row>
    <row r="116">
      <c r="A116" s="10">
        <v>621493.0</v>
      </c>
      <c r="B116" s="11" t="s">
        <v>83</v>
      </c>
      <c r="C116" s="12">
        <v>1618.0</v>
      </c>
      <c r="D116" s="10">
        <v>718.0</v>
      </c>
      <c r="E116" s="13">
        <v>280.0</v>
      </c>
      <c r="F116" s="14">
        <v>-0.047</v>
      </c>
      <c r="G116" s="15">
        <v>113.0</v>
      </c>
      <c r="H116" s="15">
        <v>117.0</v>
      </c>
      <c r="I116" s="15">
        <v>100.0</v>
      </c>
      <c r="J116" s="15">
        <v>116.0</v>
      </c>
      <c r="K116" s="15">
        <v>110.0</v>
      </c>
      <c r="L116" s="15">
        <v>95.0</v>
      </c>
      <c r="M116" s="15">
        <v>109.0</v>
      </c>
      <c r="N116" s="15">
        <v>110.0</v>
      </c>
    </row>
    <row r="117">
      <c r="A117" s="10">
        <v>518595.0</v>
      </c>
      <c r="B117" s="11" t="s">
        <v>223</v>
      </c>
      <c r="C117" s="12">
        <v>1096.0</v>
      </c>
      <c r="D117" s="10">
        <v>567.0</v>
      </c>
      <c r="E117" s="13">
        <v>197.0</v>
      </c>
      <c r="F117" s="14">
        <v>0.02</v>
      </c>
      <c r="G117" s="15">
        <v>125.0</v>
      </c>
      <c r="H117" s="15">
        <v>110.0</v>
      </c>
      <c r="I117" s="15">
        <v>114.0</v>
      </c>
      <c r="J117" s="15">
        <v>104.0</v>
      </c>
      <c r="K117" s="15">
        <v>89.0</v>
      </c>
      <c r="L117" s="15">
        <v>109.0</v>
      </c>
      <c r="M117" s="15">
        <v>109.0</v>
      </c>
      <c r="N117" s="15">
        <v>94.0</v>
      </c>
    </row>
    <row r="118">
      <c r="A118" s="10">
        <v>683734.0</v>
      </c>
      <c r="B118" s="11" t="s">
        <v>107</v>
      </c>
      <c r="C118" s="12">
        <v>2293.0</v>
      </c>
      <c r="D118" s="10">
        <v>1090.0</v>
      </c>
      <c r="E118" s="13">
        <v>435.0</v>
      </c>
      <c r="F118" s="14">
        <v>0.006</v>
      </c>
      <c r="G118" s="15">
        <v>86.0</v>
      </c>
      <c r="H118" s="15">
        <v>94.0</v>
      </c>
      <c r="I118" s="15">
        <v>106.0</v>
      </c>
      <c r="J118" s="15">
        <v>93.0</v>
      </c>
      <c r="K118" s="15">
        <v>104.0</v>
      </c>
      <c r="L118" s="15">
        <v>108.0</v>
      </c>
      <c r="M118" s="15">
        <v>109.0</v>
      </c>
      <c r="N118" s="15">
        <v>106.0</v>
      </c>
    </row>
    <row r="119">
      <c r="A119" s="10">
        <v>643376.0</v>
      </c>
      <c r="B119" s="11" t="s">
        <v>196</v>
      </c>
      <c r="C119" s="12">
        <v>1172.0</v>
      </c>
      <c r="D119" s="10">
        <v>548.0</v>
      </c>
      <c r="E119" s="13">
        <v>204.0</v>
      </c>
      <c r="F119" s="14">
        <v>-0.002</v>
      </c>
      <c r="G119" s="15">
        <v>120.0</v>
      </c>
      <c r="H119" s="15">
        <v>122.0</v>
      </c>
      <c r="I119" s="15">
        <v>118.0</v>
      </c>
      <c r="J119" s="15">
        <v>115.0</v>
      </c>
      <c r="K119" s="15">
        <v>95.0</v>
      </c>
      <c r="L119" s="15">
        <v>100.0</v>
      </c>
      <c r="M119" s="15">
        <v>109.0</v>
      </c>
      <c r="N119" s="15">
        <v>114.0</v>
      </c>
    </row>
    <row r="120">
      <c r="A120" s="10">
        <v>543807.0</v>
      </c>
      <c r="B120" s="11" t="s">
        <v>24</v>
      </c>
      <c r="C120" s="12">
        <v>2496.0</v>
      </c>
      <c r="D120" s="10">
        <v>1229.0</v>
      </c>
      <c r="E120" s="13">
        <v>487.0</v>
      </c>
      <c r="F120" s="14">
        <v>-0.012</v>
      </c>
      <c r="G120" s="15">
        <v>127.0</v>
      </c>
      <c r="H120" s="15">
        <v>123.0</v>
      </c>
      <c r="I120" s="15">
        <v>110.0</v>
      </c>
      <c r="J120" s="15">
        <v>119.0</v>
      </c>
      <c r="K120" s="15">
        <v>107.0</v>
      </c>
      <c r="L120" s="15">
        <v>94.0</v>
      </c>
      <c r="M120" s="15">
        <v>109.0</v>
      </c>
      <c r="N120" s="15">
        <v>106.0</v>
      </c>
    </row>
    <row r="121">
      <c r="A121" s="10">
        <v>681481.0</v>
      </c>
      <c r="B121" s="11" t="s">
        <v>114</v>
      </c>
      <c r="C121" s="12">
        <v>1731.0</v>
      </c>
      <c r="D121" s="10">
        <v>906.0</v>
      </c>
      <c r="E121" s="13">
        <v>300.0</v>
      </c>
      <c r="F121" s="14">
        <v>0.055</v>
      </c>
      <c r="G121" s="15">
        <v>96.0</v>
      </c>
      <c r="H121" s="15">
        <v>88.0</v>
      </c>
      <c r="I121" s="15">
        <v>105.0</v>
      </c>
      <c r="J121" s="15">
        <v>86.0</v>
      </c>
      <c r="K121" s="15">
        <v>96.0</v>
      </c>
      <c r="L121" s="15">
        <v>116.0</v>
      </c>
      <c r="M121" s="15">
        <v>109.0</v>
      </c>
      <c r="N121" s="15">
        <v>114.0</v>
      </c>
    </row>
    <row r="122">
      <c r="A122" s="10">
        <v>621550.0</v>
      </c>
      <c r="B122" s="11" t="s">
        <v>516</v>
      </c>
      <c r="C122" s="12">
        <v>1309.0</v>
      </c>
      <c r="D122" s="10">
        <v>609.0</v>
      </c>
      <c r="E122" s="13">
        <v>158.0</v>
      </c>
      <c r="F122" s="14">
        <v>-0.031</v>
      </c>
      <c r="G122" s="15">
        <v>118.0</v>
      </c>
      <c r="H122" s="15">
        <v>107.0</v>
      </c>
      <c r="I122" s="15">
        <v>90.0</v>
      </c>
      <c r="J122" s="15">
        <v>110.0</v>
      </c>
      <c r="K122" s="15">
        <v>67.0</v>
      </c>
      <c r="L122" s="15">
        <v>130.0</v>
      </c>
      <c r="M122" s="15">
        <v>109.0</v>
      </c>
      <c r="N122" s="15">
        <v>106.0</v>
      </c>
    </row>
    <row r="123">
      <c r="A123" s="10">
        <v>657041.0</v>
      </c>
      <c r="B123" s="11" t="s">
        <v>367</v>
      </c>
      <c r="C123" s="12">
        <v>2597.0</v>
      </c>
      <c r="D123" s="10">
        <v>1130.0</v>
      </c>
      <c r="E123" s="13">
        <v>451.0</v>
      </c>
      <c r="F123" s="14">
        <v>-0.045</v>
      </c>
      <c r="G123" s="15">
        <v>94.0</v>
      </c>
      <c r="H123" s="15">
        <v>97.0</v>
      </c>
      <c r="I123" s="15">
        <v>79.0</v>
      </c>
      <c r="J123" s="15">
        <v>104.0</v>
      </c>
      <c r="K123" s="15">
        <v>99.0</v>
      </c>
      <c r="L123" s="15">
        <v>109.0</v>
      </c>
      <c r="M123" s="15">
        <v>108.0</v>
      </c>
      <c r="N123" s="15">
        <v>115.0</v>
      </c>
    </row>
    <row r="124">
      <c r="A124" s="10">
        <v>666139.0</v>
      </c>
      <c r="B124" s="11" t="s">
        <v>142</v>
      </c>
      <c r="C124" s="12">
        <v>1987.0</v>
      </c>
      <c r="D124" s="10">
        <v>1059.0</v>
      </c>
      <c r="E124" s="13">
        <v>342.0</v>
      </c>
      <c r="F124" s="14">
        <v>0.056</v>
      </c>
      <c r="G124" s="15">
        <v>98.0</v>
      </c>
      <c r="H124" s="15">
        <v>87.0</v>
      </c>
      <c r="I124" s="15">
        <v>117.0</v>
      </c>
      <c r="J124" s="15">
        <v>82.0</v>
      </c>
      <c r="K124" s="15">
        <v>107.0</v>
      </c>
      <c r="L124" s="15">
        <v>109.0</v>
      </c>
      <c r="M124" s="15">
        <v>108.0</v>
      </c>
      <c r="N124" s="15">
        <v>115.0</v>
      </c>
    </row>
    <row r="125">
      <c r="A125" s="10">
        <v>664238.0</v>
      </c>
      <c r="B125" s="11" t="s">
        <v>314</v>
      </c>
      <c r="C125" s="12">
        <v>675.0</v>
      </c>
      <c r="D125" s="10">
        <v>312.0</v>
      </c>
      <c r="E125" s="13">
        <v>89.0</v>
      </c>
      <c r="F125" s="14">
        <v>-0.058</v>
      </c>
      <c r="G125" s="15">
        <v>94.0</v>
      </c>
      <c r="H125" s="15">
        <v>108.0</v>
      </c>
      <c r="I125" s="15">
        <v>83.0</v>
      </c>
      <c r="J125" s="15">
        <v>114.0</v>
      </c>
      <c r="K125" s="15">
        <v>81.0</v>
      </c>
      <c r="L125" s="15">
        <v>117.0</v>
      </c>
      <c r="M125" s="15">
        <v>108.0</v>
      </c>
      <c r="N125" s="15">
        <v>106.0</v>
      </c>
    </row>
    <row r="126">
      <c r="A126" s="10">
        <v>664023.0</v>
      </c>
      <c r="B126" s="11" t="s">
        <v>187</v>
      </c>
      <c r="C126" s="12">
        <v>2795.0</v>
      </c>
      <c r="D126" s="10">
        <v>1243.0</v>
      </c>
      <c r="E126" s="13">
        <v>426.0</v>
      </c>
      <c r="F126" s="14">
        <v>-0.033</v>
      </c>
      <c r="G126" s="15">
        <v>114.0</v>
      </c>
      <c r="H126" s="15">
        <v>116.0</v>
      </c>
      <c r="I126" s="15">
        <v>95.0</v>
      </c>
      <c r="J126" s="15">
        <v>117.0</v>
      </c>
      <c r="K126" s="15">
        <v>98.0</v>
      </c>
      <c r="L126" s="15">
        <v>101.0</v>
      </c>
      <c r="M126" s="15">
        <v>108.0</v>
      </c>
      <c r="N126" s="15">
        <v>109.0</v>
      </c>
    </row>
    <row r="127">
      <c r="A127" s="10">
        <v>665839.0</v>
      </c>
      <c r="B127" s="11" t="s">
        <v>455</v>
      </c>
      <c r="C127" s="12">
        <v>596.0</v>
      </c>
      <c r="D127" s="10">
        <v>256.0</v>
      </c>
      <c r="E127" s="13">
        <v>96.0</v>
      </c>
      <c r="F127" s="14">
        <v>-0.014</v>
      </c>
      <c r="G127" s="15">
        <v>83.0</v>
      </c>
      <c r="H127" s="15">
        <v>88.0</v>
      </c>
      <c r="I127" s="15">
        <v>96.0</v>
      </c>
      <c r="J127" s="15">
        <v>90.0</v>
      </c>
      <c r="K127" s="15">
        <v>104.0</v>
      </c>
      <c r="L127" s="15">
        <v>111.0</v>
      </c>
      <c r="M127" s="15">
        <v>108.0</v>
      </c>
      <c r="N127" s="15">
        <v>111.0</v>
      </c>
    </row>
    <row r="128">
      <c r="A128" s="10">
        <v>656448.0</v>
      </c>
      <c r="B128" s="11" t="s">
        <v>588</v>
      </c>
      <c r="C128" s="12">
        <v>1023.0</v>
      </c>
      <c r="D128" s="10">
        <v>541.0</v>
      </c>
      <c r="E128" s="13">
        <v>157.0</v>
      </c>
      <c r="F128" s="14">
        <v>0.043</v>
      </c>
      <c r="G128" s="15">
        <v>108.0</v>
      </c>
      <c r="H128" s="15">
        <v>98.0</v>
      </c>
      <c r="I128" s="15">
        <v>101.0</v>
      </c>
      <c r="J128" s="15">
        <v>97.0</v>
      </c>
      <c r="K128" s="15">
        <v>90.0</v>
      </c>
      <c r="L128" s="15">
        <v>115.0</v>
      </c>
      <c r="M128" s="15">
        <v>108.0</v>
      </c>
      <c r="N128" s="15">
        <v>110.0</v>
      </c>
    </row>
    <row r="129">
      <c r="A129" s="10">
        <v>663993.0</v>
      </c>
      <c r="B129" s="11" t="s">
        <v>232</v>
      </c>
      <c r="C129" s="12">
        <v>3002.0</v>
      </c>
      <c r="D129" s="10">
        <v>1308.0</v>
      </c>
      <c r="E129" s="13">
        <v>449.0</v>
      </c>
      <c r="F129" s="14">
        <v>-0.046</v>
      </c>
      <c r="G129" s="15">
        <v>111.0</v>
      </c>
      <c r="H129" s="15">
        <v>112.0</v>
      </c>
      <c r="I129" s="15">
        <v>94.0</v>
      </c>
      <c r="J129" s="15">
        <v>113.0</v>
      </c>
      <c r="K129" s="15">
        <v>99.0</v>
      </c>
      <c r="L129" s="15">
        <v>102.0</v>
      </c>
      <c r="M129" s="15">
        <v>108.0</v>
      </c>
      <c r="N129" s="15">
        <v>109.0</v>
      </c>
    </row>
    <row r="130">
      <c r="A130" s="10">
        <v>628451.0</v>
      </c>
      <c r="B130" s="11" t="s">
        <v>537</v>
      </c>
      <c r="C130" s="12">
        <v>1364.0</v>
      </c>
      <c r="D130" s="10">
        <v>707.0</v>
      </c>
      <c r="E130" s="13">
        <v>287.0</v>
      </c>
      <c r="F130" s="14">
        <v>0.043</v>
      </c>
      <c r="G130" s="15">
        <v>101.0</v>
      </c>
      <c r="H130" s="15">
        <v>108.0</v>
      </c>
      <c r="I130" s="15">
        <v>122.0</v>
      </c>
      <c r="J130" s="15">
        <v>100.0</v>
      </c>
      <c r="K130" s="15">
        <v>105.0</v>
      </c>
      <c r="L130" s="15">
        <v>100.0</v>
      </c>
      <c r="M130" s="15">
        <v>108.0</v>
      </c>
      <c r="N130" s="15">
        <v>105.0</v>
      </c>
    </row>
    <row r="131">
      <c r="A131" s="10">
        <v>666971.0</v>
      </c>
      <c r="B131" s="11" t="s">
        <v>213</v>
      </c>
      <c r="C131" s="12">
        <v>2193.0</v>
      </c>
      <c r="D131" s="10">
        <v>1079.0</v>
      </c>
      <c r="E131" s="13">
        <v>444.0</v>
      </c>
      <c r="F131" s="14">
        <v>-0.005</v>
      </c>
      <c r="G131" s="15">
        <v>98.0</v>
      </c>
      <c r="H131" s="15">
        <v>102.0</v>
      </c>
      <c r="I131" s="15">
        <v>112.0</v>
      </c>
      <c r="J131" s="15">
        <v>98.0</v>
      </c>
      <c r="K131" s="15">
        <v>114.0</v>
      </c>
      <c r="L131" s="15">
        <v>98.0</v>
      </c>
      <c r="M131" s="15">
        <v>108.0</v>
      </c>
      <c r="N131" s="15">
        <v>110.0</v>
      </c>
    </row>
    <row r="132">
      <c r="A132" s="10">
        <v>519317.0</v>
      </c>
      <c r="B132" s="11" t="s">
        <v>446</v>
      </c>
      <c r="C132" s="12">
        <v>1705.0</v>
      </c>
      <c r="D132" s="10">
        <v>729.0</v>
      </c>
      <c r="E132" s="13">
        <v>246.0</v>
      </c>
      <c r="F132" s="14">
        <v>-0.068</v>
      </c>
      <c r="G132" s="15">
        <v>89.0</v>
      </c>
      <c r="H132" s="15">
        <v>98.0</v>
      </c>
      <c r="I132" s="15">
        <v>84.0</v>
      </c>
      <c r="J132" s="15">
        <v>103.0</v>
      </c>
      <c r="K132" s="15">
        <v>92.0</v>
      </c>
      <c r="L132" s="15">
        <v>113.0</v>
      </c>
      <c r="M132" s="15">
        <v>108.0</v>
      </c>
      <c r="N132" s="15">
        <v>97.0</v>
      </c>
    </row>
    <row r="133">
      <c r="A133" s="10">
        <v>572233.0</v>
      </c>
      <c r="B133" s="11" t="s">
        <v>214</v>
      </c>
      <c r="C133" s="12">
        <v>2651.0</v>
      </c>
      <c r="D133" s="10">
        <v>1286.0</v>
      </c>
      <c r="E133" s="13">
        <v>460.0</v>
      </c>
      <c r="F133" s="14">
        <v>0.005</v>
      </c>
      <c r="G133" s="15">
        <v>117.0</v>
      </c>
      <c r="H133" s="15">
        <v>110.0</v>
      </c>
      <c r="I133" s="15">
        <v>112.0</v>
      </c>
      <c r="J133" s="15">
        <v>105.0</v>
      </c>
      <c r="K133" s="15">
        <v>98.0</v>
      </c>
      <c r="L133" s="15">
        <v>103.0</v>
      </c>
      <c r="M133" s="15">
        <v>107.0</v>
      </c>
      <c r="N133" s="15">
        <v>115.0</v>
      </c>
    </row>
    <row r="134">
      <c r="A134" s="10">
        <v>641857.0</v>
      </c>
      <c r="B134" s="11" t="s">
        <v>201</v>
      </c>
      <c r="C134" s="12">
        <v>2714.0</v>
      </c>
      <c r="D134" s="10">
        <v>1287.0</v>
      </c>
      <c r="E134" s="13">
        <v>356.0</v>
      </c>
      <c r="F134" s="14">
        <v>-0.02</v>
      </c>
      <c r="G134" s="15">
        <v>106.0</v>
      </c>
      <c r="H134" s="15">
        <v>107.0</v>
      </c>
      <c r="I134" s="15">
        <v>104.0</v>
      </c>
      <c r="J134" s="15">
        <v>105.0</v>
      </c>
      <c r="K134" s="15">
        <v>75.0</v>
      </c>
      <c r="L134" s="15">
        <v>121.0</v>
      </c>
      <c r="M134" s="15">
        <v>107.0</v>
      </c>
      <c r="N134" s="15">
        <v>104.0</v>
      </c>
    </row>
    <row r="135">
      <c r="A135" s="10">
        <v>680869.0</v>
      </c>
      <c r="B135" s="11" t="s">
        <v>524</v>
      </c>
      <c r="C135" s="12">
        <v>1148.0</v>
      </c>
      <c r="D135" s="10">
        <v>578.0</v>
      </c>
      <c r="E135" s="13">
        <v>188.0</v>
      </c>
      <c r="F135" s="14">
        <v>0.007</v>
      </c>
      <c r="G135" s="15">
        <v>111.0</v>
      </c>
      <c r="H135" s="15">
        <v>110.0</v>
      </c>
      <c r="I135" s="15">
        <v>113.0</v>
      </c>
      <c r="J135" s="15">
        <v>105.0</v>
      </c>
      <c r="K135" s="15">
        <v>80.0</v>
      </c>
      <c r="L135" s="15">
        <v>114.0</v>
      </c>
      <c r="M135" s="15">
        <v>107.0</v>
      </c>
      <c r="N135" s="15">
        <v>120.0</v>
      </c>
    </row>
    <row r="136">
      <c r="A136" s="10">
        <v>669004.0</v>
      </c>
      <c r="B136" s="11" t="s">
        <v>454</v>
      </c>
      <c r="C136" s="12">
        <v>2404.0</v>
      </c>
      <c r="D136" s="10">
        <v>1152.0</v>
      </c>
      <c r="E136" s="13">
        <v>362.0</v>
      </c>
      <c r="F136" s="14">
        <v>0.009</v>
      </c>
      <c r="G136" s="15">
        <v>111.0</v>
      </c>
      <c r="H136" s="15">
        <v>106.0</v>
      </c>
      <c r="I136" s="15">
        <v>107.0</v>
      </c>
      <c r="J136" s="15">
        <v>103.0</v>
      </c>
      <c r="K136" s="15">
        <v>86.0</v>
      </c>
      <c r="L136" s="15">
        <v>113.0</v>
      </c>
      <c r="M136" s="15">
        <v>107.0</v>
      </c>
      <c r="N136" s="15">
        <v>99.0</v>
      </c>
    </row>
    <row r="137">
      <c r="A137" s="10">
        <v>666624.0</v>
      </c>
      <c r="B137" s="11" t="s">
        <v>228</v>
      </c>
      <c r="C137" s="12">
        <v>1611.0</v>
      </c>
      <c r="D137" s="10">
        <v>805.0</v>
      </c>
      <c r="E137" s="13">
        <v>250.0</v>
      </c>
      <c r="F137" s="14">
        <v>0.01</v>
      </c>
      <c r="G137" s="15">
        <v>112.0</v>
      </c>
      <c r="H137" s="15">
        <v>101.0</v>
      </c>
      <c r="I137" s="15">
        <v>91.0</v>
      </c>
      <c r="J137" s="15">
        <v>105.0</v>
      </c>
      <c r="K137" s="15">
        <v>84.0</v>
      </c>
      <c r="L137" s="15">
        <v>116.0</v>
      </c>
      <c r="M137" s="15">
        <v>107.0</v>
      </c>
      <c r="N137" s="15">
        <v>113.0</v>
      </c>
    </row>
    <row r="138">
      <c r="A138" s="10">
        <v>543760.0</v>
      </c>
      <c r="B138" s="11" t="s">
        <v>152</v>
      </c>
      <c r="C138" s="12">
        <v>2768.0</v>
      </c>
      <c r="D138" s="10">
        <v>1306.0</v>
      </c>
      <c r="E138" s="13">
        <v>560.0</v>
      </c>
      <c r="F138" s="14">
        <v>-0.002</v>
      </c>
      <c r="G138" s="15">
        <v>134.0</v>
      </c>
      <c r="H138" s="15">
        <v>127.0</v>
      </c>
      <c r="I138" s="15">
        <v>124.0</v>
      </c>
      <c r="J138" s="15">
        <v>117.0</v>
      </c>
      <c r="K138" s="15">
        <v>113.0</v>
      </c>
      <c r="L138" s="15">
        <v>88.0</v>
      </c>
      <c r="M138" s="15">
        <v>107.0</v>
      </c>
      <c r="N138" s="15">
        <v>118.0</v>
      </c>
    </row>
    <row r="139">
      <c r="A139" s="10">
        <v>671289.0</v>
      </c>
      <c r="B139" s="11" t="s">
        <v>130</v>
      </c>
      <c r="C139" s="12">
        <v>634.0</v>
      </c>
      <c r="D139" s="10">
        <v>303.0</v>
      </c>
      <c r="E139" s="13">
        <v>126.0</v>
      </c>
      <c r="F139" s="14">
        <v>-0.006</v>
      </c>
      <c r="G139" s="15">
        <v>97.0</v>
      </c>
      <c r="H139" s="15">
        <v>106.0</v>
      </c>
      <c r="I139" s="15">
        <v>112.0</v>
      </c>
      <c r="J139" s="15">
        <v>101.0</v>
      </c>
      <c r="K139" s="15">
        <v>114.0</v>
      </c>
      <c r="L139" s="15">
        <v>96.0</v>
      </c>
      <c r="M139" s="15">
        <v>107.0</v>
      </c>
      <c r="N139" s="15">
        <v>97.0</v>
      </c>
    </row>
    <row r="140">
      <c r="A140" s="10">
        <v>596019.0</v>
      </c>
      <c r="B140" s="11" t="s">
        <v>167</v>
      </c>
      <c r="C140" s="12">
        <v>2697.0</v>
      </c>
      <c r="D140" s="10">
        <v>1295.0</v>
      </c>
      <c r="E140" s="13">
        <v>459.0</v>
      </c>
      <c r="F140" s="14">
        <v>0.012</v>
      </c>
      <c r="G140" s="15">
        <v>107.0</v>
      </c>
      <c r="H140" s="15">
        <v>100.0</v>
      </c>
      <c r="I140" s="15">
        <v>114.0</v>
      </c>
      <c r="J140" s="15">
        <v>95.0</v>
      </c>
      <c r="K140" s="15">
        <v>102.0</v>
      </c>
      <c r="L140" s="15">
        <v>105.0</v>
      </c>
      <c r="M140" s="15">
        <v>107.0</v>
      </c>
      <c r="N140" s="15">
        <v>107.0</v>
      </c>
    </row>
    <row r="141">
      <c r="A141" s="10">
        <v>642136.0</v>
      </c>
      <c r="B141" s="11" t="s">
        <v>319</v>
      </c>
      <c r="C141" s="12">
        <v>1230.0</v>
      </c>
      <c r="D141" s="10">
        <v>564.0</v>
      </c>
      <c r="E141" s="13">
        <v>179.0</v>
      </c>
      <c r="F141" s="14">
        <v>-0.026</v>
      </c>
      <c r="G141" s="15">
        <v>130.0</v>
      </c>
      <c r="H141" s="15">
        <v>126.0</v>
      </c>
      <c r="I141" s="15">
        <v>113.0</v>
      </c>
      <c r="J141" s="15">
        <v>120.0</v>
      </c>
      <c r="K141" s="15">
        <v>78.0</v>
      </c>
      <c r="L141" s="15">
        <v>106.0</v>
      </c>
      <c r="M141" s="15">
        <v>107.0</v>
      </c>
      <c r="N141" s="15">
        <v>96.0</v>
      </c>
    </row>
    <row r="142">
      <c r="A142" s="10">
        <v>656896.0</v>
      </c>
      <c r="B142" s="11" t="s">
        <v>471</v>
      </c>
      <c r="C142" s="12">
        <v>1124.0</v>
      </c>
      <c r="D142" s="10">
        <v>526.0</v>
      </c>
      <c r="E142" s="13">
        <v>205.0</v>
      </c>
      <c r="F142" s="14">
        <v>-0.014</v>
      </c>
      <c r="G142" s="15">
        <v>110.0</v>
      </c>
      <c r="H142" s="15">
        <v>115.0</v>
      </c>
      <c r="I142" s="15">
        <v>113.0</v>
      </c>
      <c r="J142" s="15">
        <v>109.0</v>
      </c>
      <c r="K142" s="15">
        <v>105.0</v>
      </c>
      <c r="L142" s="15">
        <v>96.0</v>
      </c>
      <c r="M142" s="15">
        <v>107.0</v>
      </c>
      <c r="N142" s="15">
        <v>96.0</v>
      </c>
    </row>
    <row r="143">
      <c r="A143" s="10">
        <v>807799.0</v>
      </c>
      <c r="B143" s="11" t="s">
        <v>465</v>
      </c>
      <c r="C143" s="12">
        <v>2176.0</v>
      </c>
      <c r="D143" s="10">
        <v>945.0</v>
      </c>
      <c r="E143" s="13">
        <v>454.0</v>
      </c>
      <c r="F143" s="14">
        <v>-0.038</v>
      </c>
      <c r="G143" s="15">
        <v>85.0</v>
      </c>
      <c r="H143" s="15">
        <v>97.0</v>
      </c>
      <c r="I143" s="15">
        <v>95.0</v>
      </c>
      <c r="J143" s="15">
        <v>99.0</v>
      </c>
      <c r="K143" s="15">
        <v>128.0</v>
      </c>
      <c r="L143" s="15">
        <v>95.0</v>
      </c>
      <c r="M143" s="15">
        <v>107.0</v>
      </c>
      <c r="N143" s="15">
        <v>115.0</v>
      </c>
    </row>
    <row r="144">
      <c r="A144" s="10">
        <v>677594.0</v>
      </c>
      <c r="B144" s="11" t="s">
        <v>179</v>
      </c>
      <c r="C144" s="12">
        <v>2492.0</v>
      </c>
      <c r="D144" s="10">
        <v>1342.0</v>
      </c>
      <c r="E144" s="13">
        <v>473.0</v>
      </c>
      <c r="F144" s="14">
        <v>0.069</v>
      </c>
      <c r="G144" s="15">
        <v>95.0</v>
      </c>
      <c r="H144" s="15">
        <v>79.0</v>
      </c>
      <c r="I144" s="15">
        <v>95.0</v>
      </c>
      <c r="J144" s="15">
        <v>82.0</v>
      </c>
      <c r="K144" s="15">
        <v>100.0</v>
      </c>
      <c r="L144" s="15">
        <v>115.0</v>
      </c>
      <c r="M144" s="15">
        <v>107.0</v>
      </c>
      <c r="N144" s="15">
        <v>115.0</v>
      </c>
    </row>
    <row r="145">
      <c r="A145" s="10">
        <v>606466.0</v>
      </c>
      <c r="B145" s="11" t="s">
        <v>38</v>
      </c>
      <c r="C145" s="12">
        <v>2466.0</v>
      </c>
      <c r="D145" s="10">
        <v>1125.0</v>
      </c>
      <c r="E145" s="13">
        <v>463.0</v>
      </c>
      <c r="F145" s="14">
        <v>-0.037</v>
      </c>
      <c r="G145" s="15">
        <v>111.0</v>
      </c>
      <c r="H145" s="15">
        <v>115.0</v>
      </c>
      <c r="I145" s="15">
        <v>97.0</v>
      </c>
      <c r="J145" s="15">
        <v>116.0</v>
      </c>
      <c r="K145" s="15">
        <v>112.0</v>
      </c>
      <c r="L145" s="15">
        <v>93.0</v>
      </c>
      <c r="M145" s="15">
        <v>107.0</v>
      </c>
      <c r="N145" s="15">
        <v>119.0</v>
      </c>
    </row>
    <row r="146">
      <c r="A146" s="10">
        <v>624424.0</v>
      </c>
      <c r="B146" s="11" t="s">
        <v>178</v>
      </c>
      <c r="C146" s="12">
        <v>1868.0</v>
      </c>
      <c r="D146" s="10">
        <v>845.0</v>
      </c>
      <c r="E146" s="13">
        <v>300.0</v>
      </c>
      <c r="F146" s="14">
        <v>-0.017</v>
      </c>
      <c r="G146" s="15">
        <v>114.0</v>
      </c>
      <c r="H146" s="15">
        <v>109.0</v>
      </c>
      <c r="I146" s="15">
        <v>96.0</v>
      </c>
      <c r="J146" s="15">
        <v>109.0</v>
      </c>
      <c r="K146" s="15">
        <v>99.0</v>
      </c>
      <c r="L146" s="15">
        <v>102.0</v>
      </c>
      <c r="M146" s="15">
        <v>107.0</v>
      </c>
      <c r="N146" s="15">
        <v>100.0</v>
      </c>
    </row>
    <row r="147">
      <c r="A147" s="10">
        <v>641933.0</v>
      </c>
      <c r="B147" s="11" t="s">
        <v>185</v>
      </c>
      <c r="C147" s="12">
        <v>1034.0</v>
      </c>
      <c r="D147" s="10">
        <v>466.0</v>
      </c>
      <c r="E147" s="13">
        <v>171.0</v>
      </c>
      <c r="F147" s="14">
        <v>-0.025</v>
      </c>
      <c r="G147" s="15">
        <v>112.0</v>
      </c>
      <c r="H147" s="15">
        <v>107.0</v>
      </c>
      <c r="I147" s="15">
        <v>93.0</v>
      </c>
      <c r="J147" s="15">
        <v>108.0</v>
      </c>
      <c r="K147" s="15">
        <v>90.0</v>
      </c>
      <c r="L147" s="15">
        <v>108.0</v>
      </c>
      <c r="M147" s="15">
        <v>107.0</v>
      </c>
      <c r="N147" s="15">
        <v>99.0</v>
      </c>
    </row>
    <row r="148">
      <c r="A148" s="10">
        <v>641355.0</v>
      </c>
      <c r="B148" s="11" t="s">
        <v>184</v>
      </c>
      <c r="C148" s="12">
        <v>2124.0</v>
      </c>
      <c r="D148" s="10">
        <v>1059.0</v>
      </c>
      <c r="E148" s="13">
        <v>413.0</v>
      </c>
      <c r="F148" s="14">
        <v>0.001</v>
      </c>
      <c r="G148" s="15">
        <v>87.0</v>
      </c>
      <c r="H148" s="15">
        <v>90.0</v>
      </c>
      <c r="I148" s="15">
        <v>98.0</v>
      </c>
      <c r="J148" s="15">
        <v>91.0</v>
      </c>
      <c r="K148" s="15">
        <v>129.0</v>
      </c>
      <c r="L148" s="15">
        <v>95.0</v>
      </c>
      <c r="M148" s="15">
        <v>107.0</v>
      </c>
      <c r="N148" s="15">
        <v>123.0</v>
      </c>
    </row>
    <row r="149">
      <c r="A149" s="10">
        <v>660688.0</v>
      </c>
      <c r="B149" s="11" t="s">
        <v>352</v>
      </c>
      <c r="C149" s="12">
        <v>1866.0</v>
      </c>
      <c r="D149" s="10">
        <v>949.0</v>
      </c>
      <c r="E149" s="13">
        <v>462.0</v>
      </c>
      <c r="F149" s="14">
        <v>0.06</v>
      </c>
      <c r="G149" s="15">
        <v>82.0</v>
      </c>
      <c r="H149" s="15">
        <v>81.0</v>
      </c>
      <c r="I149" s="15">
        <v>109.0</v>
      </c>
      <c r="J149" s="15">
        <v>78.0</v>
      </c>
      <c r="K149" s="15">
        <v>140.0</v>
      </c>
      <c r="L149" s="15">
        <v>95.0</v>
      </c>
      <c r="M149" s="15">
        <v>107.0</v>
      </c>
      <c r="N149" s="15">
        <v>98.0</v>
      </c>
    </row>
    <row r="150">
      <c r="A150" s="10">
        <v>592663.0</v>
      </c>
      <c r="B150" s="11" t="s">
        <v>193</v>
      </c>
      <c r="C150" s="12">
        <v>2077.0</v>
      </c>
      <c r="D150" s="10">
        <v>1048.0</v>
      </c>
      <c r="E150" s="13">
        <v>354.0</v>
      </c>
      <c r="F150" s="14">
        <v>0.001</v>
      </c>
      <c r="G150" s="15">
        <v>103.0</v>
      </c>
      <c r="H150" s="15">
        <v>101.0</v>
      </c>
      <c r="I150" s="15">
        <v>110.0</v>
      </c>
      <c r="J150" s="15">
        <v>97.0</v>
      </c>
      <c r="K150" s="15">
        <v>91.0</v>
      </c>
      <c r="L150" s="15">
        <v>110.0</v>
      </c>
      <c r="M150" s="15">
        <v>107.0</v>
      </c>
      <c r="N150" s="15">
        <v>106.0</v>
      </c>
    </row>
    <row r="151">
      <c r="A151" s="10">
        <v>680574.0</v>
      </c>
      <c r="B151" s="11" t="s">
        <v>240</v>
      </c>
      <c r="C151" s="12">
        <v>1658.0</v>
      </c>
      <c r="D151" s="10">
        <v>694.0</v>
      </c>
      <c r="E151" s="13">
        <v>249.0</v>
      </c>
      <c r="F151" s="14">
        <v>-0.074</v>
      </c>
      <c r="G151" s="15">
        <v>86.0</v>
      </c>
      <c r="H151" s="15">
        <v>101.0</v>
      </c>
      <c r="I151" s="15">
        <v>81.0</v>
      </c>
      <c r="J151" s="15">
        <v>108.0</v>
      </c>
      <c r="K151" s="15">
        <v>82.0</v>
      </c>
      <c r="L151" s="15">
        <v>116.0</v>
      </c>
      <c r="M151" s="15">
        <v>107.0</v>
      </c>
      <c r="N151" s="15">
        <v>123.0</v>
      </c>
    </row>
    <row r="152">
      <c r="A152" s="10">
        <v>605137.0</v>
      </c>
      <c r="B152" s="11" t="s">
        <v>165</v>
      </c>
      <c r="C152" s="12">
        <v>2396.0</v>
      </c>
      <c r="D152" s="10">
        <v>1134.0</v>
      </c>
      <c r="E152" s="13">
        <v>404.0</v>
      </c>
      <c r="F152" s="14">
        <v>-0.009</v>
      </c>
      <c r="G152" s="15">
        <v>111.0</v>
      </c>
      <c r="H152" s="15">
        <v>111.0</v>
      </c>
      <c r="I152" s="15">
        <v>112.0</v>
      </c>
      <c r="J152" s="15">
        <v>106.0</v>
      </c>
      <c r="K152" s="15">
        <v>98.0</v>
      </c>
      <c r="L152" s="15">
        <v>101.0</v>
      </c>
      <c r="M152" s="15">
        <v>106.0</v>
      </c>
      <c r="N152" s="15">
        <v>102.0</v>
      </c>
    </row>
    <row r="153">
      <c r="A153" s="10">
        <v>641680.0</v>
      </c>
      <c r="B153" s="11" t="s">
        <v>333</v>
      </c>
      <c r="C153" s="12">
        <v>1962.0</v>
      </c>
      <c r="D153" s="10">
        <v>1021.0</v>
      </c>
      <c r="E153" s="13">
        <v>358.0</v>
      </c>
      <c r="F153" s="14">
        <v>0.032</v>
      </c>
      <c r="G153" s="15">
        <v>109.0</v>
      </c>
      <c r="H153" s="15">
        <v>102.0</v>
      </c>
      <c r="I153" s="15">
        <v>120.0</v>
      </c>
      <c r="J153" s="15">
        <v>94.0</v>
      </c>
      <c r="K153" s="15">
        <v>109.0</v>
      </c>
      <c r="L153" s="15">
        <v>100.0</v>
      </c>
      <c r="M153" s="15">
        <v>106.0</v>
      </c>
      <c r="N153" s="15">
        <v>107.0</v>
      </c>
    </row>
    <row r="154">
      <c r="A154" s="10">
        <v>666181.0</v>
      </c>
      <c r="B154" s="11" t="s">
        <v>67</v>
      </c>
      <c r="C154" s="12">
        <v>1357.0</v>
      </c>
      <c r="D154" s="10">
        <v>582.0</v>
      </c>
      <c r="E154" s="13">
        <v>183.0</v>
      </c>
      <c r="F154" s="14">
        <v>-0.05</v>
      </c>
      <c r="G154" s="15">
        <v>122.0</v>
      </c>
      <c r="H154" s="15">
        <v>125.0</v>
      </c>
      <c r="I154" s="15">
        <v>95.0</v>
      </c>
      <c r="J154" s="15">
        <v>126.0</v>
      </c>
      <c r="K154" s="15">
        <v>75.0</v>
      </c>
      <c r="L154" s="15">
        <v>107.0</v>
      </c>
      <c r="M154" s="15">
        <v>106.0</v>
      </c>
      <c r="N154" s="15">
        <v>121.0</v>
      </c>
    </row>
    <row r="155">
      <c r="A155" s="10">
        <v>682998.0</v>
      </c>
      <c r="B155" s="11" t="s">
        <v>49</v>
      </c>
      <c r="C155" s="12">
        <v>2404.0</v>
      </c>
      <c r="D155" s="10">
        <v>1101.0</v>
      </c>
      <c r="E155" s="13">
        <v>444.0</v>
      </c>
      <c r="F155" s="14">
        <v>0.007</v>
      </c>
      <c r="G155" s="15">
        <v>101.0</v>
      </c>
      <c r="H155" s="15">
        <v>103.0</v>
      </c>
      <c r="I155" s="15">
        <v>106.0</v>
      </c>
      <c r="J155" s="15">
        <v>100.0</v>
      </c>
      <c r="K155" s="15">
        <v>104.0</v>
      </c>
      <c r="L155" s="15">
        <v>102.0</v>
      </c>
      <c r="M155" s="15">
        <v>106.0</v>
      </c>
      <c r="N155" s="15">
        <v>123.0</v>
      </c>
    </row>
    <row r="156">
      <c r="A156" s="10">
        <v>592192.0</v>
      </c>
      <c r="B156" s="11" t="s">
        <v>324</v>
      </c>
      <c r="C156" s="12">
        <v>2059.0</v>
      </c>
      <c r="D156" s="10">
        <v>856.0</v>
      </c>
      <c r="E156" s="13">
        <v>356.0</v>
      </c>
      <c r="F156" s="14">
        <v>-0.076</v>
      </c>
      <c r="G156" s="15">
        <v>95.0</v>
      </c>
      <c r="H156" s="15">
        <v>116.0</v>
      </c>
      <c r="I156" s="15">
        <v>97.0</v>
      </c>
      <c r="J156" s="15">
        <v>117.0</v>
      </c>
      <c r="K156" s="15">
        <v>118.0</v>
      </c>
      <c r="L156" s="15">
        <v>89.0</v>
      </c>
      <c r="M156" s="15">
        <v>106.0</v>
      </c>
      <c r="N156" s="15">
        <v>110.0</v>
      </c>
    </row>
    <row r="157">
      <c r="A157" s="10">
        <v>687952.0</v>
      </c>
      <c r="B157" s="11" t="s">
        <v>292</v>
      </c>
      <c r="C157" s="12">
        <v>926.0</v>
      </c>
      <c r="D157" s="10">
        <v>488.0</v>
      </c>
      <c r="E157" s="13">
        <v>153.0</v>
      </c>
      <c r="F157" s="14">
        <v>0.06</v>
      </c>
      <c r="G157" s="15">
        <v>95.0</v>
      </c>
      <c r="H157" s="15">
        <v>71.0</v>
      </c>
      <c r="I157" s="15">
        <v>95.0</v>
      </c>
      <c r="J157" s="15">
        <v>74.0</v>
      </c>
      <c r="K157" s="15">
        <v>93.0</v>
      </c>
      <c r="L157" s="15">
        <v>124.0</v>
      </c>
      <c r="M157" s="15">
        <v>106.0</v>
      </c>
      <c r="N157" s="15">
        <v>108.0</v>
      </c>
    </row>
    <row r="158">
      <c r="A158" s="10">
        <v>592273.0</v>
      </c>
      <c r="B158" s="11" t="s">
        <v>536</v>
      </c>
      <c r="C158" s="12">
        <v>1950.0</v>
      </c>
      <c r="D158" s="10">
        <v>1008.0</v>
      </c>
      <c r="E158" s="13">
        <v>352.0</v>
      </c>
      <c r="F158" s="14">
        <v>0.012</v>
      </c>
      <c r="G158" s="15">
        <v>91.0</v>
      </c>
      <c r="H158" s="15">
        <v>87.0</v>
      </c>
      <c r="I158" s="15">
        <v>92.0</v>
      </c>
      <c r="J158" s="15">
        <v>90.0</v>
      </c>
      <c r="K158" s="15">
        <v>103.0</v>
      </c>
      <c r="L158" s="15">
        <v>109.0</v>
      </c>
      <c r="M158" s="15">
        <v>106.0</v>
      </c>
      <c r="N158" s="15">
        <v>113.0</v>
      </c>
    </row>
    <row r="159">
      <c r="A159" s="10">
        <v>666135.0</v>
      </c>
      <c r="B159" s="11" t="s">
        <v>466</v>
      </c>
      <c r="C159" s="12">
        <v>1236.0</v>
      </c>
      <c r="D159" s="10">
        <v>584.0</v>
      </c>
      <c r="E159" s="13">
        <v>202.0</v>
      </c>
      <c r="F159" s="14">
        <v>0.02</v>
      </c>
      <c r="G159" s="15">
        <v>87.0</v>
      </c>
      <c r="H159" s="15">
        <v>82.0</v>
      </c>
      <c r="I159" s="15">
        <v>97.0</v>
      </c>
      <c r="J159" s="15">
        <v>85.0</v>
      </c>
      <c r="K159" s="15">
        <v>103.0</v>
      </c>
      <c r="L159" s="15">
        <v>112.0</v>
      </c>
      <c r="M159" s="15">
        <v>106.0</v>
      </c>
      <c r="N159" s="15">
        <v>110.0</v>
      </c>
    </row>
    <row r="160">
      <c r="A160" s="10">
        <v>641487.0</v>
      </c>
      <c r="B160" s="11" t="s">
        <v>188</v>
      </c>
      <c r="C160" s="12">
        <v>2601.0</v>
      </c>
      <c r="D160" s="10">
        <v>1005.0</v>
      </c>
      <c r="E160" s="13">
        <v>407.0</v>
      </c>
      <c r="F160" s="14">
        <v>-0.081</v>
      </c>
      <c r="G160" s="15">
        <v>106.0</v>
      </c>
      <c r="H160" s="15">
        <v>116.0</v>
      </c>
      <c r="I160" s="15">
        <v>96.0</v>
      </c>
      <c r="J160" s="15">
        <v>117.0</v>
      </c>
      <c r="K160" s="15">
        <v>110.0</v>
      </c>
      <c r="L160" s="15">
        <v>92.0</v>
      </c>
      <c r="M160" s="15">
        <v>106.0</v>
      </c>
      <c r="N160" s="15">
        <v>116.0</v>
      </c>
    </row>
    <row r="161">
      <c r="A161" s="10">
        <v>621043.0</v>
      </c>
      <c r="B161" s="11" t="s">
        <v>194</v>
      </c>
      <c r="C161" s="12">
        <v>2232.0</v>
      </c>
      <c r="D161" s="10">
        <v>972.0</v>
      </c>
      <c r="E161" s="13">
        <v>378.0</v>
      </c>
      <c r="F161" s="14">
        <v>-0.044</v>
      </c>
      <c r="G161" s="15">
        <v>92.0</v>
      </c>
      <c r="H161" s="15">
        <v>95.0</v>
      </c>
      <c r="I161" s="15">
        <v>76.0</v>
      </c>
      <c r="J161" s="15">
        <v>103.0</v>
      </c>
      <c r="K161" s="15">
        <v>111.0</v>
      </c>
      <c r="L161" s="15">
        <v>101.0</v>
      </c>
      <c r="M161" s="15">
        <v>106.0</v>
      </c>
      <c r="N161" s="15">
        <v>98.0</v>
      </c>
    </row>
    <row r="162">
      <c r="A162" s="10">
        <v>621035.0</v>
      </c>
      <c r="B162" s="11" t="s">
        <v>490</v>
      </c>
      <c r="C162" s="12">
        <v>1611.0</v>
      </c>
      <c r="D162" s="10">
        <v>765.0</v>
      </c>
      <c r="E162" s="13">
        <v>212.0</v>
      </c>
      <c r="F162" s="14">
        <v>-0.042</v>
      </c>
      <c r="G162" s="15">
        <v>130.0</v>
      </c>
      <c r="H162" s="15">
        <v>134.0</v>
      </c>
      <c r="I162" s="15">
        <v>108.0</v>
      </c>
      <c r="J162" s="15">
        <v>130.0</v>
      </c>
      <c r="K162" s="15">
        <v>70.0</v>
      </c>
      <c r="L162" s="15">
        <v>105.0</v>
      </c>
      <c r="M162" s="15">
        <v>105.0</v>
      </c>
      <c r="N162" s="15">
        <v>110.0</v>
      </c>
    </row>
    <row r="163">
      <c r="A163" s="10">
        <v>553993.0</v>
      </c>
      <c r="B163" s="11" t="s">
        <v>80</v>
      </c>
      <c r="C163" s="12">
        <v>2879.0</v>
      </c>
      <c r="D163" s="10">
        <v>1284.0</v>
      </c>
      <c r="E163" s="13">
        <v>392.0</v>
      </c>
      <c r="F163" s="14">
        <v>-0.057</v>
      </c>
      <c r="G163" s="15">
        <v>114.0</v>
      </c>
      <c r="H163" s="15">
        <v>112.0</v>
      </c>
      <c r="I163" s="15">
        <v>87.0</v>
      </c>
      <c r="J163" s="15">
        <v>117.0</v>
      </c>
      <c r="K163" s="15">
        <v>82.0</v>
      </c>
      <c r="L163" s="15">
        <v>110.0</v>
      </c>
      <c r="M163" s="15">
        <v>105.0</v>
      </c>
      <c r="N163" s="15">
        <v>102.0</v>
      </c>
    </row>
    <row r="164">
      <c r="A164" s="10">
        <v>543309.0</v>
      </c>
      <c r="B164" s="11" t="s">
        <v>299</v>
      </c>
      <c r="C164" s="12">
        <v>999.0</v>
      </c>
      <c r="D164" s="10">
        <v>492.0</v>
      </c>
      <c r="E164" s="13">
        <v>171.0</v>
      </c>
      <c r="F164" s="14">
        <v>-0.003</v>
      </c>
      <c r="G164" s="15">
        <v>96.0</v>
      </c>
      <c r="H164" s="15">
        <v>93.0</v>
      </c>
      <c r="I164" s="15">
        <v>94.0</v>
      </c>
      <c r="J164" s="15">
        <v>96.0</v>
      </c>
      <c r="K164" s="15">
        <v>93.0</v>
      </c>
      <c r="L164" s="15">
        <v>111.0</v>
      </c>
      <c r="M164" s="15">
        <v>105.0</v>
      </c>
      <c r="N164" s="15">
        <v>91.0</v>
      </c>
    </row>
    <row r="165">
      <c r="A165" s="10">
        <v>624415.0</v>
      </c>
      <c r="B165" s="11" t="s">
        <v>533</v>
      </c>
      <c r="C165" s="12">
        <v>1373.0</v>
      </c>
      <c r="D165" s="10">
        <v>544.0</v>
      </c>
      <c r="E165" s="13">
        <v>200.0</v>
      </c>
      <c r="F165" s="14">
        <v>-0.082</v>
      </c>
      <c r="G165" s="15">
        <v>114.0</v>
      </c>
      <c r="H165" s="15">
        <v>121.0</v>
      </c>
      <c r="I165" s="15">
        <v>89.0</v>
      </c>
      <c r="J165" s="15">
        <v>126.0</v>
      </c>
      <c r="K165" s="15">
        <v>97.0</v>
      </c>
      <c r="L165" s="15">
        <v>94.0</v>
      </c>
      <c r="M165" s="15">
        <v>105.0</v>
      </c>
      <c r="N165" s="15">
        <v>102.0</v>
      </c>
    </row>
    <row r="166">
      <c r="A166" s="10">
        <v>596129.0</v>
      </c>
      <c r="B166" s="11" t="s">
        <v>589</v>
      </c>
      <c r="C166" s="12">
        <v>1383.0</v>
      </c>
      <c r="D166" s="10">
        <v>496.0</v>
      </c>
      <c r="E166" s="13">
        <v>192.0</v>
      </c>
      <c r="F166" s="14">
        <v>-0.086</v>
      </c>
      <c r="G166" s="15">
        <v>80.0</v>
      </c>
      <c r="H166" s="15">
        <v>92.0</v>
      </c>
      <c r="I166" s="15">
        <v>66.0</v>
      </c>
      <c r="J166" s="15">
        <v>104.0</v>
      </c>
      <c r="K166" s="15">
        <v>106.0</v>
      </c>
      <c r="L166" s="15">
        <v>107.0</v>
      </c>
      <c r="M166" s="15">
        <v>105.0</v>
      </c>
      <c r="N166" s="15">
        <v>104.0</v>
      </c>
    </row>
    <row r="167">
      <c r="A167" s="10">
        <v>605204.0</v>
      </c>
      <c r="B167" s="11" t="s">
        <v>483</v>
      </c>
      <c r="C167" s="12">
        <v>2076.0</v>
      </c>
      <c r="D167" s="10">
        <v>1100.0</v>
      </c>
      <c r="E167" s="13">
        <v>330.0</v>
      </c>
      <c r="F167" s="14">
        <v>0.031</v>
      </c>
      <c r="G167" s="15">
        <v>139.0</v>
      </c>
      <c r="H167" s="15">
        <v>121.0</v>
      </c>
      <c r="I167" s="15">
        <v>124.0</v>
      </c>
      <c r="J167" s="15">
        <v>111.0</v>
      </c>
      <c r="K167" s="15">
        <v>79.0</v>
      </c>
      <c r="L167" s="15">
        <v>107.0</v>
      </c>
      <c r="M167" s="15">
        <v>105.0</v>
      </c>
      <c r="N167" s="15">
        <v>103.0</v>
      </c>
    </row>
    <row r="168">
      <c r="A168" s="10">
        <v>594807.0</v>
      </c>
      <c r="B168" s="11" t="s">
        <v>527</v>
      </c>
      <c r="C168" s="12">
        <v>1325.0</v>
      </c>
      <c r="D168" s="10">
        <v>640.0</v>
      </c>
      <c r="E168" s="13">
        <v>213.0</v>
      </c>
      <c r="F168" s="14">
        <v>-0.001</v>
      </c>
      <c r="G168" s="15">
        <v>79.0</v>
      </c>
      <c r="H168" s="15">
        <v>80.0</v>
      </c>
      <c r="I168" s="15">
        <v>81.0</v>
      </c>
      <c r="J168" s="15">
        <v>88.0</v>
      </c>
      <c r="K168" s="15">
        <v>92.0</v>
      </c>
      <c r="L168" s="15">
        <v>119.0</v>
      </c>
      <c r="M168" s="15">
        <v>105.0</v>
      </c>
      <c r="N168" s="15">
        <v>118.0</v>
      </c>
    </row>
    <row r="169">
      <c r="A169" s="10">
        <v>672580.0</v>
      </c>
      <c r="B169" s="11" t="s">
        <v>109</v>
      </c>
      <c r="C169" s="12">
        <v>1967.0</v>
      </c>
      <c r="D169" s="10">
        <v>848.0</v>
      </c>
      <c r="E169" s="13">
        <v>355.0</v>
      </c>
      <c r="F169" s="14">
        <v>-0.067</v>
      </c>
      <c r="G169" s="15">
        <v>108.0</v>
      </c>
      <c r="H169" s="15">
        <v>109.0</v>
      </c>
      <c r="I169" s="15">
        <v>77.0</v>
      </c>
      <c r="J169" s="15">
        <v>119.0</v>
      </c>
      <c r="K169" s="15">
        <v>104.0</v>
      </c>
      <c r="L169" s="15">
        <v>98.0</v>
      </c>
      <c r="M169" s="15">
        <v>105.0</v>
      </c>
      <c r="N169" s="15">
        <v>97.0</v>
      </c>
    </row>
    <row r="170">
      <c r="A170" s="10">
        <v>657077.0</v>
      </c>
      <c r="B170" s="11" t="s">
        <v>220</v>
      </c>
      <c r="C170" s="12">
        <v>2341.0</v>
      </c>
      <c r="D170" s="10">
        <v>955.0</v>
      </c>
      <c r="E170" s="13">
        <v>454.0</v>
      </c>
      <c r="F170" s="14">
        <v>-0.066</v>
      </c>
      <c r="G170" s="15">
        <v>89.0</v>
      </c>
      <c r="H170" s="15">
        <v>102.0</v>
      </c>
      <c r="I170" s="15">
        <v>88.0</v>
      </c>
      <c r="J170" s="15">
        <v>107.0</v>
      </c>
      <c r="K170" s="15">
        <v>124.0</v>
      </c>
      <c r="L170" s="15">
        <v>93.0</v>
      </c>
      <c r="M170" s="15">
        <v>105.0</v>
      </c>
      <c r="N170" s="15">
        <v>107.0</v>
      </c>
    </row>
    <row r="171">
      <c r="A171" s="10">
        <v>676116.0</v>
      </c>
      <c r="B171" s="11" t="s">
        <v>528</v>
      </c>
      <c r="C171" s="12">
        <v>2074.0</v>
      </c>
      <c r="D171" s="10">
        <v>890.0</v>
      </c>
      <c r="E171" s="13">
        <v>233.0</v>
      </c>
      <c r="F171" s="14">
        <v>-0.058</v>
      </c>
      <c r="G171" s="15">
        <v>122.0</v>
      </c>
      <c r="H171" s="15">
        <v>117.0</v>
      </c>
      <c r="I171" s="15">
        <v>79.0</v>
      </c>
      <c r="J171" s="15">
        <v>125.0</v>
      </c>
      <c r="K171" s="15">
        <v>74.0</v>
      </c>
      <c r="L171" s="15">
        <v>112.0</v>
      </c>
      <c r="M171" s="15">
        <v>105.0</v>
      </c>
      <c r="N171" s="15">
        <v>111.0</v>
      </c>
    </row>
    <row r="172">
      <c r="A172" s="10">
        <v>664034.0</v>
      </c>
      <c r="B172" s="11" t="s">
        <v>97</v>
      </c>
      <c r="C172" s="12">
        <v>2403.0</v>
      </c>
      <c r="D172" s="10">
        <v>1275.0</v>
      </c>
      <c r="E172" s="13">
        <v>465.0</v>
      </c>
      <c r="F172" s="14">
        <v>0.045</v>
      </c>
      <c r="G172" s="15">
        <v>107.0</v>
      </c>
      <c r="H172" s="15">
        <v>100.0</v>
      </c>
      <c r="I172" s="15">
        <v>114.0</v>
      </c>
      <c r="J172" s="15">
        <v>94.0</v>
      </c>
      <c r="K172" s="15">
        <v>106.0</v>
      </c>
      <c r="L172" s="15">
        <v>101.0</v>
      </c>
      <c r="M172" s="15">
        <v>105.0</v>
      </c>
      <c r="N172" s="15">
        <v>100.0</v>
      </c>
    </row>
    <row r="173">
      <c r="A173" s="10">
        <v>519203.0</v>
      </c>
      <c r="B173" s="11" t="s">
        <v>504</v>
      </c>
      <c r="C173" s="12">
        <v>1652.0</v>
      </c>
      <c r="D173" s="10">
        <v>800.0</v>
      </c>
      <c r="E173" s="13">
        <v>274.0</v>
      </c>
      <c r="F173" s="14">
        <v>0.011</v>
      </c>
      <c r="G173" s="15">
        <v>83.0</v>
      </c>
      <c r="H173" s="15">
        <v>93.0</v>
      </c>
      <c r="I173" s="15">
        <v>113.0</v>
      </c>
      <c r="J173" s="15">
        <v>89.0</v>
      </c>
      <c r="K173" s="15">
        <v>113.0</v>
      </c>
      <c r="L173" s="15">
        <v>100.0</v>
      </c>
      <c r="M173" s="15">
        <v>105.0</v>
      </c>
      <c r="N173" s="15">
        <v>103.0</v>
      </c>
    </row>
    <row r="174">
      <c r="A174" s="10">
        <v>642086.0</v>
      </c>
      <c r="B174" s="11" t="s">
        <v>494</v>
      </c>
      <c r="C174" s="12">
        <v>2192.0</v>
      </c>
      <c r="D174" s="10">
        <v>1074.0</v>
      </c>
      <c r="E174" s="13">
        <v>435.0</v>
      </c>
      <c r="F174" s="14">
        <v>0.032</v>
      </c>
      <c r="G174" s="15">
        <v>98.0</v>
      </c>
      <c r="H174" s="15">
        <v>99.0</v>
      </c>
      <c r="I174" s="15">
        <v>111.0</v>
      </c>
      <c r="J174" s="15">
        <v>95.0</v>
      </c>
      <c r="K174" s="15">
        <v>114.0</v>
      </c>
      <c r="L174" s="15">
        <v>97.0</v>
      </c>
      <c r="M174" s="15">
        <v>105.0</v>
      </c>
      <c r="N174" s="15">
        <v>98.0</v>
      </c>
    </row>
    <row r="175">
      <c r="A175" s="10">
        <v>664913.0</v>
      </c>
      <c r="B175" s="11" t="s">
        <v>491</v>
      </c>
      <c r="C175" s="12">
        <v>1424.0</v>
      </c>
      <c r="D175" s="10">
        <v>717.0</v>
      </c>
      <c r="E175" s="13">
        <v>242.0</v>
      </c>
      <c r="F175" s="14">
        <v>0.025</v>
      </c>
      <c r="G175" s="15">
        <v>107.0</v>
      </c>
      <c r="H175" s="15">
        <v>96.0</v>
      </c>
      <c r="I175" s="15">
        <v>100.0</v>
      </c>
      <c r="J175" s="15">
        <v>96.0</v>
      </c>
      <c r="K175" s="15">
        <v>92.0</v>
      </c>
      <c r="L175" s="15">
        <v>110.0</v>
      </c>
      <c r="M175" s="15">
        <v>105.0</v>
      </c>
      <c r="N175" s="15">
        <v>93.0</v>
      </c>
    </row>
    <row r="176">
      <c r="A176" s="10">
        <v>672515.0</v>
      </c>
      <c r="B176" s="11" t="s">
        <v>104</v>
      </c>
      <c r="C176" s="12">
        <v>1531.0</v>
      </c>
      <c r="D176" s="10">
        <v>650.0</v>
      </c>
      <c r="E176" s="13">
        <v>270.0</v>
      </c>
      <c r="F176" s="14">
        <v>-0.068</v>
      </c>
      <c r="G176" s="15">
        <v>82.0</v>
      </c>
      <c r="H176" s="15">
        <v>102.0</v>
      </c>
      <c r="I176" s="15">
        <v>98.0</v>
      </c>
      <c r="J176" s="15">
        <v>103.0</v>
      </c>
      <c r="K176" s="15">
        <v>108.0</v>
      </c>
      <c r="L176" s="15">
        <v>99.0</v>
      </c>
      <c r="M176" s="15">
        <v>105.0</v>
      </c>
      <c r="N176" s="15">
        <v>110.0</v>
      </c>
    </row>
    <row r="177">
      <c r="A177" s="10">
        <v>660162.0</v>
      </c>
      <c r="B177" s="11" t="s">
        <v>101</v>
      </c>
      <c r="C177" s="12">
        <v>1378.0</v>
      </c>
      <c r="D177" s="10">
        <v>647.0</v>
      </c>
      <c r="E177" s="13">
        <v>226.0</v>
      </c>
      <c r="F177" s="14">
        <v>-0.007</v>
      </c>
      <c r="G177" s="15">
        <v>97.0</v>
      </c>
      <c r="H177" s="15">
        <v>99.0</v>
      </c>
      <c r="I177" s="15">
        <v>91.0</v>
      </c>
      <c r="J177" s="15">
        <v>102.0</v>
      </c>
      <c r="K177" s="15">
        <v>81.0</v>
      </c>
      <c r="L177" s="15">
        <v>115.0</v>
      </c>
      <c r="M177" s="15">
        <v>105.0</v>
      </c>
      <c r="N177" s="15">
        <v>101.0</v>
      </c>
    </row>
    <row r="178">
      <c r="A178" s="10">
        <v>593428.0</v>
      </c>
      <c r="B178" s="11" t="s">
        <v>134</v>
      </c>
      <c r="C178" s="12">
        <v>2619.0</v>
      </c>
      <c r="D178" s="10">
        <v>1115.0</v>
      </c>
      <c r="E178" s="13">
        <v>488.0</v>
      </c>
      <c r="F178" s="14">
        <v>-0.066</v>
      </c>
      <c r="G178" s="15">
        <v>88.0</v>
      </c>
      <c r="H178" s="15">
        <v>108.0</v>
      </c>
      <c r="I178" s="15">
        <v>94.0</v>
      </c>
      <c r="J178" s="15">
        <v>111.0</v>
      </c>
      <c r="K178" s="15">
        <v>124.0</v>
      </c>
      <c r="L178" s="15">
        <v>89.0</v>
      </c>
      <c r="M178" s="15">
        <v>105.0</v>
      </c>
      <c r="N178" s="15">
        <v>114.0</v>
      </c>
    </row>
    <row r="179">
      <c r="A179" s="10">
        <v>643265.0</v>
      </c>
      <c r="B179" s="11" t="s">
        <v>450</v>
      </c>
      <c r="C179" s="12">
        <v>1803.0</v>
      </c>
      <c r="D179" s="10">
        <v>946.0</v>
      </c>
      <c r="E179" s="13">
        <v>292.0</v>
      </c>
      <c r="F179" s="14">
        <v>0.035</v>
      </c>
      <c r="G179" s="15">
        <v>75.0</v>
      </c>
      <c r="H179" s="15">
        <v>82.0</v>
      </c>
      <c r="I179" s="15">
        <v>101.0</v>
      </c>
      <c r="J179" s="15">
        <v>83.0</v>
      </c>
      <c r="K179" s="15">
        <v>95.0</v>
      </c>
      <c r="L179" s="15">
        <v>116.0</v>
      </c>
      <c r="M179" s="15">
        <v>105.0</v>
      </c>
      <c r="N179" s="15">
        <v>102.0</v>
      </c>
    </row>
    <row r="180">
      <c r="A180" s="10">
        <v>592206.0</v>
      </c>
      <c r="B180" s="11" t="s">
        <v>166</v>
      </c>
      <c r="C180" s="12">
        <v>2405.0</v>
      </c>
      <c r="D180" s="10">
        <v>1355.0</v>
      </c>
      <c r="E180" s="13">
        <v>443.0</v>
      </c>
      <c r="F180" s="14">
        <v>0.07</v>
      </c>
      <c r="G180" s="15">
        <v>95.0</v>
      </c>
      <c r="H180" s="15">
        <v>85.0</v>
      </c>
      <c r="I180" s="15">
        <v>103.0</v>
      </c>
      <c r="J180" s="15">
        <v>85.0</v>
      </c>
      <c r="K180" s="15">
        <v>100.0</v>
      </c>
      <c r="L180" s="15">
        <v>110.0</v>
      </c>
      <c r="M180" s="15">
        <v>104.0</v>
      </c>
      <c r="N180" s="15">
        <v>111.0</v>
      </c>
    </row>
    <row r="181">
      <c r="A181" s="10">
        <v>642715.0</v>
      </c>
      <c r="B181" s="11" t="s">
        <v>181</v>
      </c>
      <c r="C181" s="12">
        <v>2568.0</v>
      </c>
      <c r="D181" s="10">
        <v>1282.0</v>
      </c>
      <c r="E181" s="13">
        <v>389.0</v>
      </c>
      <c r="F181" s="14">
        <v>0.014</v>
      </c>
      <c r="G181" s="15">
        <v>105.0</v>
      </c>
      <c r="H181" s="15">
        <v>104.0</v>
      </c>
      <c r="I181" s="15">
        <v>112.0</v>
      </c>
      <c r="J181" s="15">
        <v>99.0</v>
      </c>
      <c r="K181" s="15">
        <v>90.0</v>
      </c>
      <c r="L181" s="15">
        <v>108.0</v>
      </c>
      <c r="M181" s="15">
        <v>104.0</v>
      </c>
      <c r="N181" s="15">
        <v>96.0</v>
      </c>
    </row>
    <row r="182">
      <c r="A182" s="10">
        <v>670223.0</v>
      </c>
      <c r="B182" s="11" t="s">
        <v>360</v>
      </c>
      <c r="C182" s="12">
        <v>404.0</v>
      </c>
      <c r="D182" s="10">
        <v>203.0</v>
      </c>
      <c r="E182" s="13">
        <v>58.0</v>
      </c>
      <c r="F182" s="14">
        <v>0.02</v>
      </c>
      <c r="G182" s="15">
        <v>110.0</v>
      </c>
      <c r="H182" s="15">
        <v>90.0</v>
      </c>
      <c r="I182" s="15">
        <v>100.0</v>
      </c>
      <c r="J182" s="15">
        <v>90.0</v>
      </c>
      <c r="K182" s="15">
        <v>93.0</v>
      </c>
      <c r="L182" s="15">
        <v>114.0</v>
      </c>
      <c r="M182" s="15">
        <v>104.0</v>
      </c>
      <c r="N182" s="15">
        <v>78.0</v>
      </c>
    </row>
    <row r="183">
      <c r="A183" s="10">
        <v>443558.0</v>
      </c>
      <c r="B183" s="11" t="s">
        <v>590</v>
      </c>
      <c r="C183" s="12">
        <v>561.0</v>
      </c>
      <c r="D183" s="10">
        <v>293.0</v>
      </c>
      <c r="E183" s="13">
        <v>97.0</v>
      </c>
      <c r="F183" s="14">
        <v>0.03</v>
      </c>
      <c r="G183" s="15">
        <v>77.0</v>
      </c>
      <c r="H183" s="15">
        <v>78.0</v>
      </c>
      <c r="I183" s="15">
        <v>101.0</v>
      </c>
      <c r="J183" s="15">
        <v>79.0</v>
      </c>
      <c r="K183" s="15">
        <v>100.0</v>
      </c>
      <c r="L183" s="15">
        <v>113.0</v>
      </c>
      <c r="M183" s="15">
        <v>104.0</v>
      </c>
      <c r="N183" s="15">
        <v>95.0</v>
      </c>
    </row>
    <row r="184">
      <c r="A184" s="10">
        <v>643565.0</v>
      </c>
      <c r="B184" s="11" t="s">
        <v>192</v>
      </c>
      <c r="C184" s="12">
        <v>1659.0</v>
      </c>
      <c r="D184" s="10">
        <v>693.0</v>
      </c>
      <c r="E184" s="13">
        <v>246.0</v>
      </c>
      <c r="F184" s="14">
        <v>-0.054</v>
      </c>
      <c r="G184" s="15">
        <v>116.0</v>
      </c>
      <c r="H184" s="15">
        <v>120.0</v>
      </c>
      <c r="I184" s="15">
        <v>99.0</v>
      </c>
      <c r="J184" s="15">
        <v>119.0</v>
      </c>
      <c r="K184" s="15">
        <v>89.0</v>
      </c>
      <c r="L184" s="15">
        <v>98.0</v>
      </c>
      <c r="M184" s="15">
        <v>104.0</v>
      </c>
      <c r="N184" s="15">
        <v>103.0</v>
      </c>
    </row>
    <row r="185">
      <c r="A185" s="10">
        <v>670042.0</v>
      </c>
      <c r="B185" s="11" t="s">
        <v>229</v>
      </c>
      <c r="C185" s="12">
        <v>1514.0</v>
      </c>
      <c r="D185" s="10">
        <v>785.0</v>
      </c>
      <c r="E185" s="13">
        <v>228.0</v>
      </c>
      <c r="F185" s="14">
        <v>0.048</v>
      </c>
      <c r="G185" s="15">
        <v>109.0</v>
      </c>
      <c r="H185" s="15">
        <v>102.0</v>
      </c>
      <c r="I185" s="15">
        <v>105.0</v>
      </c>
      <c r="J185" s="15">
        <v>99.0</v>
      </c>
      <c r="K185" s="15">
        <v>83.0</v>
      </c>
      <c r="L185" s="15">
        <v>114.0</v>
      </c>
      <c r="M185" s="15">
        <v>104.0</v>
      </c>
      <c r="N185" s="15">
        <v>117.0</v>
      </c>
    </row>
    <row r="186">
      <c r="A186" s="10">
        <v>668715.0</v>
      </c>
      <c r="B186" s="11" t="s">
        <v>317</v>
      </c>
      <c r="C186" s="12">
        <v>2663.0</v>
      </c>
      <c r="D186" s="10">
        <v>1165.0</v>
      </c>
      <c r="E186" s="13">
        <v>443.0</v>
      </c>
      <c r="F186" s="14">
        <v>-0.052</v>
      </c>
      <c r="G186" s="15">
        <v>103.0</v>
      </c>
      <c r="H186" s="15">
        <v>111.0</v>
      </c>
      <c r="I186" s="15">
        <v>96.0</v>
      </c>
      <c r="J186" s="15">
        <v>112.0</v>
      </c>
      <c r="K186" s="15">
        <v>101.0</v>
      </c>
      <c r="L186" s="15">
        <v>97.0</v>
      </c>
      <c r="M186" s="15">
        <v>104.0</v>
      </c>
      <c r="N186" s="15">
        <v>115.0</v>
      </c>
    </row>
    <row r="187">
      <c r="A187" s="10">
        <v>600869.0</v>
      </c>
      <c r="B187" s="11" t="s">
        <v>525</v>
      </c>
      <c r="C187" s="12">
        <v>2303.0</v>
      </c>
      <c r="D187" s="10">
        <v>1090.0</v>
      </c>
      <c r="E187" s="13">
        <v>380.0</v>
      </c>
      <c r="F187" s="14">
        <v>0.0</v>
      </c>
      <c r="G187" s="15">
        <v>106.0</v>
      </c>
      <c r="H187" s="15">
        <v>104.0</v>
      </c>
      <c r="I187" s="15">
        <v>106.0</v>
      </c>
      <c r="J187" s="15">
        <v>101.0</v>
      </c>
      <c r="K187" s="15">
        <v>104.0</v>
      </c>
      <c r="L187" s="15">
        <v>99.0</v>
      </c>
      <c r="M187" s="15">
        <v>104.0</v>
      </c>
      <c r="N187" s="15">
        <v>112.0</v>
      </c>
    </row>
    <row r="188">
      <c r="A188" s="10">
        <v>607208.0</v>
      </c>
      <c r="B188" s="11" t="s">
        <v>224</v>
      </c>
      <c r="C188" s="12">
        <v>2646.0</v>
      </c>
      <c r="D188" s="10">
        <v>1410.0</v>
      </c>
      <c r="E188" s="13">
        <v>488.0</v>
      </c>
      <c r="F188" s="14">
        <v>0.059</v>
      </c>
      <c r="G188" s="15">
        <v>100.0</v>
      </c>
      <c r="H188" s="15">
        <v>92.0</v>
      </c>
      <c r="I188" s="15">
        <v>122.0</v>
      </c>
      <c r="J188" s="15">
        <v>86.0</v>
      </c>
      <c r="K188" s="15">
        <v>101.0</v>
      </c>
      <c r="L188" s="15">
        <v>105.0</v>
      </c>
      <c r="M188" s="15">
        <v>103.0</v>
      </c>
      <c r="N188" s="15">
        <v>108.0</v>
      </c>
    </row>
    <row r="189">
      <c r="A189" s="10">
        <v>658668.0</v>
      </c>
      <c r="B189" s="11" t="s">
        <v>456</v>
      </c>
      <c r="C189" s="12">
        <v>1403.0</v>
      </c>
      <c r="D189" s="10">
        <v>707.0</v>
      </c>
      <c r="E189" s="13">
        <v>287.0</v>
      </c>
      <c r="F189" s="14">
        <v>0.022</v>
      </c>
      <c r="G189" s="15">
        <v>109.0</v>
      </c>
      <c r="H189" s="15">
        <v>98.0</v>
      </c>
      <c r="I189" s="15">
        <v>110.0</v>
      </c>
      <c r="J189" s="15">
        <v>94.0</v>
      </c>
      <c r="K189" s="15">
        <v>120.0</v>
      </c>
      <c r="L189" s="15">
        <v>93.0</v>
      </c>
      <c r="M189" s="15">
        <v>103.0</v>
      </c>
      <c r="N189" s="15">
        <v>106.0</v>
      </c>
    </row>
    <row r="190">
      <c r="A190" s="10">
        <v>645277.0</v>
      </c>
      <c r="B190" s="11" t="s">
        <v>359</v>
      </c>
      <c r="C190" s="12">
        <v>2515.0</v>
      </c>
      <c r="D190" s="10">
        <v>1372.0</v>
      </c>
      <c r="E190" s="13">
        <v>487.0</v>
      </c>
      <c r="F190" s="14">
        <v>0.096</v>
      </c>
      <c r="G190" s="15">
        <v>107.0</v>
      </c>
      <c r="H190" s="15">
        <v>83.0</v>
      </c>
      <c r="I190" s="15">
        <v>129.0</v>
      </c>
      <c r="J190" s="15">
        <v>75.0</v>
      </c>
      <c r="K190" s="15">
        <v>106.0</v>
      </c>
      <c r="L190" s="15">
        <v>106.0</v>
      </c>
      <c r="M190" s="15">
        <v>103.0</v>
      </c>
      <c r="N190" s="15">
        <v>111.0</v>
      </c>
    </row>
    <row r="191">
      <c r="A191" s="10">
        <v>621028.0</v>
      </c>
      <c r="B191" s="11" t="s">
        <v>532</v>
      </c>
      <c r="C191" s="12">
        <v>905.0</v>
      </c>
      <c r="D191" s="10">
        <v>421.0</v>
      </c>
      <c r="E191" s="13">
        <v>197.0</v>
      </c>
      <c r="F191" s="14">
        <v>-0.01</v>
      </c>
      <c r="G191" s="15">
        <v>95.0</v>
      </c>
      <c r="H191" s="15">
        <v>103.0</v>
      </c>
      <c r="I191" s="15">
        <v>104.0</v>
      </c>
      <c r="J191" s="15">
        <v>101.0</v>
      </c>
      <c r="K191" s="15">
        <v>120.0</v>
      </c>
      <c r="L191" s="15">
        <v>93.0</v>
      </c>
      <c r="M191" s="15">
        <v>103.0</v>
      </c>
      <c r="N191" s="15">
        <v>94.0</v>
      </c>
    </row>
    <row r="192">
      <c r="A192" s="10">
        <v>623993.0</v>
      </c>
      <c r="B192" s="11" t="s">
        <v>309</v>
      </c>
      <c r="C192" s="12">
        <v>2745.0</v>
      </c>
      <c r="D192" s="10">
        <v>1347.0</v>
      </c>
      <c r="E192" s="13">
        <v>442.0</v>
      </c>
      <c r="F192" s="14">
        <v>0.024</v>
      </c>
      <c r="G192" s="15">
        <v>84.0</v>
      </c>
      <c r="H192" s="15">
        <v>78.0</v>
      </c>
      <c r="I192" s="15">
        <v>101.0</v>
      </c>
      <c r="J192" s="15">
        <v>80.0</v>
      </c>
      <c r="K192" s="15">
        <v>111.0</v>
      </c>
      <c r="L192" s="15">
        <v>107.0</v>
      </c>
      <c r="M192" s="15">
        <v>103.0</v>
      </c>
      <c r="N192" s="15">
        <v>108.0</v>
      </c>
    </row>
    <row r="193">
      <c r="A193" s="10">
        <v>663898.0</v>
      </c>
      <c r="B193" s="11" t="s">
        <v>261</v>
      </c>
      <c r="C193" s="12">
        <v>689.0</v>
      </c>
      <c r="D193" s="10">
        <v>332.0</v>
      </c>
      <c r="E193" s="13">
        <v>135.0</v>
      </c>
      <c r="F193" s="14">
        <v>-0.008</v>
      </c>
      <c r="G193" s="15">
        <v>96.0</v>
      </c>
      <c r="H193" s="15">
        <v>94.0</v>
      </c>
      <c r="I193" s="15">
        <v>93.0</v>
      </c>
      <c r="J193" s="15">
        <v>96.0</v>
      </c>
      <c r="K193" s="15">
        <v>110.0</v>
      </c>
      <c r="L193" s="15">
        <v>100.0</v>
      </c>
      <c r="M193" s="15">
        <v>103.0</v>
      </c>
      <c r="N193" s="15">
        <v>102.0</v>
      </c>
    </row>
    <row r="194">
      <c r="A194" s="10">
        <v>621466.0</v>
      </c>
      <c r="B194" s="11" t="s">
        <v>458</v>
      </c>
      <c r="C194" s="12">
        <v>738.0</v>
      </c>
      <c r="D194" s="10">
        <v>375.0</v>
      </c>
      <c r="E194" s="13">
        <v>105.0</v>
      </c>
      <c r="F194" s="14">
        <v>0.043</v>
      </c>
      <c r="G194" s="15">
        <v>129.0</v>
      </c>
      <c r="H194" s="15">
        <v>106.0</v>
      </c>
      <c r="I194" s="15">
        <v>115.0</v>
      </c>
      <c r="J194" s="15">
        <v>100.0</v>
      </c>
      <c r="K194" s="15">
        <v>75.0</v>
      </c>
      <c r="L194" s="15">
        <v>116.0</v>
      </c>
      <c r="M194" s="15">
        <v>103.0</v>
      </c>
      <c r="N194" s="15">
        <v>117.0</v>
      </c>
    </row>
    <row r="195">
      <c r="A195" s="10">
        <v>543510.0</v>
      </c>
      <c r="B195" s="11" t="s">
        <v>459</v>
      </c>
      <c r="C195" s="12">
        <v>838.0</v>
      </c>
      <c r="D195" s="10">
        <v>454.0</v>
      </c>
      <c r="E195" s="13">
        <v>152.0</v>
      </c>
      <c r="F195" s="14">
        <v>0.055</v>
      </c>
      <c r="G195" s="15">
        <v>82.0</v>
      </c>
      <c r="H195" s="15">
        <v>79.0</v>
      </c>
      <c r="I195" s="15">
        <v>111.0</v>
      </c>
      <c r="J195" s="15">
        <v>75.0</v>
      </c>
      <c r="K195" s="15">
        <v>102.0</v>
      </c>
      <c r="L195" s="15">
        <v>110.0</v>
      </c>
      <c r="M195" s="15">
        <v>103.0</v>
      </c>
      <c r="N195" s="15">
        <v>89.0</v>
      </c>
    </row>
    <row r="196">
      <c r="A196" s="10">
        <v>663728.0</v>
      </c>
      <c r="B196" s="11" t="s">
        <v>79</v>
      </c>
      <c r="C196" s="12">
        <v>2319.0</v>
      </c>
      <c r="D196" s="10">
        <v>1154.0</v>
      </c>
      <c r="E196" s="13">
        <v>356.0</v>
      </c>
      <c r="F196" s="14">
        <v>0.028</v>
      </c>
      <c r="G196" s="15">
        <v>104.0</v>
      </c>
      <c r="H196" s="15">
        <v>88.0</v>
      </c>
      <c r="I196" s="15">
        <v>96.0</v>
      </c>
      <c r="J196" s="15">
        <v>90.0</v>
      </c>
      <c r="K196" s="15">
        <v>90.0</v>
      </c>
      <c r="L196" s="15">
        <v>115.0</v>
      </c>
      <c r="M196" s="15">
        <v>103.0</v>
      </c>
      <c r="N196" s="15">
        <v>101.0</v>
      </c>
    </row>
    <row r="197">
      <c r="A197" s="10">
        <v>541645.0</v>
      </c>
      <c r="B197" s="11" t="s">
        <v>591</v>
      </c>
      <c r="C197" s="12">
        <v>432.0</v>
      </c>
      <c r="D197" s="10">
        <v>232.0</v>
      </c>
      <c r="E197" s="13">
        <v>69.0</v>
      </c>
      <c r="F197" s="14">
        <v>0.045</v>
      </c>
      <c r="G197" s="15">
        <v>104.0</v>
      </c>
      <c r="H197" s="15">
        <v>92.0</v>
      </c>
      <c r="I197" s="15">
        <v>89.0</v>
      </c>
      <c r="J197" s="15">
        <v>96.0</v>
      </c>
      <c r="K197" s="15">
        <v>92.0</v>
      </c>
      <c r="L197" s="15">
        <v>111.0</v>
      </c>
      <c r="M197" s="15">
        <v>103.0</v>
      </c>
      <c r="N197" s="15">
        <v>79.0</v>
      </c>
    </row>
    <row r="198">
      <c r="A198" s="10">
        <v>663886.0</v>
      </c>
      <c r="B198" s="11" t="s">
        <v>231</v>
      </c>
      <c r="C198" s="12">
        <v>2027.0</v>
      </c>
      <c r="D198" s="10">
        <v>863.0</v>
      </c>
      <c r="E198" s="13">
        <v>327.0</v>
      </c>
      <c r="F198" s="14">
        <v>-0.058</v>
      </c>
      <c r="G198" s="15">
        <v>100.0</v>
      </c>
      <c r="H198" s="15">
        <v>105.0</v>
      </c>
      <c r="I198" s="15">
        <v>77.0</v>
      </c>
      <c r="J198" s="15">
        <v>113.0</v>
      </c>
      <c r="K198" s="15">
        <v>90.0</v>
      </c>
      <c r="L198" s="15">
        <v>104.0</v>
      </c>
      <c r="M198" s="15">
        <v>103.0</v>
      </c>
      <c r="N198" s="15">
        <v>98.0</v>
      </c>
    </row>
    <row r="199">
      <c r="A199" s="10">
        <v>672284.0</v>
      </c>
      <c r="B199" s="11" t="s">
        <v>487</v>
      </c>
      <c r="C199" s="12">
        <v>1647.0</v>
      </c>
      <c r="D199" s="10">
        <v>770.0</v>
      </c>
      <c r="E199" s="13">
        <v>240.0</v>
      </c>
      <c r="F199" s="14">
        <v>-0.005</v>
      </c>
      <c r="G199" s="15">
        <v>102.0</v>
      </c>
      <c r="H199" s="15">
        <v>90.0</v>
      </c>
      <c r="I199" s="15">
        <v>80.0</v>
      </c>
      <c r="J199" s="15">
        <v>97.0</v>
      </c>
      <c r="K199" s="15">
        <v>84.0</v>
      </c>
      <c r="L199" s="15">
        <v>117.0</v>
      </c>
      <c r="M199" s="15">
        <v>103.0</v>
      </c>
      <c r="N199" s="15">
        <v>105.0</v>
      </c>
    </row>
    <row r="200">
      <c r="A200" s="10">
        <v>691023.0</v>
      </c>
      <c r="B200" s="11" t="s">
        <v>313</v>
      </c>
      <c r="C200" s="12">
        <v>1627.0</v>
      </c>
      <c r="D200" s="10">
        <v>839.0</v>
      </c>
      <c r="E200" s="13">
        <v>313.0</v>
      </c>
      <c r="F200" s="14">
        <v>0.031</v>
      </c>
      <c r="G200" s="15">
        <v>102.0</v>
      </c>
      <c r="H200" s="15">
        <v>92.0</v>
      </c>
      <c r="I200" s="15">
        <v>91.0</v>
      </c>
      <c r="J200" s="15">
        <v>96.0</v>
      </c>
      <c r="K200" s="15">
        <v>111.0</v>
      </c>
      <c r="L200" s="15">
        <v>99.0</v>
      </c>
      <c r="M200" s="15">
        <v>102.0</v>
      </c>
      <c r="N200" s="15">
        <v>108.0</v>
      </c>
    </row>
    <row r="201">
      <c r="A201" s="10">
        <v>605119.0</v>
      </c>
      <c r="B201" s="11" t="s">
        <v>592</v>
      </c>
      <c r="C201" s="12">
        <v>1426.0</v>
      </c>
      <c r="D201" s="10">
        <v>698.0</v>
      </c>
      <c r="E201" s="13">
        <v>213.0</v>
      </c>
      <c r="F201" s="14">
        <v>-0.017</v>
      </c>
      <c r="G201" s="15">
        <v>106.0</v>
      </c>
      <c r="H201" s="15">
        <v>112.0</v>
      </c>
      <c r="I201" s="15">
        <v>106.0</v>
      </c>
      <c r="J201" s="15">
        <v>110.0</v>
      </c>
      <c r="K201" s="15">
        <v>77.0</v>
      </c>
      <c r="L201" s="15">
        <v>109.0</v>
      </c>
      <c r="M201" s="15">
        <v>102.0</v>
      </c>
      <c r="N201" s="15">
        <v>97.0</v>
      </c>
    </row>
    <row r="202">
      <c r="A202" s="10">
        <v>683011.0</v>
      </c>
      <c r="B202" s="11" t="s">
        <v>215</v>
      </c>
      <c r="C202" s="12">
        <v>2323.0</v>
      </c>
      <c r="D202" s="10">
        <v>1111.0</v>
      </c>
      <c r="E202" s="13">
        <v>375.0</v>
      </c>
      <c r="F202" s="14">
        <v>-0.015</v>
      </c>
      <c r="G202" s="15">
        <v>105.0</v>
      </c>
      <c r="H202" s="15">
        <v>109.0</v>
      </c>
      <c r="I202" s="15">
        <v>102.0</v>
      </c>
      <c r="J202" s="15">
        <v>107.0</v>
      </c>
      <c r="K202" s="15">
        <v>82.0</v>
      </c>
      <c r="L202" s="15">
        <v>107.0</v>
      </c>
      <c r="M202" s="15">
        <v>102.0</v>
      </c>
      <c r="N202" s="15">
        <v>95.0</v>
      </c>
    </row>
    <row r="203">
      <c r="A203" s="10">
        <v>671277.0</v>
      </c>
      <c r="B203" s="11" t="s">
        <v>115</v>
      </c>
      <c r="C203" s="12">
        <v>1680.0</v>
      </c>
      <c r="D203" s="10">
        <v>853.0</v>
      </c>
      <c r="E203" s="13">
        <v>390.0</v>
      </c>
      <c r="F203" s="14">
        <v>0.061</v>
      </c>
      <c r="G203" s="15">
        <v>110.0</v>
      </c>
      <c r="H203" s="15">
        <v>91.0</v>
      </c>
      <c r="I203" s="15">
        <v>115.0</v>
      </c>
      <c r="J203" s="15">
        <v>87.0</v>
      </c>
      <c r="K203" s="15">
        <v>126.0</v>
      </c>
      <c r="L203" s="15">
        <v>93.0</v>
      </c>
      <c r="M203" s="15">
        <v>102.0</v>
      </c>
      <c r="N203" s="15">
        <v>89.0</v>
      </c>
    </row>
    <row r="204">
      <c r="A204" s="10">
        <v>680700.0</v>
      </c>
      <c r="B204" s="11" t="s">
        <v>462</v>
      </c>
      <c r="C204" s="12">
        <v>404.0</v>
      </c>
      <c r="D204" s="10">
        <v>184.0</v>
      </c>
      <c r="E204" s="13">
        <v>82.0</v>
      </c>
      <c r="F204" s="14">
        <v>-0.032</v>
      </c>
      <c r="G204" s="15">
        <v>119.0</v>
      </c>
      <c r="H204" s="15">
        <v>115.0</v>
      </c>
      <c r="I204" s="15">
        <v>109.0</v>
      </c>
      <c r="J204" s="15">
        <v>111.0</v>
      </c>
      <c r="K204" s="15">
        <v>116.0</v>
      </c>
      <c r="L204" s="15">
        <v>88.0</v>
      </c>
      <c r="M204" s="15">
        <v>102.0</v>
      </c>
      <c r="N204" s="15">
        <v>115.0</v>
      </c>
    </row>
    <row r="205">
      <c r="A205" s="10">
        <v>543228.0</v>
      </c>
      <c r="B205" s="11" t="s">
        <v>593</v>
      </c>
      <c r="C205" s="12">
        <v>1548.0</v>
      </c>
      <c r="D205" s="10">
        <v>811.0</v>
      </c>
      <c r="E205" s="13">
        <v>304.0</v>
      </c>
      <c r="F205" s="14">
        <v>0.048</v>
      </c>
      <c r="G205" s="15">
        <v>84.0</v>
      </c>
      <c r="H205" s="15">
        <v>87.0</v>
      </c>
      <c r="I205" s="15">
        <v>116.0</v>
      </c>
      <c r="J205" s="15">
        <v>82.0</v>
      </c>
      <c r="K205" s="15">
        <v>106.0</v>
      </c>
      <c r="L205" s="15">
        <v>103.0</v>
      </c>
      <c r="M205" s="15">
        <v>102.0</v>
      </c>
      <c r="N205" s="15">
        <v>100.0</v>
      </c>
    </row>
    <row r="206">
      <c r="A206" s="10">
        <v>547989.0</v>
      </c>
      <c r="B206" s="11" t="s">
        <v>573</v>
      </c>
      <c r="C206" s="12">
        <v>2382.0</v>
      </c>
      <c r="D206" s="10">
        <v>1194.0</v>
      </c>
      <c r="E206" s="13">
        <v>415.0</v>
      </c>
      <c r="F206" s="14">
        <v>0.01</v>
      </c>
      <c r="G206" s="15">
        <v>76.0</v>
      </c>
      <c r="H206" s="15">
        <v>80.0</v>
      </c>
      <c r="I206" s="15">
        <v>97.0</v>
      </c>
      <c r="J206" s="15">
        <v>82.0</v>
      </c>
      <c r="K206" s="15">
        <v>108.0</v>
      </c>
      <c r="L206" s="15">
        <v>106.0</v>
      </c>
      <c r="M206" s="15">
        <v>102.0</v>
      </c>
      <c r="N206" s="15">
        <v>94.0</v>
      </c>
    </row>
    <row r="207">
      <c r="A207" s="10">
        <v>669701.0</v>
      </c>
      <c r="B207" s="11" t="s">
        <v>202</v>
      </c>
      <c r="C207" s="12">
        <v>969.0</v>
      </c>
      <c r="D207" s="10">
        <v>412.0</v>
      </c>
      <c r="E207" s="13">
        <v>143.0</v>
      </c>
      <c r="F207" s="14">
        <v>-0.042</v>
      </c>
      <c r="G207" s="15">
        <v>96.0</v>
      </c>
      <c r="H207" s="15">
        <v>105.0</v>
      </c>
      <c r="I207" s="15">
        <v>93.0</v>
      </c>
      <c r="J207" s="15">
        <v>107.0</v>
      </c>
      <c r="K207" s="15">
        <v>97.0</v>
      </c>
      <c r="L207" s="15">
        <v>100.0</v>
      </c>
      <c r="M207" s="15">
        <v>102.0</v>
      </c>
      <c r="N207" s="15">
        <v>91.0</v>
      </c>
    </row>
    <row r="208">
      <c r="A208" s="10">
        <v>663837.0</v>
      </c>
      <c r="B208" s="11" t="s">
        <v>461</v>
      </c>
      <c r="C208" s="12">
        <v>2092.0</v>
      </c>
      <c r="D208" s="10">
        <v>926.0</v>
      </c>
      <c r="E208" s="13">
        <v>360.0</v>
      </c>
      <c r="F208" s="14">
        <v>-0.053</v>
      </c>
      <c r="G208" s="15">
        <v>84.0</v>
      </c>
      <c r="H208" s="15">
        <v>94.0</v>
      </c>
      <c r="I208" s="15">
        <v>88.0</v>
      </c>
      <c r="J208" s="15">
        <v>99.0</v>
      </c>
      <c r="K208" s="15">
        <v>116.0</v>
      </c>
      <c r="L208" s="15">
        <v>96.0</v>
      </c>
      <c r="M208" s="15">
        <v>102.0</v>
      </c>
      <c r="N208" s="15">
        <v>102.0</v>
      </c>
    </row>
    <row r="209">
      <c r="A209" s="10">
        <v>687263.0</v>
      </c>
      <c r="B209" s="11" t="s">
        <v>53</v>
      </c>
      <c r="C209" s="12">
        <v>1276.0</v>
      </c>
      <c r="D209" s="10">
        <v>611.0</v>
      </c>
      <c r="E209" s="13">
        <v>214.0</v>
      </c>
      <c r="F209" s="14">
        <v>-0.022</v>
      </c>
      <c r="G209" s="15">
        <v>108.0</v>
      </c>
      <c r="H209" s="15">
        <v>105.0</v>
      </c>
      <c r="I209" s="15">
        <v>88.0</v>
      </c>
      <c r="J209" s="15">
        <v>109.0</v>
      </c>
      <c r="K209" s="15">
        <v>103.0</v>
      </c>
      <c r="L209" s="15">
        <v>97.0</v>
      </c>
      <c r="M209" s="15">
        <v>102.0</v>
      </c>
      <c r="N209" s="15">
        <v>99.0</v>
      </c>
    </row>
    <row r="210">
      <c r="A210" s="10">
        <v>622569.0</v>
      </c>
      <c r="B210" s="11" t="s">
        <v>594</v>
      </c>
      <c r="C210" s="12">
        <v>704.0</v>
      </c>
      <c r="D210" s="10">
        <v>293.0</v>
      </c>
      <c r="E210" s="13">
        <v>147.0</v>
      </c>
      <c r="F210" s="14">
        <v>-0.078</v>
      </c>
      <c r="G210" s="15">
        <v>104.0</v>
      </c>
      <c r="H210" s="15">
        <v>109.0</v>
      </c>
      <c r="I210" s="15">
        <v>80.0</v>
      </c>
      <c r="J210" s="15">
        <v>116.0</v>
      </c>
      <c r="K210" s="15">
        <v>127.0</v>
      </c>
      <c r="L210" s="15">
        <v>87.0</v>
      </c>
      <c r="M210" s="15">
        <v>102.0</v>
      </c>
      <c r="N210" s="15">
        <v>102.0</v>
      </c>
    </row>
    <row r="211">
      <c r="A211" s="10">
        <v>641943.0</v>
      </c>
      <c r="B211" s="11" t="s">
        <v>244</v>
      </c>
      <c r="C211" s="12">
        <v>951.0</v>
      </c>
      <c r="D211" s="10">
        <v>495.0</v>
      </c>
      <c r="E211" s="13">
        <v>193.0</v>
      </c>
      <c r="F211" s="14">
        <v>0.041</v>
      </c>
      <c r="G211" s="15">
        <v>111.0</v>
      </c>
      <c r="H211" s="15">
        <v>102.0</v>
      </c>
      <c r="I211" s="15">
        <v>118.0</v>
      </c>
      <c r="J211" s="15">
        <v>94.0</v>
      </c>
      <c r="K211" s="15">
        <v>107.0</v>
      </c>
      <c r="L211" s="15">
        <v>97.0</v>
      </c>
      <c r="M211" s="15">
        <v>102.0</v>
      </c>
      <c r="N211" s="15">
        <v>92.0</v>
      </c>
    </row>
    <row r="212">
      <c r="A212" s="10">
        <v>676059.0</v>
      </c>
      <c r="B212" s="11" t="s">
        <v>78</v>
      </c>
      <c r="C212" s="12">
        <v>860.0</v>
      </c>
      <c r="D212" s="10">
        <v>419.0</v>
      </c>
      <c r="E212" s="13">
        <v>154.0</v>
      </c>
      <c r="F212" s="14">
        <v>-0.004</v>
      </c>
      <c r="G212" s="15">
        <v>108.0</v>
      </c>
      <c r="H212" s="15">
        <v>103.0</v>
      </c>
      <c r="I212" s="15">
        <v>99.0</v>
      </c>
      <c r="J212" s="15">
        <v>104.0</v>
      </c>
      <c r="K212" s="15">
        <v>99.0</v>
      </c>
      <c r="L212" s="15">
        <v>100.0</v>
      </c>
      <c r="M212" s="15">
        <v>102.0</v>
      </c>
      <c r="N212" s="15">
        <v>101.0</v>
      </c>
    </row>
    <row r="213">
      <c r="A213" s="10">
        <v>621438.0</v>
      </c>
      <c r="B213" s="11" t="s">
        <v>315</v>
      </c>
      <c r="C213" s="12">
        <v>882.0</v>
      </c>
      <c r="D213" s="10">
        <v>458.0</v>
      </c>
      <c r="E213" s="13">
        <v>177.0</v>
      </c>
      <c r="F213" s="14">
        <v>0.015</v>
      </c>
      <c r="G213" s="15">
        <v>91.0</v>
      </c>
      <c r="H213" s="15">
        <v>88.0</v>
      </c>
      <c r="I213" s="15">
        <v>102.0</v>
      </c>
      <c r="J213" s="15">
        <v>88.0</v>
      </c>
      <c r="K213" s="15">
        <v>105.0</v>
      </c>
      <c r="L213" s="15">
        <v>103.0</v>
      </c>
      <c r="M213" s="15">
        <v>101.0</v>
      </c>
      <c r="N213" s="15">
        <v>104.0</v>
      </c>
    </row>
    <row r="214">
      <c r="A214" s="10">
        <v>621439.0</v>
      </c>
      <c r="B214" s="11" t="s">
        <v>56</v>
      </c>
      <c r="C214" s="12">
        <v>1354.0</v>
      </c>
      <c r="D214" s="10">
        <v>676.0</v>
      </c>
      <c r="E214" s="13">
        <v>196.0</v>
      </c>
      <c r="F214" s="14">
        <v>0.01</v>
      </c>
      <c r="G214" s="15">
        <v>117.0</v>
      </c>
      <c r="H214" s="15">
        <v>105.0</v>
      </c>
      <c r="I214" s="15">
        <v>103.0</v>
      </c>
      <c r="J214" s="15">
        <v>103.0</v>
      </c>
      <c r="K214" s="15">
        <v>76.0</v>
      </c>
      <c r="L214" s="15">
        <v>114.0</v>
      </c>
      <c r="M214" s="15">
        <v>101.0</v>
      </c>
      <c r="N214" s="15">
        <v>100.0</v>
      </c>
    </row>
    <row r="215">
      <c r="A215" s="10">
        <v>663757.0</v>
      </c>
      <c r="B215" s="11" t="s">
        <v>54</v>
      </c>
      <c r="C215" s="12">
        <v>2327.0</v>
      </c>
      <c r="D215" s="10">
        <v>965.0</v>
      </c>
      <c r="E215" s="13">
        <v>317.0</v>
      </c>
      <c r="F215" s="14">
        <v>-0.083</v>
      </c>
      <c r="G215" s="15">
        <v>106.0</v>
      </c>
      <c r="H215" s="15">
        <v>110.0</v>
      </c>
      <c r="I215" s="15">
        <v>83.0</v>
      </c>
      <c r="J215" s="15">
        <v>116.0</v>
      </c>
      <c r="K215" s="15">
        <v>90.0</v>
      </c>
      <c r="L215" s="15">
        <v>101.0</v>
      </c>
      <c r="M215" s="15">
        <v>101.0</v>
      </c>
      <c r="N215" s="15">
        <v>97.0</v>
      </c>
    </row>
    <row r="216">
      <c r="A216" s="10">
        <v>669016.0</v>
      </c>
      <c r="B216" s="11" t="s">
        <v>162</v>
      </c>
      <c r="C216" s="12">
        <v>1962.0</v>
      </c>
      <c r="D216" s="10">
        <v>835.0</v>
      </c>
      <c r="E216" s="13">
        <v>261.0</v>
      </c>
      <c r="F216" s="14">
        <v>-0.037</v>
      </c>
      <c r="G216" s="15">
        <v>95.0</v>
      </c>
      <c r="H216" s="15">
        <v>94.0</v>
      </c>
      <c r="I216" s="15">
        <v>80.0</v>
      </c>
      <c r="J216" s="15">
        <v>101.0</v>
      </c>
      <c r="K216" s="15">
        <v>84.0</v>
      </c>
      <c r="L216" s="15">
        <v>114.0</v>
      </c>
      <c r="M216" s="15">
        <v>101.0</v>
      </c>
      <c r="N216" s="15">
        <v>114.0</v>
      </c>
    </row>
    <row r="217">
      <c r="A217" s="10">
        <v>518792.0</v>
      </c>
      <c r="B217" s="11" t="s">
        <v>544</v>
      </c>
      <c r="C217" s="12">
        <v>1393.0</v>
      </c>
      <c r="D217" s="10">
        <v>644.0</v>
      </c>
      <c r="E217" s="13">
        <v>267.0</v>
      </c>
      <c r="F217" s="14">
        <v>-0.012</v>
      </c>
      <c r="G217" s="15">
        <v>97.0</v>
      </c>
      <c r="H217" s="15">
        <v>100.0</v>
      </c>
      <c r="I217" s="15">
        <v>98.0</v>
      </c>
      <c r="J217" s="15">
        <v>100.0</v>
      </c>
      <c r="K217" s="15">
        <v>116.0</v>
      </c>
      <c r="L217" s="15">
        <v>93.0</v>
      </c>
      <c r="M217" s="15">
        <v>101.0</v>
      </c>
      <c r="N217" s="15">
        <v>110.0</v>
      </c>
    </row>
    <row r="218">
      <c r="A218" s="10">
        <v>694384.0</v>
      </c>
      <c r="B218" s="11" t="s">
        <v>172</v>
      </c>
      <c r="C218" s="12">
        <v>524.0</v>
      </c>
      <c r="D218" s="10">
        <v>217.0</v>
      </c>
      <c r="E218" s="13">
        <v>88.0</v>
      </c>
      <c r="F218" s="14">
        <v>-0.034</v>
      </c>
      <c r="G218" s="15">
        <v>108.0</v>
      </c>
      <c r="H218" s="15">
        <v>98.0</v>
      </c>
      <c r="I218" s="15">
        <v>79.0</v>
      </c>
      <c r="J218" s="15">
        <v>105.0</v>
      </c>
      <c r="K218" s="15">
        <v>126.0</v>
      </c>
      <c r="L218" s="15">
        <v>89.0</v>
      </c>
      <c r="M218" s="15">
        <v>101.0</v>
      </c>
      <c r="N218" s="15">
        <v>101.0</v>
      </c>
    </row>
    <row r="219">
      <c r="A219" s="10">
        <v>682626.0</v>
      </c>
      <c r="B219" s="11" t="s">
        <v>242</v>
      </c>
      <c r="C219" s="12">
        <v>1585.0</v>
      </c>
      <c r="D219" s="10">
        <v>712.0</v>
      </c>
      <c r="E219" s="13">
        <v>266.0</v>
      </c>
      <c r="F219" s="14">
        <v>-0.013</v>
      </c>
      <c r="G219" s="15">
        <v>110.0</v>
      </c>
      <c r="H219" s="15">
        <v>106.0</v>
      </c>
      <c r="I219" s="15">
        <v>94.0</v>
      </c>
      <c r="J219" s="15">
        <v>107.0</v>
      </c>
      <c r="K219" s="15">
        <v>90.0</v>
      </c>
      <c r="L219" s="15">
        <v>102.0</v>
      </c>
      <c r="M219" s="15">
        <v>101.0</v>
      </c>
      <c r="N219" s="15">
        <v>100.0</v>
      </c>
    </row>
    <row r="220">
      <c r="A220" s="10">
        <v>572191.0</v>
      </c>
      <c r="B220" s="11" t="s">
        <v>132</v>
      </c>
      <c r="C220" s="12">
        <v>1513.0</v>
      </c>
      <c r="D220" s="10">
        <v>738.0</v>
      </c>
      <c r="E220" s="13">
        <v>228.0</v>
      </c>
      <c r="F220" s="14">
        <v>0.005</v>
      </c>
      <c r="G220" s="15">
        <v>103.0</v>
      </c>
      <c r="H220" s="15">
        <v>91.0</v>
      </c>
      <c r="I220" s="15">
        <v>85.0</v>
      </c>
      <c r="J220" s="15">
        <v>96.0</v>
      </c>
      <c r="K220" s="15">
        <v>80.0</v>
      </c>
      <c r="L220" s="15">
        <v>118.0</v>
      </c>
      <c r="M220" s="15">
        <v>101.0</v>
      </c>
      <c r="N220" s="15">
        <v>98.0</v>
      </c>
    </row>
    <row r="221">
      <c r="A221" s="10">
        <v>571657.0</v>
      </c>
      <c r="B221" s="11" t="s">
        <v>340</v>
      </c>
      <c r="C221" s="12">
        <v>1389.0</v>
      </c>
      <c r="D221" s="10">
        <v>663.0</v>
      </c>
      <c r="E221" s="13">
        <v>250.0</v>
      </c>
      <c r="F221" s="14">
        <v>0.0</v>
      </c>
      <c r="G221" s="15">
        <v>78.0</v>
      </c>
      <c r="H221" s="15">
        <v>87.0</v>
      </c>
      <c r="I221" s="15">
        <v>94.0</v>
      </c>
      <c r="J221" s="15">
        <v>89.0</v>
      </c>
      <c r="K221" s="15">
        <v>107.0</v>
      </c>
      <c r="L221" s="15">
        <v>103.0</v>
      </c>
      <c r="M221" s="15">
        <v>101.0</v>
      </c>
      <c r="N221" s="15">
        <v>106.0</v>
      </c>
    </row>
    <row r="222">
      <c r="A222" s="10">
        <v>681584.0</v>
      </c>
      <c r="B222" s="11" t="s">
        <v>595</v>
      </c>
      <c r="C222" s="12">
        <v>543.0</v>
      </c>
      <c r="D222" s="10">
        <v>234.0</v>
      </c>
      <c r="E222" s="13">
        <v>80.0</v>
      </c>
      <c r="F222" s="14">
        <v>-0.064</v>
      </c>
      <c r="G222" s="15">
        <v>95.0</v>
      </c>
      <c r="H222" s="15">
        <v>104.0</v>
      </c>
      <c r="I222" s="15">
        <v>79.0</v>
      </c>
      <c r="J222" s="15">
        <v>111.0</v>
      </c>
      <c r="K222" s="15">
        <v>76.0</v>
      </c>
      <c r="L222" s="15">
        <v>112.0</v>
      </c>
      <c r="M222" s="15">
        <v>101.0</v>
      </c>
      <c r="N222" s="15">
        <v>79.0</v>
      </c>
    </row>
    <row r="223">
      <c r="A223" s="10">
        <v>542932.0</v>
      </c>
      <c r="B223" s="11" t="s">
        <v>596</v>
      </c>
      <c r="C223" s="12">
        <v>1571.0</v>
      </c>
      <c r="D223" s="10">
        <v>713.0</v>
      </c>
      <c r="E223" s="13">
        <v>310.0</v>
      </c>
      <c r="F223" s="14">
        <v>-0.054</v>
      </c>
      <c r="G223" s="15">
        <v>111.0</v>
      </c>
      <c r="H223" s="15">
        <v>114.0</v>
      </c>
      <c r="I223" s="15">
        <v>94.0</v>
      </c>
      <c r="J223" s="15">
        <v>118.0</v>
      </c>
      <c r="K223" s="15">
        <v>110.0</v>
      </c>
      <c r="L223" s="15">
        <v>90.0</v>
      </c>
      <c r="M223" s="15">
        <v>101.0</v>
      </c>
      <c r="N223" s="15">
        <v>111.0</v>
      </c>
    </row>
    <row r="224">
      <c r="A224" s="10">
        <v>663609.0</v>
      </c>
      <c r="B224" s="11" t="s">
        <v>597</v>
      </c>
      <c r="C224" s="12">
        <v>445.0</v>
      </c>
      <c r="D224" s="10">
        <v>185.0</v>
      </c>
      <c r="E224" s="13">
        <v>54.0</v>
      </c>
      <c r="F224" s="14">
        <v>-0.059</v>
      </c>
      <c r="G224" s="15">
        <v>110.0</v>
      </c>
      <c r="H224" s="15">
        <v>109.0</v>
      </c>
      <c r="I224" s="15">
        <v>65.0</v>
      </c>
      <c r="J224" s="15">
        <v>119.0</v>
      </c>
      <c r="K224" s="15">
        <v>89.0</v>
      </c>
      <c r="L224" s="15">
        <v>101.0</v>
      </c>
      <c r="M224" s="15">
        <v>101.0</v>
      </c>
      <c r="N224" s="15">
        <v>87.0</v>
      </c>
    </row>
    <row r="225">
      <c r="A225" s="10">
        <v>650859.0</v>
      </c>
      <c r="B225" s="11" t="s">
        <v>236</v>
      </c>
      <c r="C225" s="12">
        <v>1653.0</v>
      </c>
      <c r="D225" s="10">
        <v>828.0</v>
      </c>
      <c r="E225" s="13">
        <v>311.0</v>
      </c>
      <c r="F225" s="14">
        <v>0.039</v>
      </c>
      <c r="G225" s="15">
        <v>116.0</v>
      </c>
      <c r="H225" s="15">
        <v>104.0</v>
      </c>
      <c r="I225" s="15">
        <v>111.0</v>
      </c>
      <c r="J225" s="15">
        <v>100.0</v>
      </c>
      <c r="K225" s="15">
        <v>108.0</v>
      </c>
      <c r="L225" s="15">
        <v>94.0</v>
      </c>
      <c r="M225" s="15">
        <v>101.0</v>
      </c>
      <c r="N225" s="15">
        <v>107.0</v>
      </c>
    </row>
    <row r="226">
      <c r="A226" s="10">
        <v>571448.0</v>
      </c>
      <c r="B226" s="11" t="s">
        <v>310</v>
      </c>
      <c r="C226" s="12">
        <v>2232.0</v>
      </c>
      <c r="D226" s="10">
        <v>1081.0</v>
      </c>
      <c r="E226" s="13">
        <v>458.0</v>
      </c>
      <c r="F226" s="14">
        <v>0.012</v>
      </c>
      <c r="G226" s="15">
        <v>87.0</v>
      </c>
      <c r="H226" s="15">
        <v>82.0</v>
      </c>
      <c r="I226" s="15">
        <v>96.0</v>
      </c>
      <c r="J226" s="15">
        <v>84.0</v>
      </c>
      <c r="K226" s="15">
        <v>124.0</v>
      </c>
      <c r="L226" s="15">
        <v>96.0</v>
      </c>
      <c r="M226" s="15">
        <v>101.0</v>
      </c>
      <c r="N226" s="15">
        <v>107.0</v>
      </c>
    </row>
    <row r="227">
      <c r="A227" s="10">
        <v>650391.0</v>
      </c>
      <c r="B227" s="11" t="s">
        <v>480</v>
      </c>
      <c r="C227" s="12">
        <v>1705.0</v>
      </c>
      <c r="D227" s="10">
        <v>880.0</v>
      </c>
      <c r="E227" s="13">
        <v>360.0</v>
      </c>
      <c r="F227" s="14">
        <v>0.056</v>
      </c>
      <c r="G227" s="15">
        <v>91.0</v>
      </c>
      <c r="H227" s="15">
        <v>82.0</v>
      </c>
      <c r="I227" s="15">
        <v>91.0</v>
      </c>
      <c r="J227" s="15">
        <v>87.0</v>
      </c>
      <c r="K227" s="15">
        <v>115.0</v>
      </c>
      <c r="L227" s="15">
        <v>100.0</v>
      </c>
      <c r="M227" s="15">
        <v>101.0</v>
      </c>
      <c r="N227" s="15">
        <v>104.0</v>
      </c>
    </row>
    <row r="228">
      <c r="A228" s="10">
        <v>453568.0</v>
      </c>
      <c r="B228" s="11" t="s">
        <v>511</v>
      </c>
      <c r="C228" s="12">
        <v>1504.0</v>
      </c>
      <c r="D228" s="10">
        <v>712.0</v>
      </c>
      <c r="E228" s="13">
        <v>305.0</v>
      </c>
      <c r="F228" s="14">
        <v>0.008</v>
      </c>
      <c r="G228" s="15">
        <v>93.0</v>
      </c>
      <c r="H228" s="15">
        <v>99.0</v>
      </c>
      <c r="I228" s="15">
        <v>104.0</v>
      </c>
      <c r="J228" s="15">
        <v>97.0</v>
      </c>
      <c r="K228" s="15">
        <v>119.0</v>
      </c>
      <c r="L228" s="15">
        <v>92.0</v>
      </c>
      <c r="M228" s="15">
        <v>100.0</v>
      </c>
      <c r="N228" s="15">
        <v>112.0</v>
      </c>
    </row>
    <row r="229">
      <c r="A229" s="10">
        <v>673490.0</v>
      </c>
      <c r="B229" s="11" t="s">
        <v>457</v>
      </c>
      <c r="C229" s="12">
        <v>2706.0</v>
      </c>
      <c r="D229" s="10">
        <v>1052.0</v>
      </c>
      <c r="E229" s="13">
        <v>420.0</v>
      </c>
      <c r="F229" s="14">
        <v>-0.121</v>
      </c>
      <c r="G229" s="15">
        <v>85.0</v>
      </c>
      <c r="H229" s="15">
        <v>114.0</v>
      </c>
      <c r="I229" s="15">
        <v>86.0</v>
      </c>
      <c r="J229" s="15">
        <v>121.0</v>
      </c>
      <c r="K229" s="15">
        <v>111.0</v>
      </c>
      <c r="L229" s="15">
        <v>87.0</v>
      </c>
      <c r="M229" s="15">
        <v>100.0</v>
      </c>
      <c r="N229" s="15">
        <v>111.0</v>
      </c>
    </row>
    <row r="230">
      <c r="A230" s="10">
        <v>669720.0</v>
      </c>
      <c r="B230" s="11" t="s">
        <v>138</v>
      </c>
      <c r="C230" s="12">
        <v>2096.0</v>
      </c>
      <c r="D230" s="10">
        <v>974.0</v>
      </c>
      <c r="E230" s="13">
        <v>378.0</v>
      </c>
      <c r="F230" s="14">
        <v>-0.006</v>
      </c>
      <c r="G230" s="15">
        <v>92.0</v>
      </c>
      <c r="H230" s="15">
        <v>91.0</v>
      </c>
      <c r="I230" s="15">
        <v>83.0</v>
      </c>
      <c r="J230" s="15">
        <v>97.0</v>
      </c>
      <c r="K230" s="15">
        <v>100.0</v>
      </c>
      <c r="L230" s="15">
        <v>104.0</v>
      </c>
      <c r="M230" s="15">
        <v>100.0</v>
      </c>
      <c r="N230" s="15">
        <v>109.0</v>
      </c>
    </row>
    <row r="231">
      <c r="A231" s="10">
        <v>683146.0</v>
      </c>
      <c r="B231" s="11" t="s">
        <v>137</v>
      </c>
      <c r="C231" s="12">
        <v>1480.0</v>
      </c>
      <c r="D231" s="10">
        <v>680.0</v>
      </c>
      <c r="E231" s="13">
        <v>240.0</v>
      </c>
      <c r="F231" s="14">
        <v>-0.015</v>
      </c>
      <c r="G231" s="15">
        <v>96.0</v>
      </c>
      <c r="H231" s="15">
        <v>94.0</v>
      </c>
      <c r="I231" s="15">
        <v>92.0</v>
      </c>
      <c r="J231" s="15">
        <v>97.0</v>
      </c>
      <c r="K231" s="15">
        <v>92.0</v>
      </c>
      <c r="L231" s="15">
        <v>106.0</v>
      </c>
      <c r="M231" s="15">
        <v>100.0</v>
      </c>
      <c r="N231" s="15">
        <v>82.0</v>
      </c>
    </row>
    <row r="232">
      <c r="A232" s="10">
        <v>641432.0</v>
      </c>
      <c r="B232" s="11" t="s">
        <v>469</v>
      </c>
      <c r="C232" s="12">
        <v>561.0</v>
      </c>
      <c r="D232" s="10">
        <v>222.0</v>
      </c>
      <c r="E232" s="13">
        <v>114.0</v>
      </c>
      <c r="F232" s="14">
        <v>-0.05</v>
      </c>
      <c r="G232" s="15">
        <v>99.0</v>
      </c>
      <c r="H232" s="15">
        <v>101.0</v>
      </c>
      <c r="I232" s="15">
        <v>78.0</v>
      </c>
      <c r="J232" s="15">
        <v>109.0</v>
      </c>
      <c r="K232" s="15">
        <v>117.0</v>
      </c>
      <c r="L232" s="15">
        <v>93.0</v>
      </c>
      <c r="M232" s="15">
        <v>100.0</v>
      </c>
      <c r="N232" s="15">
        <v>100.0</v>
      </c>
    </row>
    <row r="233">
      <c r="A233" s="10">
        <v>666185.0</v>
      </c>
      <c r="B233" s="11" t="s">
        <v>272</v>
      </c>
      <c r="C233" s="12">
        <v>1026.0</v>
      </c>
      <c r="D233" s="10">
        <v>475.0</v>
      </c>
      <c r="E233" s="13">
        <v>172.0</v>
      </c>
      <c r="F233" s="14">
        <v>-0.016</v>
      </c>
      <c r="G233" s="15">
        <v>110.0</v>
      </c>
      <c r="H233" s="15">
        <v>108.0</v>
      </c>
      <c r="I233" s="15">
        <v>104.0</v>
      </c>
      <c r="J233" s="15">
        <v>106.0</v>
      </c>
      <c r="K233" s="15">
        <v>106.0</v>
      </c>
      <c r="L233" s="15">
        <v>92.0</v>
      </c>
      <c r="M233" s="15">
        <v>100.0</v>
      </c>
      <c r="N233" s="15">
        <v>87.0</v>
      </c>
    </row>
    <row r="234">
      <c r="A234" s="10">
        <v>678009.0</v>
      </c>
      <c r="B234" s="11" t="s">
        <v>265</v>
      </c>
      <c r="C234" s="12">
        <v>591.0</v>
      </c>
      <c r="D234" s="10">
        <v>252.0</v>
      </c>
      <c r="E234" s="13">
        <v>87.0</v>
      </c>
      <c r="F234" s="14">
        <v>-0.04</v>
      </c>
      <c r="G234" s="15">
        <v>101.0</v>
      </c>
      <c r="H234" s="15">
        <v>107.0</v>
      </c>
      <c r="I234" s="15">
        <v>92.0</v>
      </c>
      <c r="J234" s="15">
        <v>109.0</v>
      </c>
      <c r="K234" s="15">
        <v>93.0</v>
      </c>
      <c r="L234" s="15">
        <v>99.0</v>
      </c>
      <c r="M234" s="15">
        <v>100.0</v>
      </c>
      <c r="N234" s="15">
        <v>97.0</v>
      </c>
    </row>
    <row r="235">
      <c r="A235" s="10">
        <v>444482.0</v>
      </c>
      <c r="B235" s="11" t="s">
        <v>463</v>
      </c>
      <c r="C235" s="12">
        <v>1498.0</v>
      </c>
      <c r="D235" s="10">
        <v>814.0</v>
      </c>
      <c r="E235" s="13">
        <v>320.0</v>
      </c>
      <c r="F235" s="14">
        <v>0.071</v>
      </c>
      <c r="G235" s="15">
        <v>105.0</v>
      </c>
      <c r="H235" s="15">
        <v>93.0</v>
      </c>
      <c r="I235" s="15">
        <v>121.0</v>
      </c>
      <c r="J235" s="15">
        <v>85.0</v>
      </c>
      <c r="K235" s="15">
        <v>114.0</v>
      </c>
      <c r="L235" s="15">
        <v>95.0</v>
      </c>
      <c r="M235" s="15">
        <v>100.0</v>
      </c>
      <c r="N235" s="15">
        <v>92.0</v>
      </c>
    </row>
    <row r="236">
      <c r="A236" s="10">
        <v>553882.0</v>
      </c>
      <c r="B236" s="11" t="s">
        <v>598</v>
      </c>
      <c r="C236" s="12">
        <v>570.0</v>
      </c>
      <c r="D236" s="10">
        <v>264.0</v>
      </c>
      <c r="E236" s="13">
        <v>104.0</v>
      </c>
      <c r="F236" s="14">
        <v>-0.01</v>
      </c>
      <c r="G236" s="15">
        <v>111.0</v>
      </c>
      <c r="H236" s="15">
        <v>116.0</v>
      </c>
      <c r="I236" s="15">
        <v>124.0</v>
      </c>
      <c r="J236" s="15">
        <v>107.0</v>
      </c>
      <c r="K236" s="15">
        <v>102.0</v>
      </c>
      <c r="L236" s="15">
        <v>91.0</v>
      </c>
      <c r="M236" s="15">
        <v>100.0</v>
      </c>
      <c r="N236" s="15">
        <v>81.0</v>
      </c>
    </row>
    <row r="237">
      <c r="A237" s="10">
        <v>665862.0</v>
      </c>
      <c r="B237" s="11" t="s">
        <v>87</v>
      </c>
      <c r="C237" s="12">
        <v>1525.0</v>
      </c>
      <c r="D237" s="10">
        <v>689.0</v>
      </c>
      <c r="E237" s="13">
        <v>234.0</v>
      </c>
      <c r="F237" s="14">
        <v>-0.014</v>
      </c>
      <c r="G237" s="15">
        <v>102.0</v>
      </c>
      <c r="H237" s="15">
        <v>97.0</v>
      </c>
      <c r="I237" s="15">
        <v>96.0</v>
      </c>
      <c r="J237" s="15">
        <v>99.0</v>
      </c>
      <c r="K237" s="15">
        <v>82.0</v>
      </c>
      <c r="L237" s="15">
        <v>111.0</v>
      </c>
      <c r="M237" s="15">
        <v>100.0</v>
      </c>
      <c r="N237" s="15">
        <v>109.0</v>
      </c>
    </row>
    <row r="238">
      <c r="A238" s="10">
        <v>681082.0</v>
      </c>
      <c r="B238" s="11" t="s">
        <v>233</v>
      </c>
      <c r="C238" s="12">
        <v>2640.0</v>
      </c>
      <c r="D238" s="10">
        <v>1186.0</v>
      </c>
      <c r="E238" s="13">
        <v>488.0</v>
      </c>
      <c r="F238" s="14">
        <v>-0.038</v>
      </c>
      <c r="G238" s="15">
        <v>75.0</v>
      </c>
      <c r="H238" s="15">
        <v>92.0</v>
      </c>
      <c r="I238" s="15">
        <v>99.0</v>
      </c>
      <c r="J238" s="15">
        <v>92.0</v>
      </c>
      <c r="K238" s="15">
        <v>120.0</v>
      </c>
      <c r="L238" s="15">
        <v>93.0</v>
      </c>
      <c r="M238" s="15">
        <v>100.0</v>
      </c>
      <c r="N238" s="15">
        <v>108.0</v>
      </c>
    </row>
    <row r="239">
      <c r="A239" s="10">
        <v>677649.0</v>
      </c>
      <c r="B239" s="11" t="s">
        <v>562</v>
      </c>
      <c r="C239" s="12">
        <v>1627.0</v>
      </c>
      <c r="D239" s="10">
        <v>875.0</v>
      </c>
      <c r="E239" s="13">
        <v>284.0</v>
      </c>
      <c r="F239" s="14">
        <v>0.047</v>
      </c>
      <c r="G239" s="15">
        <v>88.0</v>
      </c>
      <c r="H239" s="15">
        <v>80.0</v>
      </c>
      <c r="I239" s="15">
        <v>92.0</v>
      </c>
      <c r="J239" s="15">
        <v>84.0</v>
      </c>
      <c r="K239" s="15">
        <v>93.0</v>
      </c>
      <c r="L239" s="15">
        <v>113.0</v>
      </c>
      <c r="M239" s="15">
        <v>100.0</v>
      </c>
      <c r="N239" s="15">
        <v>111.0</v>
      </c>
    </row>
    <row r="240">
      <c r="A240" s="10">
        <v>467793.0</v>
      </c>
      <c r="B240" s="11" t="s">
        <v>264</v>
      </c>
      <c r="C240" s="12">
        <v>2426.0</v>
      </c>
      <c r="D240" s="10">
        <v>1099.0</v>
      </c>
      <c r="E240" s="13">
        <v>442.0</v>
      </c>
      <c r="F240" s="14">
        <v>-0.017</v>
      </c>
      <c r="G240" s="15">
        <v>117.0</v>
      </c>
      <c r="H240" s="15">
        <v>118.0</v>
      </c>
      <c r="I240" s="15">
        <v>113.0</v>
      </c>
      <c r="J240" s="15">
        <v>112.0</v>
      </c>
      <c r="K240" s="15">
        <v>108.0</v>
      </c>
      <c r="L240" s="15">
        <v>87.0</v>
      </c>
      <c r="M240" s="15">
        <v>100.0</v>
      </c>
      <c r="N240" s="15">
        <v>104.0</v>
      </c>
    </row>
    <row r="241">
      <c r="A241" s="10">
        <v>680757.0</v>
      </c>
      <c r="B241" s="11" t="s">
        <v>198</v>
      </c>
      <c r="C241" s="12">
        <v>2804.0</v>
      </c>
      <c r="D241" s="10">
        <v>1153.0</v>
      </c>
      <c r="E241" s="13">
        <v>561.0</v>
      </c>
      <c r="F241" s="14">
        <v>-0.06</v>
      </c>
      <c r="G241" s="15">
        <v>92.0</v>
      </c>
      <c r="H241" s="15">
        <v>112.0</v>
      </c>
      <c r="I241" s="15">
        <v>104.0</v>
      </c>
      <c r="J241" s="15">
        <v>110.0</v>
      </c>
      <c r="K241" s="15">
        <v>132.0</v>
      </c>
      <c r="L241" s="15">
        <v>82.0</v>
      </c>
      <c r="M241" s="15">
        <v>100.0</v>
      </c>
      <c r="N241" s="15">
        <v>102.0</v>
      </c>
    </row>
    <row r="242">
      <c r="A242" s="10">
        <v>592178.0</v>
      </c>
      <c r="B242" s="11" t="s">
        <v>531</v>
      </c>
      <c r="C242" s="12">
        <v>1267.0</v>
      </c>
      <c r="D242" s="10">
        <v>582.0</v>
      </c>
      <c r="E242" s="13">
        <v>231.0</v>
      </c>
      <c r="F242" s="14">
        <v>-0.006</v>
      </c>
      <c r="G242" s="15">
        <v>116.0</v>
      </c>
      <c r="H242" s="15">
        <v>109.0</v>
      </c>
      <c r="I242" s="15">
        <v>107.0</v>
      </c>
      <c r="J242" s="15">
        <v>106.0</v>
      </c>
      <c r="K242" s="15">
        <v>98.0</v>
      </c>
      <c r="L242" s="15">
        <v>96.0</v>
      </c>
      <c r="M242" s="15">
        <v>100.0</v>
      </c>
      <c r="N242" s="15">
        <v>93.0</v>
      </c>
    </row>
    <row r="243">
      <c r="A243" s="10">
        <v>678246.0</v>
      </c>
      <c r="B243" s="11" t="s">
        <v>163</v>
      </c>
      <c r="C243" s="12">
        <v>1187.0</v>
      </c>
      <c r="D243" s="10">
        <v>526.0</v>
      </c>
      <c r="E243" s="13">
        <v>199.0</v>
      </c>
      <c r="F243" s="14">
        <v>-0.043</v>
      </c>
      <c r="G243" s="15">
        <v>127.0</v>
      </c>
      <c r="H243" s="15">
        <v>129.0</v>
      </c>
      <c r="I243" s="15">
        <v>113.0</v>
      </c>
      <c r="J243" s="15">
        <v>123.0</v>
      </c>
      <c r="K243" s="15">
        <v>91.0</v>
      </c>
      <c r="L243" s="15">
        <v>89.0</v>
      </c>
      <c r="M243" s="15">
        <v>100.0</v>
      </c>
      <c r="N243" s="15">
        <v>95.0</v>
      </c>
    </row>
    <row r="244">
      <c r="A244" s="10">
        <v>606115.0</v>
      </c>
      <c r="B244" s="11" t="s">
        <v>380</v>
      </c>
      <c r="C244" s="12">
        <v>2109.0</v>
      </c>
      <c r="D244" s="10">
        <v>975.0</v>
      </c>
      <c r="E244" s="13">
        <v>384.0</v>
      </c>
      <c r="F244" s="14">
        <v>-0.037</v>
      </c>
      <c r="G244" s="15">
        <v>101.0</v>
      </c>
      <c r="H244" s="15">
        <v>113.0</v>
      </c>
      <c r="I244" s="15">
        <v>106.0</v>
      </c>
      <c r="J244" s="15">
        <v>110.0</v>
      </c>
      <c r="K244" s="15">
        <v>101.0</v>
      </c>
      <c r="L244" s="15">
        <v>93.0</v>
      </c>
      <c r="M244" s="15">
        <v>100.0</v>
      </c>
      <c r="N244" s="15">
        <v>105.0</v>
      </c>
    </row>
    <row r="245">
      <c r="A245" s="10">
        <v>680118.0</v>
      </c>
      <c r="B245" s="11" t="s">
        <v>556</v>
      </c>
      <c r="C245" s="12">
        <v>503.0</v>
      </c>
      <c r="D245" s="10">
        <v>251.0</v>
      </c>
      <c r="E245" s="13">
        <v>92.0</v>
      </c>
      <c r="F245" s="14">
        <v>0.002</v>
      </c>
      <c r="G245" s="15">
        <v>113.0</v>
      </c>
      <c r="H245" s="15">
        <v>110.0</v>
      </c>
      <c r="I245" s="15">
        <v>107.0</v>
      </c>
      <c r="J245" s="15">
        <v>107.0</v>
      </c>
      <c r="K245" s="15">
        <v>92.0</v>
      </c>
      <c r="L245" s="15">
        <v>99.0</v>
      </c>
      <c r="M245" s="15">
        <v>100.0</v>
      </c>
      <c r="N245" s="15">
        <v>108.0</v>
      </c>
    </row>
    <row r="246">
      <c r="A246" s="10">
        <v>594777.0</v>
      </c>
      <c r="B246" s="11" t="s">
        <v>599</v>
      </c>
      <c r="C246" s="12">
        <v>677.0</v>
      </c>
      <c r="D246" s="10">
        <v>327.0</v>
      </c>
      <c r="E246" s="13">
        <v>121.0</v>
      </c>
      <c r="F246" s="14">
        <v>0.043</v>
      </c>
      <c r="G246" s="15">
        <v>121.0</v>
      </c>
      <c r="H246" s="15">
        <v>110.0</v>
      </c>
      <c r="I246" s="15">
        <v>122.0</v>
      </c>
      <c r="J246" s="15">
        <v>102.0</v>
      </c>
      <c r="K246" s="15">
        <v>95.0</v>
      </c>
      <c r="L246" s="15">
        <v>97.0</v>
      </c>
      <c r="M246" s="15">
        <v>99.0</v>
      </c>
      <c r="N246" s="15">
        <v>92.0</v>
      </c>
    </row>
    <row r="247">
      <c r="A247" s="10">
        <v>521692.0</v>
      </c>
      <c r="B247" s="11" t="s">
        <v>82</v>
      </c>
      <c r="C247" s="12">
        <v>2028.0</v>
      </c>
      <c r="D247" s="10">
        <v>1219.0</v>
      </c>
      <c r="E247" s="13">
        <v>404.0</v>
      </c>
      <c r="F247" s="14">
        <v>0.145</v>
      </c>
      <c r="G247" s="15">
        <v>74.0</v>
      </c>
      <c r="H247" s="15">
        <v>54.0</v>
      </c>
      <c r="I247" s="15">
        <v>113.0</v>
      </c>
      <c r="J247" s="15">
        <v>56.0</v>
      </c>
      <c r="K247" s="15">
        <v>104.0</v>
      </c>
      <c r="L247" s="15">
        <v>116.0</v>
      </c>
      <c r="M247" s="15">
        <v>99.0</v>
      </c>
      <c r="N247" s="15">
        <v>91.0</v>
      </c>
    </row>
    <row r="248">
      <c r="A248" s="10">
        <v>681546.0</v>
      </c>
      <c r="B248" s="11" t="s">
        <v>509</v>
      </c>
      <c r="C248" s="12">
        <v>2324.0</v>
      </c>
      <c r="D248" s="10">
        <v>1068.0</v>
      </c>
      <c r="E248" s="13">
        <v>300.0</v>
      </c>
      <c r="F248" s="14">
        <v>-0.009</v>
      </c>
      <c r="G248" s="15">
        <v>118.0</v>
      </c>
      <c r="H248" s="15">
        <v>111.0</v>
      </c>
      <c r="I248" s="15">
        <v>101.0</v>
      </c>
      <c r="J248" s="15">
        <v>110.0</v>
      </c>
      <c r="K248" s="15">
        <v>75.0</v>
      </c>
      <c r="L248" s="15">
        <v>108.0</v>
      </c>
      <c r="M248" s="15">
        <v>99.0</v>
      </c>
      <c r="N248" s="15">
        <v>109.0</v>
      </c>
    </row>
    <row r="249">
      <c r="A249" s="10">
        <v>665804.0</v>
      </c>
      <c r="B249" s="11" t="s">
        <v>500</v>
      </c>
      <c r="C249" s="12">
        <v>616.0</v>
      </c>
      <c r="D249" s="10">
        <v>288.0</v>
      </c>
      <c r="E249" s="13">
        <v>92.0</v>
      </c>
      <c r="F249" s="14">
        <v>-0.026</v>
      </c>
      <c r="G249" s="15">
        <v>96.0</v>
      </c>
      <c r="H249" s="15">
        <v>106.0</v>
      </c>
      <c r="I249" s="15">
        <v>97.0</v>
      </c>
      <c r="J249" s="15">
        <v>107.0</v>
      </c>
      <c r="K249" s="15">
        <v>94.0</v>
      </c>
      <c r="L249" s="15">
        <v>98.0</v>
      </c>
      <c r="M249" s="15">
        <v>99.0</v>
      </c>
      <c r="N249" s="15">
        <v>99.0</v>
      </c>
    </row>
    <row r="250">
      <c r="A250" s="10">
        <v>667452.0</v>
      </c>
      <c r="B250" s="11" t="s">
        <v>508</v>
      </c>
      <c r="C250" s="12">
        <v>1310.0</v>
      </c>
      <c r="D250" s="10">
        <v>598.0</v>
      </c>
      <c r="E250" s="13">
        <v>223.0</v>
      </c>
      <c r="F250" s="14">
        <v>-0.031</v>
      </c>
      <c r="G250" s="15">
        <v>88.0</v>
      </c>
      <c r="H250" s="15">
        <v>98.0</v>
      </c>
      <c r="I250" s="15">
        <v>95.0</v>
      </c>
      <c r="J250" s="15">
        <v>99.0</v>
      </c>
      <c r="K250" s="15">
        <v>106.0</v>
      </c>
      <c r="L250" s="15">
        <v>96.0</v>
      </c>
      <c r="M250" s="15">
        <v>99.0</v>
      </c>
      <c r="N250" s="15">
        <v>98.0</v>
      </c>
    </row>
    <row r="251">
      <c r="A251" s="10">
        <v>516782.0</v>
      </c>
      <c r="B251" s="11" t="s">
        <v>256</v>
      </c>
      <c r="C251" s="12">
        <v>1254.0</v>
      </c>
      <c r="D251" s="10">
        <v>675.0</v>
      </c>
      <c r="E251" s="13">
        <v>245.0</v>
      </c>
      <c r="F251" s="14">
        <v>0.048</v>
      </c>
      <c r="G251" s="15">
        <v>93.0</v>
      </c>
      <c r="H251" s="15">
        <v>90.0</v>
      </c>
      <c r="I251" s="15">
        <v>125.0</v>
      </c>
      <c r="J251" s="15">
        <v>82.0</v>
      </c>
      <c r="K251" s="15">
        <v>113.0</v>
      </c>
      <c r="L251" s="15">
        <v>95.0</v>
      </c>
      <c r="M251" s="15">
        <v>99.0</v>
      </c>
      <c r="N251" s="15">
        <v>87.0</v>
      </c>
    </row>
    <row r="252">
      <c r="A252" s="10">
        <v>662139.0</v>
      </c>
      <c r="B252" s="11" t="s">
        <v>548</v>
      </c>
      <c r="C252" s="12">
        <v>2297.0</v>
      </c>
      <c r="D252" s="10">
        <v>1149.0</v>
      </c>
      <c r="E252" s="13">
        <v>394.0</v>
      </c>
      <c r="F252" s="14">
        <v>0.009</v>
      </c>
      <c r="G252" s="15">
        <v>108.0</v>
      </c>
      <c r="H252" s="15">
        <v>102.0</v>
      </c>
      <c r="I252" s="15">
        <v>105.0</v>
      </c>
      <c r="J252" s="15">
        <v>100.0</v>
      </c>
      <c r="K252" s="15">
        <v>99.0</v>
      </c>
      <c r="L252" s="15">
        <v>98.0</v>
      </c>
      <c r="M252" s="15">
        <v>99.0</v>
      </c>
      <c r="N252" s="15">
        <v>97.0</v>
      </c>
    </row>
    <row r="253">
      <c r="A253" s="10">
        <v>665750.0</v>
      </c>
      <c r="B253" s="11" t="s">
        <v>377</v>
      </c>
      <c r="C253" s="12">
        <v>2078.0</v>
      </c>
      <c r="D253" s="10">
        <v>1027.0</v>
      </c>
      <c r="E253" s="13">
        <v>396.0</v>
      </c>
      <c r="F253" s="14">
        <v>0.009</v>
      </c>
      <c r="G253" s="15">
        <v>106.0</v>
      </c>
      <c r="H253" s="15">
        <v>100.0</v>
      </c>
      <c r="I253" s="15">
        <v>103.0</v>
      </c>
      <c r="J253" s="15">
        <v>99.0</v>
      </c>
      <c r="K253" s="15">
        <v>108.0</v>
      </c>
      <c r="L253" s="15">
        <v>94.0</v>
      </c>
      <c r="M253" s="15">
        <v>99.0</v>
      </c>
      <c r="N253" s="15">
        <v>101.0</v>
      </c>
    </row>
    <row r="254">
      <c r="A254" s="10">
        <v>670623.0</v>
      </c>
      <c r="B254" s="11" t="s">
        <v>133</v>
      </c>
      <c r="C254" s="12">
        <v>2336.0</v>
      </c>
      <c r="D254" s="10">
        <v>1064.0</v>
      </c>
      <c r="E254" s="13">
        <v>386.0</v>
      </c>
      <c r="F254" s="14">
        <v>-0.002</v>
      </c>
      <c r="G254" s="15">
        <v>100.0</v>
      </c>
      <c r="H254" s="15">
        <v>104.0</v>
      </c>
      <c r="I254" s="15">
        <v>112.0</v>
      </c>
      <c r="J254" s="15">
        <v>99.0</v>
      </c>
      <c r="K254" s="15">
        <v>114.0</v>
      </c>
      <c r="L254" s="15">
        <v>88.0</v>
      </c>
      <c r="M254" s="15">
        <v>98.0</v>
      </c>
      <c r="N254" s="15">
        <v>118.0</v>
      </c>
    </row>
    <row r="255">
      <c r="A255" s="10">
        <v>543257.0</v>
      </c>
      <c r="B255" s="11" t="s">
        <v>492</v>
      </c>
      <c r="C255" s="12">
        <v>1690.0</v>
      </c>
      <c r="D255" s="10">
        <v>644.0</v>
      </c>
      <c r="E255" s="13">
        <v>258.0</v>
      </c>
      <c r="F255" s="14">
        <v>-0.095</v>
      </c>
      <c r="G255" s="15">
        <v>112.0</v>
      </c>
      <c r="H255" s="15">
        <v>124.0</v>
      </c>
      <c r="I255" s="15">
        <v>88.0</v>
      </c>
      <c r="J255" s="15">
        <v>127.0</v>
      </c>
      <c r="K255" s="15">
        <v>97.0</v>
      </c>
      <c r="L255" s="15">
        <v>86.0</v>
      </c>
      <c r="M255" s="15">
        <v>98.0</v>
      </c>
      <c r="N255" s="15">
        <v>107.0</v>
      </c>
    </row>
    <row r="256">
      <c r="A256" s="10">
        <v>682622.0</v>
      </c>
      <c r="B256" s="11" t="s">
        <v>553</v>
      </c>
      <c r="C256" s="12">
        <v>440.0</v>
      </c>
      <c r="D256" s="10">
        <v>206.0</v>
      </c>
      <c r="E256" s="13">
        <v>87.0</v>
      </c>
      <c r="F256" s="14">
        <v>-0.025</v>
      </c>
      <c r="G256" s="15">
        <v>99.0</v>
      </c>
      <c r="H256" s="15">
        <v>97.0</v>
      </c>
      <c r="I256" s="15">
        <v>89.0</v>
      </c>
      <c r="J256" s="15">
        <v>101.0</v>
      </c>
      <c r="K256" s="15">
        <v>112.0</v>
      </c>
      <c r="L256" s="15">
        <v>94.0</v>
      </c>
      <c r="M256" s="15">
        <v>98.0</v>
      </c>
      <c r="N256" s="15">
        <v>119.0</v>
      </c>
    </row>
    <row r="257">
      <c r="A257" s="10">
        <v>596059.0</v>
      </c>
      <c r="B257" s="11" t="s">
        <v>600</v>
      </c>
      <c r="C257" s="12">
        <v>582.0</v>
      </c>
      <c r="D257" s="10">
        <v>284.0</v>
      </c>
      <c r="E257" s="13">
        <v>101.0</v>
      </c>
      <c r="F257" s="14">
        <v>0.057</v>
      </c>
      <c r="G257" s="15">
        <v>116.0</v>
      </c>
      <c r="H257" s="15">
        <v>94.0</v>
      </c>
      <c r="I257" s="15">
        <v>116.0</v>
      </c>
      <c r="J257" s="15">
        <v>90.0</v>
      </c>
      <c r="K257" s="15">
        <v>97.0</v>
      </c>
      <c r="L257" s="15">
        <v>102.0</v>
      </c>
      <c r="M257" s="15">
        <v>98.0</v>
      </c>
      <c r="N257" s="15">
        <v>89.0</v>
      </c>
    </row>
    <row r="258">
      <c r="A258" s="10">
        <v>571745.0</v>
      </c>
      <c r="B258" s="11" t="s">
        <v>472</v>
      </c>
      <c r="C258" s="12">
        <v>922.0</v>
      </c>
      <c r="D258" s="10">
        <v>423.0</v>
      </c>
      <c r="E258" s="13">
        <v>146.0</v>
      </c>
      <c r="F258" s="14">
        <v>-0.055</v>
      </c>
      <c r="G258" s="15">
        <v>98.0</v>
      </c>
      <c r="H258" s="15">
        <v>103.0</v>
      </c>
      <c r="I258" s="15">
        <v>80.0</v>
      </c>
      <c r="J258" s="15">
        <v>111.0</v>
      </c>
      <c r="K258" s="15">
        <v>81.0</v>
      </c>
      <c r="L258" s="15">
        <v>106.0</v>
      </c>
      <c r="M258" s="15">
        <v>98.0</v>
      </c>
      <c r="N258" s="15">
        <v>90.0</v>
      </c>
    </row>
    <row r="259">
      <c r="A259" s="10">
        <v>686681.0</v>
      </c>
      <c r="B259" s="11" t="s">
        <v>368</v>
      </c>
      <c r="C259" s="12">
        <v>1803.0</v>
      </c>
      <c r="D259" s="10">
        <v>938.0</v>
      </c>
      <c r="E259" s="13">
        <v>326.0</v>
      </c>
      <c r="F259" s="14">
        <v>0.05</v>
      </c>
      <c r="G259" s="15">
        <v>101.0</v>
      </c>
      <c r="H259" s="15">
        <v>83.0</v>
      </c>
      <c r="I259" s="15">
        <v>115.0</v>
      </c>
      <c r="J259" s="15">
        <v>78.0</v>
      </c>
      <c r="K259" s="15">
        <v>107.0</v>
      </c>
      <c r="L259" s="15">
        <v>101.0</v>
      </c>
      <c r="M259" s="15">
        <v>98.0</v>
      </c>
      <c r="N259" s="15">
        <v>88.0</v>
      </c>
    </row>
    <row r="260">
      <c r="A260" s="10">
        <v>668901.0</v>
      </c>
      <c r="B260" s="11" t="s">
        <v>308</v>
      </c>
      <c r="C260" s="12">
        <v>827.0</v>
      </c>
      <c r="D260" s="10">
        <v>439.0</v>
      </c>
      <c r="E260" s="13">
        <v>146.0</v>
      </c>
      <c r="F260" s="14">
        <v>0.029</v>
      </c>
      <c r="G260" s="15">
        <v>86.0</v>
      </c>
      <c r="H260" s="15">
        <v>82.0</v>
      </c>
      <c r="I260" s="15">
        <v>95.0</v>
      </c>
      <c r="J260" s="15">
        <v>84.0</v>
      </c>
      <c r="K260" s="15">
        <v>89.0</v>
      </c>
      <c r="L260" s="15">
        <v>112.0</v>
      </c>
      <c r="M260" s="15">
        <v>98.0</v>
      </c>
      <c r="N260" s="15">
        <v>82.0</v>
      </c>
    </row>
    <row r="261">
      <c r="A261" s="10">
        <v>642133.0</v>
      </c>
      <c r="B261" s="11" t="s">
        <v>85</v>
      </c>
      <c r="C261" s="12">
        <v>1483.0</v>
      </c>
      <c r="D261" s="10">
        <v>575.0</v>
      </c>
      <c r="E261" s="13">
        <v>229.0</v>
      </c>
      <c r="F261" s="14">
        <v>-0.085</v>
      </c>
      <c r="G261" s="15">
        <v>71.0</v>
      </c>
      <c r="H261" s="15">
        <v>85.0</v>
      </c>
      <c r="I261" s="15">
        <v>64.0</v>
      </c>
      <c r="J261" s="15">
        <v>99.0</v>
      </c>
      <c r="K261" s="15">
        <v>113.0</v>
      </c>
      <c r="L261" s="15">
        <v>99.0</v>
      </c>
      <c r="M261" s="15">
        <v>98.0</v>
      </c>
      <c r="N261" s="15">
        <v>96.0</v>
      </c>
    </row>
    <row r="262">
      <c r="A262" s="10">
        <v>645801.0</v>
      </c>
      <c r="B262" s="11" t="s">
        <v>601</v>
      </c>
      <c r="C262" s="12">
        <v>1026.0</v>
      </c>
      <c r="D262" s="10">
        <v>438.0</v>
      </c>
      <c r="E262" s="13">
        <v>137.0</v>
      </c>
      <c r="F262" s="14">
        <v>-0.04</v>
      </c>
      <c r="G262" s="15">
        <v>108.0</v>
      </c>
      <c r="H262" s="15">
        <v>93.0</v>
      </c>
      <c r="I262" s="15">
        <v>71.0</v>
      </c>
      <c r="J262" s="15">
        <v>103.0</v>
      </c>
      <c r="K262" s="15">
        <v>82.0</v>
      </c>
      <c r="L262" s="15">
        <v>111.0</v>
      </c>
      <c r="M262" s="15">
        <v>98.0</v>
      </c>
      <c r="N262" s="15">
        <v>108.0</v>
      </c>
    </row>
    <row r="263">
      <c r="A263" s="10">
        <v>623912.0</v>
      </c>
      <c r="B263" s="11" t="s">
        <v>559</v>
      </c>
      <c r="C263" s="12">
        <v>1549.0</v>
      </c>
      <c r="D263" s="10">
        <v>878.0</v>
      </c>
      <c r="E263" s="13">
        <v>326.0</v>
      </c>
      <c r="F263" s="14">
        <v>0.111</v>
      </c>
      <c r="G263" s="15">
        <v>73.0</v>
      </c>
      <c r="H263" s="15">
        <v>71.0</v>
      </c>
      <c r="I263" s="15">
        <v>120.0</v>
      </c>
      <c r="J263" s="15">
        <v>68.0</v>
      </c>
      <c r="K263" s="15">
        <v>119.0</v>
      </c>
      <c r="L263" s="15">
        <v>99.0</v>
      </c>
      <c r="M263" s="15">
        <v>98.0</v>
      </c>
      <c r="N263" s="15">
        <v>117.0</v>
      </c>
    </row>
    <row r="264">
      <c r="A264" s="10">
        <v>666165.0</v>
      </c>
      <c r="B264" s="11" t="s">
        <v>602</v>
      </c>
      <c r="C264" s="12">
        <v>1334.0</v>
      </c>
      <c r="D264" s="10">
        <v>697.0</v>
      </c>
      <c r="E264" s="13">
        <v>194.0</v>
      </c>
      <c r="F264" s="14">
        <v>0.031</v>
      </c>
      <c r="G264" s="15">
        <v>115.0</v>
      </c>
      <c r="H264" s="15">
        <v>100.0</v>
      </c>
      <c r="I264" s="15">
        <v>97.0</v>
      </c>
      <c r="J264" s="15">
        <v>101.0</v>
      </c>
      <c r="K264" s="15">
        <v>82.0</v>
      </c>
      <c r="L264" s="15">
        <v>109.0</v>
      </c>
      <c r="M264" s="15">
        <v>98.0</v>
      </c>
      <c r="N264" s="15">
        <v>100.0</v>
      </c>
    </row>
    <row r="265">
      <c r="A265" s="10">
        <v>669707.0</v>
      </c>
      <c r="B265" s="11" t="s">
        <v>269</v>
      </c>
      <c r="C265" s="12">
        <v>835.0</v>
      </c>
      <c r="D265" s="10">
        <v>365.0</v>
      </c>
      <c r="E265" s="13">
        <v>119.0</v>
      </c>
      <c r="F265" s="14">
        <v>-0.043</v>
      </c>
      <c r="G265" s="15">
        <v>94.0</v>
      </c>
      <c r="H265" s="15">
        <v>100.0</v>
      </c>
      <c r="I265" s="15">
        <v>81.0</v>
      </c>
      <c r="J265" s="15">
        <v>106.0</v>
      </c>
      <c r="K265" s="15">
        <v>87.0</v>
      </c>
      <c r="L265" s="15">
        <v>104.0</v>
      </c>
      <c r="M265" s="15">
        <v>98.0</v>
      </c>
      <c r="N265" s="15">
        <v>116.0</v>
      </c>
    </row>
    <row r="266">
      <c r="A266" s="10">
        <v>670156.0</v>
      </c>
      <c r="B266" s="11" t="s">
        <v>254</v>
      </c>
      <c r="C266" s="12">
        <v>604.0</v>
      </c>
      <c r="D266" s="10">
        <v>230.0</v>
      </c>
      <c r="E266" s="13">
        <v>104.0</v>
      </c>
      <c r="F266" s="14">
        <v>-0.074</v>
      </c>
      <c r="G266" s="15">
        <v>81.0</v>
      </c>
      <c r="H266" s="15">
        <v>101.0</v>
      </c>
      <c r="I266" s="15">
        <v>84.0</v>
      </c>
      <c r="J266" s="15">
        <v>105.0</v>
      </c>
      <c r="K266" s="15">
        <v>101.0</v>
      </c>
      <c r="L266" s="15">
        <v>96.0</v>
      </c>
      <c r="M266" s="15">
        <v>98.0</v>
      </c>
      <c r="N266" s="15">
        <v>84.0</v>
      </c>
    </row>
    <row r="267">
      <c r="A267" s="10">
        <v>681146.0</v>
      </c>
      <c r="B267" s="11" t="s">
        <v>356</v>
      </c>
      <c r="C267" s="12">
        <v>455.0</v>
      </c>
      <c r="D267" s="10">
        <v>158.0</v>
      </c>
      <c r="E267" s="13">
        <v>68.0</v>
      </c>
      <c r="F267" s="14">
        <v>-0.167</v>
      </c>
      <c r="G267" s="15">
        <v>72.0</v>
      </c>
      <c r="H267" s="15">
        <v>101.0</v>
      </c>
      <c r="I267" s="15">
        <v>41.0</v>
      </c>
      <c r="J267" s="15">
        <v>126.0</v>
      </c>
      <c r="K267" s="15">
        <v>114.0</v>
      </c>
      <c r="L267" s="15">
        <v>89.0</v>
      </c>
      <c r="M267" s="15">
        <v>98.0</v>
      </c>
      <c r="N267" s="15">
        <v>80.0</v>
      </c>
    </row>
    <row r="268">
      <c r="A268" s="10">
        <v>642350.0</v>
      </c>
      <c r="B268" s="11" t="s">
        <v>488</v>
      </c>
      <c r="C268" s="12">
        <v>1318.0</v>
      </c>
      <c r="D268" s="10">
        <v>697.0</v>
      </c>
      <c r="E268" s="13">
        <v>210.0</v>
      </c>
      <c r="F268" s="14">
        <v>0.048</v>
      </c>
      <c r="G268" s="15">
        <v>86.0</v>
      </c>
      <c r="H268" s="15">
        <v>85.0</v>
      </c>
      <c r="I268" s="15">
        <v>103.0</v>
      </c>
      <c r="J268" s="15">
        <v>85.0</v>
      </c>
      <c r="K268" s="15">
        <v>73.0</v>
      </c>
      <c r="L268" s="15">
        <v>122.0</v>
      </c>
      <c r="M268" s="15">
        <v>98.0</v>
      </c>
      <c r="N268" s="15">
        <v>103.0</v>
      </c>
    </row>
    <row r="269">
      <c r="A269" s="10">
        <v>641584.0</v>
      </c>
      <c r="B269" s="11" t="s">
        <v>298</v>
      </c>
      <c r="C269" s="12">
        <v>1404.0</v>
      </c>
      <c r="D269" s="10">
        <v>731.0</v>
      </c>
      <c r="E269" s="13">
        <v>262.0</v>
      </c>
      <c r="F269" s="14">
        <v>0.049</v>
      </c>
      <c r="G269" s="15">
        <v>119.0</v>
      </c>
      <c r="H269" s="15">
        <v>99.0</v>
      </c>
      <c r="I269" s="15">
        <v>120.0</v>
      </c>
      <c r="J269" s="15">
        <v>92.0</v>
      </c>
      <c r="K269" s="15">
        <v>104.0</v>
      </c>
      <c r="L269" s="15">
        <v>95.0</v>
      </c>
      <c r="M269" s="15">
        <v>98.0</v>
      </c>
      <c r="N269" s="15">
        <v>107.0</v>
      </c>
    </row>
    <row r="270">
      <c r="A270" s="10">
        <v>681807.0</v>
      </c>
      <c r="B270" s="11" t="s">
        <v>452</v>
      </c>
      <c r="C270" s="12">
        <v>430.0</v>
      </c>
      <c r="D270" s="10">
        <v>244.0</v>
      </c>
      <c r="E270" s="13">
        <v>71.0</v>
      </c>
      <c r="F270" s="14">
        <v>0.067</v>
      </c>
      <c r="G270" s="15">
        <v>91.0</v>
      </c>
      <c r="H270" s="15">
        <v>82.0</v>
      </c>
      <c r="I270" s="15">
        <v>101.0</v>
      </c>
      <c r="J270" s="15">
        <v>82.0</v>
      </c>
      <c r="K270" s="15">
        <v>90.0</v>
      </c>
      <c r="L270" s="15">
        <v>112.0</v>
      </c>
      <c r="M270" s="15">
        <v>97.0</v>
      </c>
      <c r="N270" s="15">
        <v>99.0</v>
      </c>
    </row>
    <row r="271">
      <c r="A271" s="10">
        <v>545341.0</v>
      </c>
      <c r="B271" s="11" t="s">
        <v>84</v>
      </c>
      <c r="C271" s="12">
        <v>1704.0</v>
      </c>
      <c r="D271" s="10">
        <v>854.0</v>
      </c>
      <c r="E271" s="13">
        <v>337.0</v>
      </c>
      <c r="F271" s="14">
        <v>0.037</v>
      </c>
      <c r="G271" s="15">
        <v>87.0</v>
      </c>
      <c r="H271" s="15">
        <v>81.0</v>
      </c>
      <c r="I271" s="15">
        <v>99.0</v>
      </c>
      <c r="J271" s="15">
        <v>82.0</v>
      </c>
      <c r="K271" s="15">
        <v>108.0</v>
      </c>
      <c r="L271" s="15">
        <v>101.0</v>
      </c>
      <c r="M271" s="15">
        <v>97.0</v>
      </c>
      <c r="N271" s="15">
        <v>108.0</v>
      </c>
    </row>
    <row r="272">
      <c r="A272" s="10">
        <v>595453.0</v>
      </c>
      <c r="B272" s="11" t="s">
        <v>603</v>
      </c>
      <c r="C272" s="12">
        <v>666.0</v>
      </c>
      <c r="D272" s="10">
        <v>331.0</v>
      </c>
      <c r="E272" s="13">
        <v>99.0</v>
      </c>
      <c r="F272" s="14">
        <v>-0.014</v>
      </c>
      <c r="G272" s="15">
        <v>121.0</v>
      </c>
      <c r="H272" s="15">
        <v>103.0</v>
      </c>
      <c r="I272" s="15">
        <v>84.0</v>
      </c>
      <c r="J272" s="15">
        <v>109.0</v>
      </c>
      <c r="K272" s="15">
        <v>79.0</v>
      </c>
      <c r="L272" s="15">
        <v>108.0</v>
      </c>
      <c r="M272" s="15">
        <v>97.0</v>
      </c>
      <c r="N272" s="15">
        <v>89.0</v>
      </c>
    </row>
    <row r="273">
      <c r="A273" s="10">
        <v>668709.0</v>
      </c>
      <c r="B273" s="11" t="s">
        <v>363</v>
      </c>
      <c r="C273" s="12">
        <v>1192.0</v>
      </c>
      <c r="D273" s="10">
        <v>520.0</v>
      </c>
      <c r="E273" s="13">
        <v>186.0</v>
      </c>
      <c r="F273" s="14">
        <v>-0.039</v>
      </c>
      <c r="G273" s="15">
        <v>126.0</v>
      </c>
      <c r="H273" s="15">
        <v>127.0</v>
      </c>
      <c r="I273" s="15">
        <v>109.0</v>
      </c>
      <c r="J273" s="15">
        <v>123.0</v>
      </c>
      <c r="K273" s="15">
        <v>90.0</v>
      </c>
      <c r="L273" s="15">
        <v>87.0</v>
      </c>
      <c r="M273" s="15">
        <v>97.0</v>
      </c>
      <c r="N273" s="15">
        <v>95.0</v>
      </c>
    </row>
    <row r="274">
      <c r="A274" s="10">
        <v>655316.0</v>
      </c>
      <c r="B274" s="11" t="s">
        <v>496</v>
      </c>
      <c r="C274" s="12">
        <v>1322.0</v>
      </c>
      <c r="D274" s="10">
        <v>554.0</v>
      </c>
      <c r="E274" s="13">
        <v>214.0</v>
      </c>
      <c r="F274" s="14">
        <v>-0.071</v>
      </c>
      <c r="G274" s="15">
        <v>103.0</v>
      </c>
      <c r="H274" s="15">
        <v>117.0</v>
      </c>
      <c r="I274" s="15">
        <v>103.0</v>
      </c>
      <c r="J274" s="15">
        <v>115.0</v>
      </c>
      <c r="K274" s="15">
        <v>96.0</v>
      </c>
      <c r="L274" s="15">
        <v>89.0</v>
      </c>
      <c r="M274" s="15">
        <v>97.0</v>
      </c>
      <c r="N274" s="15">
        <v>101.0</v>
      </c>
    </row>
    <row r="275">
      <c r="A275" s="10">
        <v>630105.0</v>
      </c>
      <c r="B275" s="11" t="s">
        <v>253</v>
      </c>
      <c r="C275" s="12">
        <v>2039.0</v>
      </c>
      <c r="D275" s="10">
        <v>972.0</v>
      </c>
      <c r="E275" s="13">
        <v>364.0</v>
      </c>
      <c r="F275" s="14">
        <v>-0.008</v>
      </c>
      <c r="G275" s="15">
        <v>99.0</v>
      </c>
      <c r="H275" s="15">
        <v>105.0</v>
      </c>
      <c r="I275" s="15">
        <v>106.0</v>
      </c>
      <c r="J275" s="15">
        <v>102.0</v>
      </c>
      <c r="K275" s="15">
        <v>108.0</v>
      </c>
      <c r="L275" s="15">
        <v>90.0</v>
      </c>
      <c r="M275" s="15">
        <v>97.0</v>
      </c>
      <c r="N275" s="15">
        <v>98.0</v>
      </c>
    </row>
    <row r="276">
      <c r="A276" s="10">
        <v>669127.0</v>
      </c>
      <c r="B276" s="11" t="s">
        <v>176</v>
      </c>
      <c r="C276" s="12">
        <v>1898.0</v>
      </c>
      <c r="D276" s="10">
        <v>955.0</v>
      </c>
      <c r="E276" s="13">
        <v>305.0</v>
      </c>
      <c r="F276" s="14">
        <v>0.015</v>
      </c>
      <c r="G276" s="15">
        <v>102.0</v>
      </c>
      <c r="H276" s="15">
        <v>89.0</v>
      </c>
      <c r="I276" s="15">
        <v>87.0</v>
      </c>
      <c r="J276" s="15">
        <v>94.0</v>
      </c>
      <c r="K276" s="15">
        <v>89.0</v>
      </c>
      <c r="L276" s="15">
        <v>108.0</v>
      </c>
      <c r="M276" s="15">
        <v>97.0</v>
      </c>
      <c r="N276" s="15">
        <v>94.0</v>
      </c>
    </row>
    <row r="277">
      <c r="A277" s="10">
        <v>672275.0</v>
      </c>
      <c r="B277" s="11" t="s">
        <v>348</v>
      </c>
      <c r="C277" s="12">
        <v>1400.0</v>
      </c>
      <c r="D277" s="10">
        <v>651.0</v>
      </c>
      <c r="E277" s="13">
        <v>228.0</v>
      </c>
      <c r="F277" s="14">
        <v>-0.023</v>
      </c>
      <c r="G277" s="15">
        <v>98.0</v>
      </c>
      <c r="H277" s="15">
        <v>89.0</v>
      </c>
      <c r="I277" s="15">
        <v>83.0</v>
      </c>
      <c r="J277" s="15">
        <v>96.0</v>
      </c>
      <c r="K277" s="15">
        <v>93.0</v>
      </c>
      <c r="L277" s="15">
        <v>105.0</v>
      </c>
      <c r="M277" s="15">
        <v>97.0</v>
      </c>
      <c r="N277" s="15">
        <v>88.0</v>
      </c>
    </row>
    <row r="278">
      <c r="A278" s="10">
        <v>643396.0</v>
      </c>
      <c r="B278" s="11" t="s">
        <v>331</v>
      </c>
      <c r="C278" s="12">
        <v>1435.0</v>
      </c>
      <c r="D278" s="10">
        <v>645.0</v>
      </c>
      <c r="E278" s="13">
        <v>257.0</v>
      </c>
      <c r="F278" s="14">
        <v>-0.048</v>
      </c>
      <c r="G278" s="15">
        <v>91.0</v>
      </c>
      <c r="H278" s="15">
        <v>101.0</v>
      </c>
      <c r="I278" s="15">
        <v>93.0</v>
      </c>
      <c r="J278" s="15">
        <v>104.0</v>
      </c>
      <c r="K278" s="15">
        <v>113.0</v>
      </c>
      <c r="L278" s="15">
        <v>89.0</v>
      </c>
      <c r="M278" s="15">
        <v>97.0</v>
      </c>
      <c r="N278" s="15">
        <v>96.0</v>
      </c>
    </row>
    <row r="279">
      <c r="A279" s="10">
        <v>657656.0</v>
      </c>
      <c r="B279" s="11" t="s">
        <v>81</v>
      </c>
      <c r="C279" s="12">
        <v>1640.0</v>
      </c>
      <c r="D279" s="10">
        <v>767.0</v>
      </c>
      <c r="E279" s="13">
        <v>247.0</v>
      </c>
      <c r="F279" s="14">
        <v>-0.02</v>
      </c>
      <c r="G279" s="15">
        <v>101.0</v>
      </c>
      <c r="H279" s="15">
        <v>106.0</v>
      </c>
      <c r="I279" s="15">
        <v>103.0</v>
      </c>
      <c r="J279" s="15">
        <v>105.0</v>
      </c>
      <c r="K279" s="15">
        <v>87.0</v>
      </c>
      <c r="L279" s="15">
        <v>100.0</v>
      </c>
      <c r="M279" s="15">
        <v>97.0</v>
      </c>
      <c r="N279" s="15">
        <v>101.0</v>
      </c>
    </row>
    <row r="280">
      <c r="A280" s="10">
        <v>542208.0</v>
      </c>
      <c r="B280" s="11" t="s">
        <v>604</v>
      </c>
      <c r="C280" s="12">
        <v>733.0</v>
      </c>
      <c r="D280" s="10">
        <v>338.0</v>
      </c>
      <c r="E280" s="13">
        <v>132.0</v>
      </c>
      <c r="F280" s="14">
        <v>-0.016</v>
      </c>
      <c r="G280" s="15">
        <v>95.0</v>
      </c>
      <c r="H280" s="15">
        <v>102.0</v>
      </c>
      <c r="I280" s="15">
        <v>96.0</v>
      </c>
      <c r="J280" s="15">
        <v>103.0</v>
      </c>
      <c r="K280" s="15">
        <v>108.0</v>
      </c>
      <c r="L280" s="15">
        <v>91.0</v>
      </c>
      <c r="M280" s="15">
        <v>96.0</v>
      </c>
      <c r="N280" s="15">
        <v>89.0</v>
      </c>
    </row>
    <row r="281">
      <c r="A281" s="10">
        <v>408234.0</v>
      </c>
      <c r="B281" s="11" t="s">
        <v>605</v>
      </c>
      <c r="C281" s="12">
        <v>1362.0</v>
      </c>
      <c r="D281" s="10">
        <v>662.0</v>
      </c>
      <c r="E281" s="13">
        <v>260.0</v>
      </c>
      <c r="F281" s="14">
        <v>-0.002</v>
      </c>
      <c r="G281" s="15">
        <v>114.0</v>
      </c>
      <c r="H281" s="15">
        <v>109.0</v>
      </c>
      <c r="I281" s="15">
        <v>106.0</v>
      </c>
      <c r="J281" s="15">
        <v>106.0</v>
      </c>
      <c r="K281" s="15">
        <v>110.0</v>
      </c>
      <c r="L281" s="15">
        <v>87.0</v>
      </c>
      <c r="M281" s="15">
        <v>96.0</v>
      </c>
      <c r="N281" s="15">
        <v>96.0</v>
      </c>
    </row>
    <row r="282">
      <c r="A282" s="10">
        <v>672779.0</v>
      </c>
      <c r="B282" s="11" t="s">
        <v>606</v>
      </c>
      <c r="C282" s="12">
        <v>723.0</v>
      </c>
      <c r="D282" s="10">
        <v>375.0</v>
      </c>
      <c r="E282" s="13">
        <v>168.0</v>
      </c>
      <c r="F282" s="14">
        <v>0.041</v>
      </c>
      <c r="G282" s="15">
        <v>112.0</v>
      </c>
      <c r="H282" s="15">
        <v>108.0</v>
      </c>
      <c r="I282" s="15">
        <v>122.0</v>
      </c>
      <c r="J282" s="15">
        <v>100.0</v>
      </c>
      <c r="K282" s="15">
        <v>116.0</v>
      </c>
      <c r="L282" s="15">
        <v>87.0</v>
      </c>
      <c r="M282" s="15">
        <v>96.0</v>
      </c>
      <c r="N282" s="15">
        <v>90.0</v>
      </c>
    </row>
    <row r="283">
      <c r="A283" s="10">
        <v>570482.0</v>
      </c>
      <c r="B283" s="11" t="s">
        <v>230</v>
      </c>
      <c r="C283" s="12">
        <v>872.0</v>
      </c>
      <c r="D283" s="10">
        <v>479.0</v>
      </c>
      <c r="E283" s="13">
        <v>180.0</v>
      </c>
      <c r="F283" s="14">
        <v>0.062</v>
      </c>
      <c r="G283" s="15">
        <v>93.0</v>
      </c>
      <c r="H283" s="15">
        <v>89.0</v>
      </c>
      <c r="I283" s="15">
        <v>123.0</v>
      </c>
      <c r="J283" s="15">
        <v>81.0</v>
      </c>
      <c r="K283" s="15">
        <v>115.0</v>
      </c>
      <c r="L283" s="15">
        <v>93.0</v>
      </c>
      <c r="M283" s="15">
        <v>96.0</v>
      </c>
      <c r="N283" s="15">
        <v>103.0</v>
      </c>
    </row>
    <row r="284">
      <c r="A284" s="10">
        <v>605170.0</v>
      </c>
      <c r="B284" s="11" t="s">
        <v>175</v>
      </c>
      <c r="C284" s="12">
        <v>801.0</v>
      </c>
      <c r="D284" s="10">
        <v>362.0</v>
      </c>
      <c r="E284" s="13">
        <v>156.0</v>
      </c>
      <c r="F284" s="14">
        <v>-0.022</v>
      </c>
      <c r="G284" s="15">
        <v>109.0</v>
      </c>
      <c r="H284" s="15">
        <v>104.0</v>
      </c>
      <c r="I284" s="15">
        <v>92.0</v>
      </c>
      <c r="J284" s="15">
        <v>108.0</v>
      </c>
      <c r="K284" s="15">
        <v>102.0</v>
      </c>
      <c r="L284" s="15">
        <v>93.0</v>
      </c>
      <c r="M284" s="15">
        <v>96.0</v>
      </c>
      <c r="N284" s="15">
        <v>103.0</v>
      </c>
    </row>
    <row r="285">
      <c r="A285" s="10">
        <v>622534.0</v>
      </c>
      <c r="B285" s="11" t="s">
        <v>467</v>
      </c>
      <c r="C285" s="12">
        <v>1212.0</v>
      </c>
      <c r="D285" s="10">
        <v>614.0</v>
      </c>
      <c r="E285" s="13">
        <v>258.0</v>
      </c>
      <c r="F285" s="14">
        <v>0.025</v>
      </c>
      <c r="G285" s="15">
        <v>105.0</v>
      </c>
      <c r="H285" s="15">
        <v>103.0</v>
      </c>
      <c r="I285" s="15">
        <v>121.0</v>
      </c>
      <c r="J285" s="15">
        <v>94.0</v>
      </c>
      <c r="K285" s="15">
        <v>116.0</v>
      </c>
      <c r="L285" s="15">
        <v>88.0</v>
      </c>
      <c r="M285" s="15">
        <v>96.0</v>
      </c>
      <c r="N285" s="15">
        <v>99.0</v>
      </c>
    </row>
    <row r="286">
      <c r="A286" s="10">
        <v>645302.0</v>
      </c>
      <c r="B286" s="11" t="s">
        <v>476</v>
      </c>
      <c r="C286" s="12">
        <v>448.0</v>
      </c>
      <c r="D286" s="10">
        <v>237.0</v>
      </c>
      <c r="E286" s="13">
        <v>93.0</v>
      </c>
      <c r="F286" s="14">
        <v>0.054</v>
      </c>
      <c r="G286" s="15">
        <v>136.0</v>
      </c>
      <c r="H286" s="15">
        <v>120.0</v>
      </c>
      <c r="I286" s="15">
        <v>147.0</v>
      </c>
      <c r="J286" s="15">
        <v>102.0</v>
      </c>
      <c r="K286" s="15">
        <v>108.0</v>
      </c>
      <c r="L286" s="15">
        <v>84.0</v>
      </c>
      <c r="M286" s="15">
        <v>96.0</v>
      </c>
      <c r="N286" s="15">
        <v>109.0</v>
      </c>
    </row>
    <row r="287">
      <c r="A287" s="10">
        <v>643217.0</v>
      </c>
      <c r="B287" s="11" t="s">
        <v>144</v>
      </c>
      <c r="C287" s="12">
        <v>2331.0</v>
      </c>
      <c r="D287" s="10">
        <v>1142.0</v>
      </c>
      <c r="E287" s="13">
        <v>474.0</v>
      </c>
      <c r="F287" s="14">
        <v>0.022</v>
      </c>
      <c r="G287" s="15">
        <v>112.0</v>
      </c>
      <c r="H287" s="15">
        <v>100.0</v>
      </c>
      <c r="I287" s="15">
        <v>109.0</v>
      </c>
      <c r="J287" s="15">
        <v>96.0</v>
      </c>
      <c r="K287" s="15">
        <v>117.0</v>
      </c>
      <c r="L287" s="15">
        <v>88.0</v>
      </c>
      <c r="M287" s="15">
        <v>96.0</v>
      </c>
      <c r="N287" s="15">
        <v>96.0</v>
      </c>
    </row>
    <row r="288">
      <c r="A288" s="10">
        <v>680776.0</v>
      </c>
      <c r="B288" s="11" t="s">
        <v>218</v>
      </c>
      <c r="C288" s="12">
        <v>1378.0</v>
      </c>
      <c r="D288" s="10">
        <v>710.0</v>
      </c>
      <c r="E288" s="13">
        <v>239.0</v>
      </c>
      <c r="F288" s="14">
        <v>0.041</v>
      </c>
      <c r="G288" s="15">
        <v>105.0</v>
      </c>
      <c r="H288" s="15">
        <v>93.0</v>
      </c>
      <c r="I288" s="15">
        <v>112.0</v>
      </c>
      <c r="J288" s="15">
        <v>89.0</v>
      </c>
      <c r="K288" s="15">
        <v>95.0</v>
      </c>
      <c r="L288" s="15">
        <v>101.0</v>
      </c>
      <c r="M288" s="15">
        <v>96.0</v>
      </c>
      <c r="N288" s="15">
        <v>113.0</v>
      </c>
    </row>
    <row r="289">
      <c r="A289" s="10">
        <v>686894.0</v>
      </c>
      <c r="B289" s="11" t="s">
        <v>607</v>
      </c>
      <c r="C289" s="12">
        <v>1575.0</v>
      </c>
      <c r="D289" s="10">
        <v>741.0</v>
      </c>
      <c r="E289" s="13">
        <v>253.0</v>
      </c>
      <c r="F289" s="14">
        <v>-0.015</v>
      </c>
      <c r="G289" s="15">
        <v>97.0</v>
      </c>
      <c r="H289" s="15">
        <v>103.0</v>
      </c>
      <c r="I289" s="15">
        <v>104.0</v>
      </c>
      <c r="J289" s="15">
        <v>101.0</v>
      </c>
      <c r="K289" s="15">
        <v>90.0</v>
      </c>
      <c r="L289" s="15">
        <v>99.0</v>
      </c>
      <c r="M289" s="15">
        <v>96.0</v>
      </c>
      <c r="N289" s="15">
        <v>93.0</v>
      </c>
    </row>
    <row r="290">
      <c r="A290" s="10">
        <v>607680.0</v>
      </c>
      <c r="B290" s="11" t="s">
        <v>521</v>
      </c>
      <c r="C290" s="12">
        <v>752.0</v>
      </c>
      <c r="D290" s="10">
        <v>422.0</v>
      </c>
      <c r="E290" s="13">
        <v>149.0</v>
      </c>
      <c r="F290" s="14">
        <v>0.076</v>
      </c>
      <c r="G290" s="15">
        <v>86.0</v>
      </c>
      <c r="H290" s="15">
        <v>77.0</v>
      </c>
      <c r="I290" s="15">
        <v>105.0</v>
      </c>
      <c r="J290" s="15">
        <v>76.0</v>
      </c>
      <c r="K290" s="15">
        <v>100.0</v>
      </c>
      <c r="L290" s="15">
        <v>105.0</v>
      </c>
      <c r="M290" s="15">
        <v>96.0</v>
      </c>
      <c r="N290" s="15">
        <v>89.0</v>
      </c>
    </row>
    <row r="291">
      <c r="A291" s="10">
        <v>596115.0</v>
      </c>
      <c r="B291" s="11" t="s">
        <v>237</v>
      </c>
      <c r="C291" s="12">
        <v>635.0</v>
      </c>
      <c r="D291" s="10">
        <v>323.0</v>
      </c>
      <c r="E291" s="13">
        <v>102.0</v>
      </c>
      <c r="F291" s="14">
        <v>0.019</v>
      </c>
      <c r="G291" s="15">
        <v>96.0</v>
      </c>
      <c r="H291" s="15">
        <v>105.0</v>
      </c>
      <c r="I291" s="15">
        <v>118.0</v>
      </c>
      <c r="J291" s="15">
        <v>98.0</v>
      </c>
      <c r="K291" s="15">
        <v>71.0</v>
      </c>
      <c r="L291" s="15">
        <v>109.0</v>
      </c>
      <c r="M291" s="15">
        <v>96.0</v>
      </c>
      <c r="N291" s="15">
        <v>80.0</v>
      </c>
    </row>
    <row r="292">
      <c r="A292" s="10">
        <v>608841.0</v>
      </c>
      <c r="B292" s="11" t="s">
        <v>540</v>
      </c>
      <c r="C292" s="12">
        <v>2510.0</v>
      </c>
      <c r="D292" s="10">
        <v>1193.0</v>
      </c>
      <c r="E292" s="13">
        <v>476.0</v>
      </c>
      <c r="F292" s="14">
        <v>-0.011</v>
      </c>
      <c r="G292" s="15">
        <v>90.0</v>
      </c>
      <c r="H292" s="15">
        <v>99.0</v>
      </c>
      <c r="I292" s="15">
        <v>96.0</v>
      </c>
      <c r="J292" s="15">
        <v>100.0</v>
      </c>
      <c r="K292" s="15">
        <v>118.0</v>
      </c>
      <c r="L292" s="15">
        <v>87.0</v>
      </c>
      <c r="M292" s="15">
        <v>95.0</v>
      </c>
      <c r="N292" s="15">
        <v>104.0</v>
      </c>
    </row>
    <row r="293">
      <c r="A293" s="10">
        <v>665155.0</v>
      </c>
      <c r="B293" s="11" t="s">
        <v>608</v>
      </c>
      <c r="C293" s="12">
        <v>1226.0</v>
      </c>
      <c r="D293" s="10">
        <v>551.0</v>
      </c>
      <c r="E293" s="13">
        <v>176.0</v>
      </c>
      <c r="F293" s="14">
        <v>-0.023</v>
      </c>
      <c r="G293" s="15">
        <v>116.0</v>
      </c>
      <c r="H293" s="15">
        <v>113.0</v>
      </c>
      <c r="I293" s="15">
        <v>93.0</v>
      </c>
      <c r="J293" s="15">
        <v>113.0</v>
      </c>
      <c r="K293" s="15">
        <v>89.0</v>
      </c>
      <c r="L293" s="15">
        <v>93.0</v>
      </c>
      <c r="M293" s="15">
        <v>95.0</v>
      </c>
      <c r="N293" s="15">
        <v>88.0</v>
      </c>
    </row>
    <row r="294">
      <c r="A294" s="10">
        <v>572761.0</v>
      </c>
      <c r="B294" s="11" t="s">
        <v>499</v>
      </c>
      <c r="C294" s="12">
        <v>1009.0</v>
      </c>
      <c r="D294" s="10">
        <v>408.0</v>
      </c>
      <c r="E294" s="13">
        <v>125.0</v>
      </c>
      <c r="F294" s="14">
        <v>-0.077</v>
      </c>
      <c r="G294" s="15">
        <v>99.0</v>
      </c>
      <c r="H294" s="15">
        <v>115.0</v>
      </c>
      <c r="I294" s="15">
        <v>87.0</v>
      </c>
      <c r="J294" s="15">
        <v>119.0</v>
      </c>
      <c r="K294" s="15">
        <v>83.0</v>
      </c>
      <c r="L294" s="15">
        <v>93.0</v>
      </c>
      <c r="M294" s="15">
        <v>95.0</v>
      </c>
      <c r="N294" s="15">
        <v>92.0</v>
      </c>
    </row>
    <row r="295">
      <c r="A295" s="10">
        <v>643289.0</v>
      </c>
      <c r="B295" s="11" t="s">
        <v>361</v>
      </c>
      <c r="C295" s="12">
        <v>1653.0</v>
      </c>
      <c r="D295" s="10">
        <v>971.0</v>
      </c>
      <c r="E295" s="13">
        <v>395.0</v>
      </c>
      <c r="F295" s="14">
        <v>0.102</v>
      </c>
      <c r="G295" s="15">
        <v>93.0</v>
      </c>
      <c r="H295" s="15">
        <v>83.0</v>
      </c>
      <c r="I295" s="15">
        <v>121.0</v>
      </c>
      <c r="J295" s="15">
        <v>75.0</v>
      </c>
      <c r="K295" s="15">
        <v>115.0</v>
      </c>
      <c r="L295" s="15">
        <v>95.0</v>
      </c>
      <c r="M295" s="15">
        <v>95.0</v>
      </c>
      <c r="N295" s="15">
        <v>100.0</v>
      </c>
    </row>
    <row r="296">
      <c r="A296" s="10">
        <v>624428.0</v>
      </c>
      <c r="B296" s="11" t="s">
        <v>307</v>
      </c>
      <c r="C296" s="12">
        <v>1735.0</v>
      </c>
      <c r="D296" s="10">
        <v>841.0</v>
      </c>
      <c r="E296" s="13">
        <v>349.0</v>
      </c>
      <c r="F296" s="14">
        <v>0.02</v>
      </c>
      <c r="G296" s="15">
        <v>97.0</v>
      </c>
      <c r="H296" s="15">
        <v>102.0</v>
      </c>
      <c r="I296" s="15">
        <v>119.0</v>
      </c>
      <c r="J296" s="15">
        <v>94.0</v>
      </c>
      <c r="K296" s="15">
        <v>115.0</v>
      </c>
      <c r="L296" s="15">
        <v>88.0</v>
      </c>
      <c r="M296" s="15">
        <v>95.0</v>
      </c>
      <c r="N296" s="15">
        <v>96.0</v>
      </c>
    </row>
    <row r="297">
      <c r="A297" s="10">
        <v>663527.0</v>
      </c>
      <c r="B297" s="11" t="s">
        <v>475</v>
      </c>
      <c r="C297" s="12">
        <v>457.0</v>
      </c>
      <c r="D297" s="10">
        <v>214.0</v>
      </c>
      <c r="E297" s="13">
        <v>71.0</v>
      </c>
      <c r="F297" s="14">
        <v>-0.03</v>
      </c>
      <c r="G297" s="15">
        <v>121.0</v>
      </c>
      <c r="H297" s="15">
        <v>130.0</v>
      </c>
      <c r="I297" s="15">
        <v>113.0</v>
      </c>
      <c r="J297" s="15">
        <v>126.0</v>
      </c>
      <c r="K297" s="15">
        <v>91.0</v>
      </c>
      <c r="L297" s="15">
        <v>83.0</v>
      </c>
      <c r="M297" s="15">
        <v>95.0</v>
      </c>
      <c r="N297" s="15">
        <v>86.0</v>
      </c>
    </row>
    <row r="298">
      <c r="A298" s="10">
        <v>670097.0</v>
      </c>
      <c r="B298" s="11" t="s">
        <v>609</v>
      </c>
      <c r="C298" s="12">
        <v>1012.0</v>
      </c>
      <c r="D298" s="10">
        <v>423.0</v>
      </c>
      <c r="E298" s="13">
        <v>157.0</v>
      </c>
      <c r="F298" s="14">
        <v>-0.069</v>
      </c>
      <c r="G298" s="15">
        <v>119.0</v>
      </c>
      <c r="H298" s="15">
        <v>119.0</v>
      </c>
      <c r="I298" s="15">
        <v>99.0</v>
      </c>
      <c r="J298" s="15">
        <v>120.0</v>
      </c>
      <c r="K298" s="15">
        <v>86.0</v>
      </c>
      <c r="L298" s="15">
        <v>91.0</v>
      </c>
      <c r="M298" s="15">
        <v>95.0</v>
      </c>
      <c r="N298" s="15">
        <v>93.0</v>
      </c>
    </row>
    <row r="299">
      <c r="A299" s="10">
        <v>607054.0</v>
      </c>
      <c r="B299" s="11" t="s">
        <v>610</v>
      </c>
      <c r="C299" s="12">
        <v>1724.0</v>
      </c>
      <c r="D299" s="10">
        <v>731.0</v>
      </c>
      <c r="E299" s="13">
        <v>277.0</v>
      </c>
      <c r="F299" s="14">
        <v>-0.054</v>
      </c>
      <c r="G299" s="15">
        <v>99.0</v>
      </c>
      <c r="H299" s="15">
        <v>113.0</v>
      </c>
      <c r="I299" s="15">
        <v>96.0</v>
      </c>
      <c r="J299" s="15">
        <v>114.0</v>
      </c>
      <c r="K299" s="15">
        <v>99.0</v>
      </c>
      <c r="L299" s="15">
        <v>88.0</v>
      </c>
      <c r="M299" s="15">
        <v>95.0</v>
      </c>
      <c r="N299" s="15">
        <v>90.0</v>
      </c>
    </row>
    <row r="300">
      <c r="A300" s="10">
        <v>682928.0</v>
      </c>
      <c r="B300" s="11" t="s">
        <v>210</v>
      </c>
      <c r="C300" s="12">
        <v>2200.0</v>
      </c>
      <c r="D300" s="10">
        <v>1177.0</v>
      </c>
      <c r="E300" s="13">
        <v>450.0</v>
      </c>
      <c r="F300" s="14">
        <v>0.059</v>
      </c>
      <c r="G300" s="15">
        <v>90.0</v>
      </c>
      <c r="H300" s="15">
        <v>84.0</v>
      </c>
      <c r="I300" s="15">
        <v>104.0</v>
      </c>
      <c r="J300" s="15">
        <v>83.0</v>
      </c>
      <c r="K300" s="15">
        <v>115.0</v>
      </c>
      <c r="L300" s="15">
        <v>94.0</v>
      </c>
      <c r="M300" s="15">
        <v>95.0</v>
      </c>
      <c r="N300" s="15">
        <v>99.0</v>
      </c>
    </row>
    <row r="301">
      <c r="A301" s="10">
        <v>669743.0</v>
      </c>
      <c r="B301" s="11" t="s">
        <v>246</v>
      </c>
      <c r="C301" s="12">
        <v>1807.0</v>
      </c>
      <c r="D301" s="10">
        <v>727.0</v>
      </c>
      <c r="E301" s="13">
        <v>297.0</v>
      </c>
      <c r="F301" s="14">
        <v>-0.084</v>
      </c>
      <c r="G301" s="15">
        <v>107.0</v>
      </c>
      <c r="H301" s="15">
        <v>128.0</v>
      </c>
      <c r="I301" s="15">
        <v>104.0</v>
      </c>
      <c r="J301" s="15">
        <v>125.0</v>
      </c>
      <c r="K301" s="15">
        <v>112.0</v>
      </c>
      <c r="L301" s="15">
        <v>74.0</v>
      </c>
      <c r="M301" s="15">
        <v>95.0</v>
      </c>
      <c r="N301" s="15">
        <v>89.0</v>
      </c>
    </row>
    <row r="302">
      <c r="A302" s="10">
        <v>656716.0</v>
      </c>
      <c r="B302" s="11" t="s">
        <v>189</v>
      </c>
      <c r="C302" s="12">
        <v>2080.0</v>
      </c>
      <c r="D302" s="10">
        <v>981.0</v>
      </c>
      <c r="E302" s="13">
        <v>351.0</v>
      </c>
      <c r="F302" s="14">
        <v>0.01</v>
      </c>
      <c r="G302" s="15">
        <v>104.0</v>
      </c>
      <c r="H302" s="15">
        <v>94.0</v>
      </c>
      <c r="I302" s="15">
        <v>114.0</v>
      </c>
      <c r="J302" s="15">
        <v>89.0</v>
      </c>
      <c r="K302" s="15">
        <v>107.0</v>
      </c>
      <c r="L302" s="15">
        <v>93.0</v>
      </c>
      <c r="M302" s="15">
        <v>95.0</v>
      </c>
      <c r="N302" s="15">
        <v>90.0</v>
      </c>
    </row>
    <row r="303">
      <c r="A303" s="10">
        <v>649966.0</v>
      </c>
      <c r="B303" s="11" t="s">
        <v>221</v>
      </c>
      <c r="C303" s="12">
        <v>736.0</v>
      </c>
      <c r="D303" s="10">
        <v>290.0</v>
      </c>
      <c r="E303" s="13">
        <v>103.0</v>
      </c>
      <c r="F303" s="14">
        <v>-0.107</v>
      </c>
      <c r="G303" s="15">
        <v>91.0</v>
      </c>
      <c r="H303" s="15">
        <v>120.0</v>
      </c>
      <c r="I303" s="15">
        <v>75.0</v>
      </c>
      <c r="J303" s="15">
        <v>127.0</v>
      </c>
      <c r="K303" s="15">
        <v>101.0</v>
      </c>
      <c r="L303" s="15">
        <v>80.0</v>
      </c>
      <c r="M303" s="15">
        <v>95.0</v>
      </c>
      <c r="N303" s="15">
        <v>100.0</v>
      </c>
    </row>
    <row r="304">
      <c r="A304" s="10">
        <v>592696.0</v>
      </c>
      <c r="B304" s="11" t="s">
        <v>564</v>
      </c>
      <c r="C304" s="12">
        <v>1873.0</v>
      </c>
      <c r="D304" s="10">
        <v>1077.0</v>
      </c>
      <c r="E304" s="13">
        <v>356.0</v>
      </c>
      <c r="F304" s="14">
        <v>0.113</v>
      </c>
      <c r="G304" s="15">
        <v>77.0</v>
      </c>
      <c r="H304" s="15">
        <v>72.0</v>
      </c>
      <c r="I304" s="15">
        <v>128.0</v>
      </c>
      <c r="J304" s="15">
        <v>65.0</v>
      </c>
      <c r="K304" s="15">
        <v>102.0</v>
      </c>
      <c r="L304" s="15">
        <v>105.0</v>
      </c>
      <c r="M304" s="15">
        <v>95.0</v>
      </c>
      <c r="N304" s="15">
        <v>98.0</v>
      </c>
    </row>
    <row r="305">
      <c r="A305" s="10">
        <v>458015.0</v>
      </c>
      <c r="B305" s="11" t="s">
        <v>611</v>
      </c>
      <c r="C305" s="12">
        <v>933.0</v>
      </c>
      <c r="D305" s="10">
        <v>445.0</v>
      </c>
      <c r="E305" s="13">
        <v>146.0</v>
      </c>
      <c r="F305" s="14">
        <v>0.014</v>
      </c>
      <c r="G305" s="15">
        <v>125.0</v>
      </c>
      <c r="H305" s="15">
        <v>111.0</v>
      </c>
      <c r="I305" s="15">
        <v>107.0</v>
      </c>
      <c r="J305" s="15">
        <v>108.0</v>
      </c>
      <c r="K305" s="15">
        <v>83.0</v>
      </c>
      <c r="L305" s="15">
        <v>97.0</v>
      </c>
      <c r="M305" s="15">
        <v>94.0</v>
      </c>
      <c r="N305" s="15">
        <v>104.0</v>
      </c>
    </row>
    <row r="306">
      <c r="A306" s="10">
        <v>666310.0</v>
      </c>
      <c r="B306" s="11" t="s">
        <v>252</v>
      </c>
      <c r="C306" s="12">
        <v>1000.0</v>
      </c>
      <c r="D306" s="10">
        <v>447.0</v>
      </c>
      <c r="E306" s="13">
        <v>145.0</v>
      </c>
      <c r="F306" s="14">
        <v>-0.024</v>
      </c>
      <c r="G306" s="15">
        <v>108.0</v>
      </c>
      <c r="H306" s="15">
        <v>104.0</v>
      </c>
      <c r="I306" s="15">
        <v>103.0</v>
      </c>
      <c r="J306" s="15">
        <v>103.0</v>
      </c>
      <c r="K306" s="15">
        <v>93.0</v>
      </c>
      <c r="L306" s="15">
        <v>94.0</v>
      </c>
      <c r="M306" s="15">
        <v>94.0</v>
      </c>
      <c r="N306" s="15">
        <v>110.0</v>
      </c>
    </row>
    <row r="307">
      <c r="A307" s="10">
        <v>642708.0</v>
      </c>
      <c r="B307" s="11" t="s">
        <v>131</v>
      </c>
      <c r="C307" s="12">
        <v>1960.0</v>
      </c>
      <c r="D307" s="10">
        <v>1048.0</v>
      </c>
      <c r="E307" s="13">
        <v>409.0</v>
      </c>
      <c r="F307" s="14">
        <v>0.065</v>
      </c>
      <c r="G307" s="15">
        <v>80.0</v>
      </c>
      <c r="H307" s="15">
        <v>79.0</v>
      </c>
      <c r="I307" s="15">
        <v>107.0</v>
      </c>
      <c r="J307" s="15">
        <v>78.0</v>
      </c>
      <c r="K307" s="15">
        <v>115.0</v>
      </c>
      <c r="L307" s="15">
        <v>95.0</v>
      </c>
      <c r="M307" s="15">
        <v>94.0</v>
      </c>
      <c r="N307" s="15">
        <v>93.0</v>
      </c>
    </row>
    <row r="308">
      <c r="A308" s="10">
        <v>671221.0</v>
      </c>
      <c r="B308" s="11" t="s">
        <v>364</v>
      </c>
      <c r="C308" s="12">
        <v>1295.0</v>
      </c>
      <c r="D308" s="10">
        <v>663.0</v>
      </c>
      <c r="E308" s="13">
        <v>195.0</v>
      </c>
      <c r="F308" s="14">
        <v>0.032</v>
      </c>
      <c r="G308" s="15">
        <v>103.0</v>
      </c>
      <c r="H308" s="15">
        <v>90.0</v>
      </c>
      <c r="I308" s="15">
        <v>95.0</v>
      </c>
      <c r="J308" s="15">
        <v>92.0</v>
      </c>
      <c r="K308" s="15">
        <v>85.0</v>
      </c>
      <c r="L308" s="15">
        <v>107.0</v>
      </c>
      <c r="M308" s="15">
        <v>94.0</v>
      </c>
      <c r="N308" s="15">
        <v>92.0</v>
      </c>
    </row>
    <row r="309">
      <c r="A309" s="10">
        <v>672820.0</v>
      </c>
      <c r="B309" s="11" t="s">
        <v>182</v>
      </c>
      <c r="C309" s="12">
        <v>617.0</v>
      </c>
      <c r="D309" s="10">
        <v>326.0</v>
      </c>
      <c r="E309" s="13">
        <v>126.0</v>
      </c>
      <c r="F309" s="14">
        <v>0.039</v>
      </c>
      <c r="G309" s="15">
        <v>73.0</v>
      </c>
      <c r="H309" s="15">
        <v>73.0</v>
      </c>
      <c r="I309" s="15">
        <v>91.0</v>
      </c>
      <c r="J309" s="15">
        <v>77.0</v>
      </c>
      <c r="K309" s="15">
        <v>107.0</v>
      </c>
      <c r="L309" s="15">
        <v>101.0</v>
      </c>
      <c r="M309" s="15">
        <v>94.0</v>
      </c>
      <c r="N309" s="15">
        <v>78.0</v>
      </c>
    </row>
    <row r="310">
      <c r="A310" s="10">
        <v>570731.0</v>
      </c>
      <c r="B310" s="11" t="s">
        <v>612</v>
      </c>
      <c r="C310" s="12">
        <v>593.0</v>
      </c>
      <c r="D310" s="10">
        <v>315.0</v>
      </c>
      <c r="E310" s="13">
        <v>101.0</v>
      </c>
      <c r="F310" s="14">
        <v>0.032</v>
      </c>
      <c r="G310" s="15">
        <v>103.0</v>
      </c>
      <c r="H310" s="15">
        <v>102.0</v>
      </c>
      <c r="I310" s="15">
        <v>115.0</v>
      </c>
      <c r="J310" s="15">
        <v>96.0</v>
      </c>
      <c r="K310" s="15">
        <v>105.0</v>
      </c>
      <c r="L310" s="15">
        <v>89.0</v>
      </c>
      <c r="M310" s="15">
        <v>93.0</v>
      </c>
      <c r="N310" s="15">
        <v>83.0</v>
      </c>
    </row>
    <row r="311">
      <c r="A311" s="10">
        <v>624431.0</v>
      </c>
      <c r="B311" s="11" t="s">
        <v>305</v>
      </c>
      <c r="C311" s="12">
        <v>603.0</v>
      </c>
      <c r="D311" s="10">
        <v>278.0</v>
      </c>
      <c r="E311" s="13">
        <v>134.0</v>
      </c>
      <c r="F311" s="14">
        <v>-0.012</v>
      </c>
      <c r="G311" s="15">
        <v>53.0</v>
      </c>
      <c r="H311" s="15">
        <v>74.0</v>
      </c>
      <c r="I311" s="15">
        <v>78.0</v>
      </c>
      <c r="J311" s="15">
        <v>83.0</v>
      </c>
      <c r="K311" s="15">
        <v>127.0</v>
      </c>
      <c r="L311" s="15">
        <v>93.0</v>
      </c>
      <c r="M311" s="15">
        <v>93.0</v>
      </c>
      <c r="N311" s="15">
        <v>76.0</v>
      </c>
    </row>
    <row r="312">
      <c r="A312" s="10">
        <v>572138.0</v>
      </c>
      <c r="B312" s="11" t="s">
        <v>453</v>
      </c>
      <c r="C312" s="12">
        <v>419.0</v>
      </c>
      <c r="D312" s="10">
        <v>176.0</v>
      </c>
      <c r="E312" s="13">
        <v>69.0</v>
      </c>
      <c r="F312" s="14">
        <v>-0.018</v>
      </c>
      <c r="G312" s="15">
        <v>111.0</v>
      </c>
      <c r="H312" s="15">
        <v>102.0</v>
      </c>
      <c r="I312" s="15">
        <v>96.0</v>
      </c>
      <c r="J312" s="15">
        <v>102.0</v>
      </c>
      <c r="K312" s="15">
        <v>104.0</v>
      </c>
      <c r="L312" s="15">
        <v>89.0</v>
      </c>
      <c r="M312" s="15">
        <v>93.0</v>
      </c>
      <c r="N312" s="15">
        <v>72.0</v>
      </c>
    </row>
    <row r="313">
      <c r="A313" s="10">
        <v>686823.0</v>
      </c>
      <c r="B313" s="11" t="s">
        <v>501</v>
      </c>
      <c r="C313" s="12">
        <v>1595.0</v>
      </c>
      <c r="D313" s="10">
        <v>905.0</v>
      </c>
      <c r="E313" s="13">
        <v>375.0</v>
      </c>
      <c r="F313" s="14">
        <v>0.087</v>
      </c>
      <c r="G313" s="15">
        <v>88.0</v>
      </c>
      <c r="H313" s="15">
        <v>77.0</v>
      </c>
      <c r="I313" s="15">
        <v>121.0</v>
      </c>
      <c r="J313" s="15">
        <v>68.0</v>
      </c>
      <c r="K313" s="15">
        <v>124.0</v>
      </c>
      <c r="L313" s="15">
        <v>91.0</v>
      </c>
      <c r="M313" s="15">
        <v>93.0</v>
      </c>
      <c r="N313" s="15">
        <v>92.0</v>
      </c>
    </row>
    <row r="314">
      <c r="A314" s="10">
        <v>656413.0</v>
      </c>
      <c r="B314" s="11" t="s">
        <v>523</v>
      </c>
      <c r="C314" s="12">
        <v>945.0</v>
      </c>
      <c r="D314" s="10">
        <v>482.0</v>
      </c>
      <c r="E314" s="13">
        <v>155.0</v>
      </c>
      <c r="F314" s="14">
        <v>0.009</v>
      </c>
      <c r="G314" s="15">
        <v>132.0</v>
      </c>
      <c r="H314" s="15">
        <v>125.0</v>
      </c>
      <c r="I314" s="15">
        <v>118.0</v>
      </c>
      <c r="J314" s="15">
        <v>118.0</v>
      </c>
      <c r="K314" s="15">
        <v>77.0</v>
      </c>
      <c r="L314" s="15">
        <v>93.0</v>
      </c>
      <c r="M314" s="15">
        <v>93.0</v>
      </c>
      <c r="N314" s="15">
        <v>97.0</v>
      </c>
    </row>
    <row r="315">
      <c r="A315" s="10">
        <v>656180.0</v>
      </c>
      <c r="B315" s="11" t="s">
        <v>338</v>
      </c>
      <c r="C315" s="12">
        <v>554.0</v>
      </c>
      <c r="D315" s="10">
        <v>291.0</v>
      </c>
      <c r="E315" s="13">
        <v>98.0</v>
      </c>
      <c r="F315" s="14">
        <v>0.04</v>
      </c>
      <c r="G315" s="15">
        <v>98.0</v>
      </c>
      <c r="H315" s="15">
        <v>96.0</v>
      </c>
      <c r="I315" s="15">
        <v>119.0</v>
      </c>
      <c r="J315" s="15">
        <v>89.0</v>
      </c>
      <c r="K315" s="15">
        <v>91.0</v>
      </c>
      <c r="L315" s="15">
        <v>99.0</v>
      </c>
      <c r="M315" s="15">
        <v>93.0</v>
      </c>
      <c r="N315" s="15">
        <v>114.0</v>
      </c>
    </row>
    <row r="316">
      <c r="A316" s="10">
        <v>664728.0</v>
      </c>
      <c r="B316" s="11" t="s">
        <v>369</v>
      </c>
      <c r="C316" s="12">
        <v>1101.0</v>
      </c>
      <c r="D316" s="10">
        <v>512.0</v>
      </c>
      <c r="E316" s="13">
        <v>229.0</v>
      </c>
      <c r="F316" s="14">
        <v>-0.017</v>
      </c>
      <c r="G316" s="15">
        <v>90.0</v>
      </c>
      <c r="H316" s="15">
        <v>87.0</v>
      </c>
      <c r="I316" s="15">
        <v>78.0</v>
      </c>
      <c r="J316" s="15">
        <v>96.0</v>
      </c>
      <c r="K316" s="15">
        <v>124.0</v>
      </c>
      <c r="L316" s="15">
        <v>88.0</v>
      </c>
      <c r="M316" s="15">
        <v>93.0</v>
      </c>
      <c r="N316" s="15">
        <v>93.0</v>
      </c>
    </row>
    <row r="317">
      <c r="A317" s="10">
        <v>608385.0</v>
      </c>
      <c r="B317" s="11" t="s">
        <v>451</v>
      </c>
      <c r="C317" s="12">
        <v>825.0</v>
      </c>
      <c r="D317" s="10">
        <v>351.0</v>
      </c>
      <c r="E317" s="13">
        <v>115.0</v>
      </c>
      <c r="F317" s="14">
        <v>-0.05</v>
      </c>
      <c r="G317" s="15">
        <v>123.0</v>
      </c>
      <c r="H317" s="15">
        <v>122.0</v>
      </c>
      <c r="I317" s="15">
        <v>89.0</v>
      </c>
      <c r="J317" s="15">
        <v>124.0</v>
      </c>
      <c r="K317" s="15">
        <v>95.0</v>
      </c>
      <c r="L317" s="15">
        <v>80.0</v>
      </c>
      <c r="M317" s="15">
        <v>93.0</v>
      </c>
      <c r="N317" s="15">
        <v>87.0</v>
      </c>
    </row>
    <row r="318">
      <c r="A318" s="10">
        <v>676694.0</v>
      </c>
      <c r="B318" s="11" t="s">
        <v>145</v>
      </c>
      <c r="C318" s="12">
        <v>1316.0</v>
      </c>
      <c r="D318" s="10">
        <v>636.0</v>
      </c>
      <c r="E318" s="13">
        <v>221.0</v>
      </c>
      <c r="F318" s="14">
        <v>0.001</v>
      </c>
      <c r="G318" s="15">
        <v>112.0</v>
      </c>
      <c r="H318" s="15">
        <v>105.0</v>
      </c>
      <c r="I318" s="15">
        <v>100.0</v>
      </c>
      <c r="J318" s="15">
        <v>104.0</v>
      </c>
      <c r="K318" s="15">
        <v>91.0</v>
      </c>
      <c r="L318" s="15">
        <v>94.0</v>
      </c>
      <c r="M318" s="15">
        <v>93.0</v>
      </c>
      <c r="N318" s="15">
        <v>99.0</v>
      </c>
    </row>
    <row r="319">
      <c r="A319" s="10">
        <v>592669.0</v>
      </c>
      <c r="B319" s="11" t="s">
        <v>495</v>
      </c>
      <c r="C319" s="12">
        <v>2069.0</v>
      </c>
      <c r="D319" s="10">
        <v>1054.0</v>
      </c>
      <c r="E319" s="13">
        <v>365.0</v>
      </c>
      <c r="F319" s="14">
        <v>0.026</v>
      </c>
      <c r="G319" s="15">
        <v>98.0</v>
      </c>
      <c r="H319" s="15">
        <v>89.0</v>
      </c>
      <c r="I319" s="15">
        <v>101.0</v>
      </c>
      <c r="J319" s="15">
        <v>89.0</v>
      </c>
      <c r="K319" s="15">
        <v>107.0</v>
      </c>
      <c r="L319" s="15">
        <v>93.0</v>
      </c>
      <c r="M319" s="15">
        <v>92.0</v>
      </c>
      <c r="N319" s="15">
        <v>99.0</v>
      </c>
    </row>
    <row r="320">
      <c r="A320" s="10">
        <v>682641.0</v>
      </c>
      <c r="B320" s="11" t="s">
        <v>541</v>
      </c>
      <c r="C320" s="12">
        <v>895.0</v>
      </c>
      <c r="D320" s="10">
        <v>418.0</v>
      </c>
      <c r="E320" s="13">
        <v>196.0</v>
      </c>
      <c r="F320" s="14">
        <v>-0.008</v>
      </c>
      <c r="G320" s="15">
        <v>110.0</v>
      </c>
      <c r="H320" s="15">
        <v>105.0</v>
      </c>
      <c r="I320" s="15">
        <v>99.0</v>
      </c>
      <c r="J320" s="15">
        <v>105.0</v>
      </c>
      <c r="K320" s="15">
        <v>119.0</v>
      </c>
      <c r="L320" s="15">
        <v>84.0</v>
      </c>
      <c r="M320" s="15">
        <v>92.0</v>
      </c>
      <c r="N320" s="15">
        <v>91.0</v>
      </c>
    </row>
    <row r="321">
      <c r="A321" s="10">
        <v>542364.0</v>
      </c>
      <c r="B321" s="11" t="s">
        <v>613</v>
      </c>
      <c r="C321" s="12">
        <v>579.0</v>
      </c>
      <c r="D321" s="10">
        <v>250.0</v>
      </c>
      <c r="E321" s="13">
        <v>82.0</v>
      </c>
      <c r="F321" s="14">
        <v>-0.048</v>
      </c>
      <c r="G321" s="15">
        <v>98.0</v>
      </c>
      <c r="H321" s="15">
        <v>117.0</v>
      </c>
      <c r="I321" s="15">
        <v>103.0</v>
      </c>
      <c r="J321" s="15">
        <v>115.0</v>
      </c>
      <c r="K321" s="15">
        <v>93.0</v>
      </c>
      <c r="L321" s="15">
        <v>84.0</v>
      </c>
      <c r="M321" s="15">
        <v>92.0</v>
      </c>
      <c r="N321" s="15">
        <v>94.0</v>
      </c>
    </row>
    <row r="322">
      <c r="A322" s="10">
        <v>666160.0</v>
      </c>
      <c r="B322" s="11" t="s">
        <v>208</v>
      </c>
      <c r="C322" s="12">
        <v>1139.0</v>
      </c>
      <c r="D322" s="10">
        <v>705.0</v>
      </c>
      <c r="E322" s="13">
        <v>194.0</v>
      </c>
      <c r="F322" s="14">
        <v>0.15</v>
      </c>
      <c r="G322" s="15">
        <v>79.0</v>
      </c>
      <c r="H322" s="15">
        <v>62.0</v>
      </c>
      <c r="I322" s="15">
        <v>117.0</v>
      </c>
      <c r="J322" s="15">
        <v>59.0</v>
      </c>
      <c r="K322" s="15">
        <v>80.0</v>
      </c>
      <c r="L322" s="15">
        <v>124.0</v>
      </c>
      <c r="M322" s="15">
        <v>92.0</v>
      </c>
      <c r="N322" s="15">
        <v>110.0</v>
      </c>
    </row>
    <row r="323">
      <c r="A323" s="10">
        <v>666906.0</v>
      </c>
      <c r="B323" s="11" t="s">
        <v>614</v>
      </c>
      <c r="C323" s="12">
        <v>669.0</v>
      </c>
      <c r="D323" s="10">
        <v>336.0</v>
      </c>
      <c r="E323" s="13">
        <v>117.0</v>
      </c>
      <c r="F323" s="14">
        <v>0.004</v>
      </c>
      <c r="G323" s="15">
        <v>78.0</v>
      </c>
      <c r="H323" s="15">
        <v>93.0</v>
      </c>
      <c r="I323" s="15">
        <v>95.0</v>
      </c>
      <c r="J323" s="15">
        <v>95.0</v>
      </c>
      <c r="K323" s="15">
        <v>99.0</v>
      </c>
      <c r="L323" s="15">
        <v>95.0</v>
      </c>
      <c r="M323" s="15">
        <v>92.0</v>
      </c>
      <c r="N323" s="15">
        <v>86.0</v>
      </c>
    </row>
    <row r="324">
      <c r="A324" s="10">
        <v>663538.0</v>
      </c>
      <c r="B324" s="11" t="s">
        <v>290</v>
      </c>
      <c r="C324" s="12">
        <v>2486.0</v>
      </c>
      <c r="D324" s="10">
        <v>1136.0</v>
      </c>
      <c r="E324" s="13">
        <v>527.0</v>
      </c>
      <c r="F324" s="14">
        <v>-0.021</v>
      </c>
      <c r="G324" s="15">
        <v>80.0</v>
      </c>
      <c r="H324" s="15">
        <v>98.0</v>
      </c>
      <c r="I324" s="15">
        <v>102.0</v>
      </c>
      <c r="J324" s="15">
        <v>97.0</v>
      </c>
      <c r="K324" s="15">
        <v>126.0</v>
      </c>
      <c r="L324" s="15">
        <v>83.0</v>
      </c>
      <c r="M324" s="15">
        <v>92.0</v>
      </c>
      <c r="N324" s="15">
        <v>107.0</v>
      </c>
    </row>
    <row r="325">
      <c r="A325" s="10">
        <v>665161.0</v>
      </c>
      <c r="B325" s="11" t="s">
        <v>157</v>
      </c>
      <c r="C325" s="12">
        <v>2279.0</v>
      </c>
      <c r="D325" s="10">
        <v>1210.0</v>
      </c>
      <c r="E325" s="13">
        <v>447.0</v>
      </c>
      <c r="F325" s="14">
        <v>0.053</v>
      </c>
      <c r="G325" s="15">
        <v>102.0</v>
      </c>
      <c r="H325" s="15">
        <v>90.0</v>
      </c>
      <c r="I325" s="15">
        <v>104.0</v>
      </c>
      <c r="J325" s="15">
        <v>89.0</v>
      </c>
      <c r="K325" s="15">
        <v>115.0</v>
      </c>
      <c r="L325" s="15">
        <v>89.0</v>
      </c>
      <c r="M325" s="15">
        <v>92.0</v>
      </c>
      <c r="N325" s="15">
        <v>100.0</v>
      </c>
    </row>
    <row r="326">
      <c r="A326" s="10">
        <v>677950.0</v>
      </c>
      <c r="B326" s="11" t="s">
        <v>327</v>
      </c>
      <c r="C326" s="12">
        <v>1481.0</v>
      </c>
      <c r="D326" s="10">
        <v>726.0</v>
      </c>
      <c r="E326" s="13">
        <v>292.0</v>
      </c>
      <c r="F326" s="14">
        <v>0.0</v>
      </c>
      <c r="G326" s="15">
        <v>80.0</v>
      </c>
      <c r="H326" s="15">
        <v>90.0</v>
      </c>
      <c r="I326" s="15">
        <v>93.0</v>
      </c>
      <c r="J326" s="15">
        <v>93.0</v>
      </c>
      <c r="K326" s="15">
        <v>107.0</v>
      </c>
      <c r="L326" s="15">
        <v>93.0</v>
      </c>
      <c r="M326" s="15">
        <v>91.0</v>
      </c>
      <c r="N326" s="15">
        <v>94.0</v>
      </c>
    </row>
    <row r="327">
      <c r="A327" s="10">
        <v>672356.0</v>
      </c>
      <c r="B327" s="11" t="s">
        <v>287</v>
      </c>
      <c r="C327" s="12">
        <v>1332.0</v>
      </c>
      <c r="D327" s="10">
        <v>742.0</v>
      </c>
      <c r="E327" s="13">
        <v>203.0</v>
      </c>
      <c r="F327" s="14">
        <v>0.057</v>
      </c>
      <c r="G327" s="15">
        <v>108.0</v>
      </c>
      <c r="H327" s="15">
        <v>95.0</v>
      </c>
      <c r="I327" s="15">
        <v>105.0</v>
      </c>
      <c r="J327" s="15">
        <v>93.0</v>
      </c>
      <c r="K327" s="15">
        <v>74.0</v>
      </c>
      <c r="L327" s="15">
        <v>111.0</v>
      </c>
      <c r="M327" s="15">
        <v>91.0</v>
      </c>
      <c r="N327" s="15">
        <v>83.0</v>
      </c>
    </row>
    <row r="328">
      <c r="A328" s="10">
        <v>595777.0</v>
      </c>
      <c r="B328" s="11" t="s">
        <v>448</v>
      </c>
      <c r="C328" s="12">
        <v>2089.0</v>
      </c>
      <c r="D328" s="10">
        <v>985.0</v>
      </c>
      <c r="E328" s="13">
        <v>372.0</v>
      </c>
      <c r="F328" s="14">
        <v>-0.015</v>
      </c>
      <c r="G328" s="15">
        <v>114.0</v>
      </c>
      <c r="H328" s="15">
        <v>111.0</v>
      </c>
      <c r="I328" s="15">
        <v>113.0</v>
      </c>
      <c r="J328" s="15">
        <v>106.0</v>
      </c>
      <c r="K328" s="15">
        <v>110.0</v>
      </c>
      <c r="L328" s="15">
        <v>81.0</v>
      </c>
      <c r="M328" s="15">
        <v>91.0</v>
      </c>
      <c r="N328" s="15">
        <v>97.0</v>
      </c>
    </row>
    <row r="329">
      <c r="A329" s="10">
        <v>680779.0</v>
      </c>
      <c r="B329" s="11" t="s">
        <v>235</v>
      </c>
      <c r="C329" s="12">
        <v>1020.0</v>
      </c>
      <c r="D329" s="10">
        <v>453.0</v>
      </c>
      <c r="E329" s="13">
        <v>152.0</v>
      </c>
      <c r="F329" s="14">
        <v>-0.037</v>
      </c>
      <c r="G329" s="15">
        <v>92.0</v>
      </c>
      <c r="H329" s="15">
        <v>100.0</v>
      </c>
      <c r="I329" s="15">
        <v>82.0</v>
      </c>
      <c r="J329" s="15">
        <v>106.0</v>
      </c>
      <c r="K329" s="15">
        <v>96.0</v>
      </c>
      <c r="L329" s="15">
        <v>91.0</v>
      </c>
      <c r="M329" s="15">
        <v>91.0</v>
      </c>
      <c r="N329" s="15">
        <v>91.0</v>
      </c>
    </row>
    <row r="330">
      <c r="A330" s="10">
        <v>669289.0</v>
      </c>
      <c r="B330" s="11" t="s">
        <v>339</v>
      </c>
      <c r="C330" s="12">
        <v>984.0</v>
      </c>
      <c r="D330" s="10">
        <v>436.0</v>
      </c>
      <c r="E330" s="13">
        <v>197.0</v>
      </c>
      <c r="F330" s="14">
        <v>-0.041</v>
      </c>
      <c r="G330" s="15">
        <v>98.0</v>
      </c>
      <c r="H330" s="15">
        <v>104.0</v>
      </c>
      <c r="I330" s="15">
        <v>105.0</v>
      </c>
      <c r="J330" s="15">
        <v>102.0</v>
      </c>
      <c r="K330" s="15">
        <v>124.0</v>
      </c>
      <c r="L330" s="15">
        <v>80.0</v>
      </c>
      <c r="M330" s="15">
        <v>91.0</v>
      </c>
      <c r="N330" s="15">
        <v>91.0</v>
      </c>
    </row>
    <row r="331">
      <c r="A331" s="10">
        <v>602104.0</v>
      </c>
      <c r="B331" s="11" t="s">
        <v>222</v>
      </c>
      <c r="C331" s="12">
        <v>1448.0</v>
      </c>
      <c r="D331" s="10">
        <v>711.0</v>
      </c>
      <c r="E331" s="13">
        <v>256.0</v>
      </c>
      <c r="F331" s="14">
        <v>0.003</v>
      </c>
      <c r="G331" s="15">
        <v>108.0</v>
      </c>
      <c r="H331" s="15">
        <v>115.0</v>
      </c>
      <c r="I331" s="15">
        <v>112.0</v>
      </c>
      <c r="J331" s="15">
        <v>109.0</v>
      </c>
      <c r="K331" s="15">
        <v>81.0</v>
      </c>
      <c r="L331" s="15">
        <v>94.0</v>
      </c>
      <c r="M331" s="15">
        <v>91.0</v>
      </c>
      <c r="N331" s="15">
        <v>101.0</v>
      </c>
    </row>
    <row r="332">
      <c r="A332" s="10">
        <v>680911.0</v>
      </c>
      <c r="B332" s="11" t="s">
        <v>615</v>
      </c>
      <c r="C332" s="12">
        <v>1182.0</v>
      </c>
      <c r="D332" s="10">
        <v>569.0</v>
      </c>
      <c r="E332" s="13">
        <v>232.0</v>
      </c>
      <c r="F332" s="14">
        <v>-0.009</v>
      </c>
      <c r="G332" s="15">
        <v>88.0</v>
      </c>
      <c r="H332" s="15">
        <v>92.0</v>
      </c>
      <c r="I332" s="15">
        <v>85.0</v>
      </c>
      <c r="J332" s="15">
        <v>98.0</v>
      </c>
      <c r="K332" s="15">
        <v>106.0</v>
      </c>
      <c r="L332" s="15">
        <v>92.0</v>
      </c>
      <c r="M332" s="15">
        <v>91.0</v>
      </c>
      <c r="N332" s="15">
        <v>99.0</v>
      </c>
    </row>
    <row r="333">
      <c r="A333" s="10">
        <v>663845.0</v>
      </c>
      <c r="B333" s="11" t="s">
        <v>616</v>
      </c>
      <c r="C333" s="12">
        <v>537.0</v>
      </c>
      <c r="D333" s="10">
        <v>230.0</v>
      </c>
      <c r="E333" s="13">
        <v>75.0</v>
      </c>
      <c r="F333" s="14">
        <v>-0.081</v>
      </c>
      <c r="G333" s="15">
        <v>98.0</v>
      </c>
      <c r="H333" s="15">
        <v>103.0</v>
      </c>
      <c r="I333" s="15">
        <v>76.0</v>
      </c>
      <c r="J333" s="15">
        <v>112.0</v>
      </c>
      <c r="K333" s="15">
        <v>80.0</v>
      </c>
      <c r="L333" s="15">
        <v>98.0</v>
      </c>
      <c r="M333" s="15">
        <v>91.0</v>
      </c>
      <c r="N333" s="15">
        <v>101.0</v>
      </c>
    </row>
    <row r="334">
      <c r="A334" s="10">
        <v>669242.0</v>
      </c>
      <c r="B334" s="11" t="s">
        <v>191</v>
      </c>
      <c r="C334" s="12">
        <v>1778.0</v>
      </c>
      <c r="D334" s="10">
        <v>810.0</v>
      </c>
      <c r="E334" s="13">
        <v>393.0</v>
      </c>
      <c r="F334" s="14">
        <v>-0.013</v>
      </c>
      <c r="G334" s="15">
        <v>92.0</v>
      </c>
      <c r="H334" s="15">
        <v>92.0</v>
      </c>
      <c r="I334" s="15">
        <v>88.0</v>
      </c>
      <c r="J334" s="15">
        <v>97.0</v>
      </c>
      <c r="K334" s="15">
        <v>127.0</v>
      </c>
      <c r="L334" s="15">
        <v>85.0</v>
      </c>
      <c r="M334" s="15">
        <v>91.0</v>
      </c>
      <c r="N334" s="15">
        <v>95.0</v>
      </c>
    </row>
    <row r="335">
      <c r="A335" s="10">
        <v>500743.0</v>
      </c>
      <c r="B335" s="11" t="s">
        <v>336</v>
      </c>
      <c r="C335" s="12">
        <v>1432.0</v>
      </c>
      <c r="D335" s="10">
        <v>703.0</v>
      </c>
      <c r="E335" s="13">
        <v>335.0</v>
      </c>
      <c r="F335" s="14">
        <v>0.026</v>
      </c>
      <c r="G335" s="15">
        <v>94.0</v>
      </c>
      <c r="H335" s="15">
        <v>92.0</v>
      </c>
      <c r="I335" s="15">
        <v>104.0</v>
      </c>
      <c r="J335" s="15">
        <v>90.0</v>
      </c>
      <c r="K335" s="15">
        <v>125.0</v>
      </c>
      <c r="L335" s="15">
        <v>85.0</v>
      </c>
      <c r="M335" s="15">
        <v>91.0</v>
      </c>
      <c r="N335" s="15">
        <v>80.0</v>
      </c>
    </row>
    <row r="336">
      <c r="A336" s="10">
        <v>672478.0</v>
      </c>
      <c r="B336" s="11" t="s">
        <v>617</v>
      </c>
      <c r="C336" s="12">
        <v>1080.0</v>
      </c>
      <c r="D336" s="10">
        <v>605.0</v>
      </c>
      <c r="E336" s="13">
        <v>204.0</v>
      </c>
      <c r="F336" s="14">
        <v>0.072</v>
      </c>
      <c r="G336" s="15">
        <v>98.0</v>
      </c>
      <c r="H336" s="15">
        <v>91.0</v>
      </c>
      <c r="I336" s="15">
        <v>119.0</v>
      </c>
      <c r="J336" s="15">
        <v>85.0</v>
      </c>
      <c r="K336" s="15">
        <v>95.0</v>
      </c>
      <c r="L336" s="15">
        <v>98.0</v>
      </c>
      <c r="M336" s="15">
        <v>91.0</v>
      </c>
      <c r="N336" s="15">
        <v>85.0</v>
      </c>
    </row>
    <row r="337">
      <c r="A337" s="10">
        <v>518735.0</v>
      </c>
      <c r="B337" s="11" t="s">
        <v>460</v>
      </c>
      <c r="C337" s="12">
        <v>1633.0</v>
      </c>
      <c r="D337" s="10">
        <v>730.0</v>
      </c>
      <c r="E337" s="13">
        <v>279.0</v>
      </c>
      <c r="F337" s="14">
        <v>-0.031</v>
      </c>
      <c r="G337" s="15">
        <v>90.0</v>
      </c>
      <c r="H337" s="15">
        <v>99.0</v>
      </c>
      <c r="I337" s="15">
        <v>96.0</v>
      </c>
      <c r="J337" s="15">
        <v>101.0</v>
      </c>
      <c r="K337" s="15">
        <v>103.0</v>
      </c>
      <c r="L337" s="15">
        <v>89.0</v>
      </c>
      <c r="M337" s="15">
        <v>91.0</v>
      </c>
      <c r="N337" s="15">
        <v>93.0</v>
      </c>
    </row>
    <row r="338">
      <c r="A338" s="10">
        <v>668472.0</v>
      </c>
      <c r="B338" s="11" t="s">
        <v>618</v>
      </c>
      <c r="C338" s="12">
        <v>1424.0</v>
      </c>
      <c r="D338" s="10">
        <v>613.0</v>
      </c>
      <c r="E338" s="13">
        <v>170.0</v>
      </c>
      <c r="F338" s="14">
        <v>-0.045</v>
      </c>
      <c r="G338" s="15">
        <v>80.0</v>
      </c>
      <c r="H338" s="15">
        <v>79.0</v>
      </c>
      <c r="I338" s="15">
        <v>55.0</v>
      </c>
      <c r="J338" s="15">
        <v>97.0</v>
      </c>
      <c r="K338" s="15">
        <v>83.0</v>
      </c>
      <c r="L338" s="15">
        <v>111.0</v>
      </c>
      <c r="M338" s="15">
        <v>90.0</v>
      </c>
      <c r="N338" s="15">
        <v>98.0</v>
      </c>
    </row>
    <row r="339">
      <c r="A339" s="10">
        <v>608671.0</v>
      </c>
      <c r="B339" s="11" t="s">
        <v>569</v>
      </c>
      <c r="C339" s="12">
        <v>1103.0</v>
      </c>
      <c r="D339" s="10">
        <v>421.0</v>
      </c>
      <c r="E339" s="13">
        <v>206.0</v>
      </c>
      <c r="F339" s="14">
        <v>-0.102</v>
      </c>
      <c r="G339" s="15">
        <v>102.0</v>
      </c>
      <c r="H339" s="15">
        <v>118.0</v>
      </c>
      <c r="I339" s="15">
        <v>85.0</v>
      </c>
      <c r="J339" s="15">
        <v>124.0</v>
      </c>
      <c r="K339" s="15">
        <v>134.0</v>
      </c>
      <c r="L339" s="15">
        <v>69.0</v>
      </c>
      <c r="M339" s="15">
        <v>90.0</v>
      </c>
      <c r="N339" s="15">
        <v>99.0</v>
      </c>
    </row>
    <row r="340">
      <c r="A340" s="10">
        <v>669222.0</v>
      </c>
      <c r="B340" s="11" t="s">
        <v>478</v>
      </c>
      <c r="C340" s="12">
        <v>1181.0</v>
      </c>
      <c r="D340" s="10">
        <v>584.0</v>
      </c>
      <c r="E340" s="13">
        <v>228.0</v>
      </c>
      <c r="F340" s="14">
        <v>0.009</v>
      </c>
      <c r="G340" s="15">
        <v>114.0</v>
      </c>
      <c r="H340" s="15">
        <v>112.0</v>
      </c>
      <c r="I340" s="15">
        <v>105.0</v>
      </c>
      <c r="J340" s="15">
        <v>110.0</v>
      </c>
      <c r="K340" s="15">
        <v>98.0</v>
      </c>
      <c r="L340" s="15">
        <v>87.0</v>
      </c>
      <c r="M340" s="15">
        <v>90.0</v>
      </c>
      <c r="N340" s="15">
        <v>100.0</v>
      </c>
    </row>
    <row r="341">
      <c r="A341" s="10">
        <v>593160.0</v>
      </c>
      <c r="B341" s="11" t="s">
        <v>518</v>
      </c>
      <c r="C341" s="12">
        <v>2176.0</v>
      </c>
      <c r="D341" s="10">
        <v>1113.0</v>
      </c>
      <c r="E341" s="13">
        <v>449.0</v>
      </c>
      <c r="F341" s="14">
        <v>0.02</v>
      </c>
      <c r="G341" s="15">
        <v>98.0</v>
      </c>
      <c r="H341" s="15">
        <v>105.0</v>
      </c>
      <c r="I341" s="15">
        <v>111.0</v>
      </c>
      <c r="J341" s="15">
        <v>101.0</v>
      </c>
      <c r="K341" s="15">
        <v>110.0</v>
      </c>
      <c r="L341" s="15">
        <v>84.0</v>
      </c>
      <c r="M341" s="15">
        <v>90.0</v>
      </c>
      <c r="N341" s="15">
        <v>100.0</v>
      </c>
    </row>
    <row r="342">
      <c r="A342" s="10">
        <v>545121.0</v>
      </c>
      <c r="B342" s="11" t="s">
        <v>530</v>
      </c>
      <c r="C342" s="12">
        <v>1013.0</v>
      </c>
      <c r="D342" s="10">
        <v>466.0</v>
      </c>
      <c r="E342" s="13">
        <v>244.0</v>
      </c>
      <c r="F342" s="14">
        <v>-0.017</v>
      </c>
      <c r="G342" s="15">
        <v>88.0</v>
      </c>
      <c r="H342" s="15">
        <v>95.0</v>
      </c>
      <c r="I342" s="15">
        <v>102.0</v>
      </c>
      <c r="J342" s="15">
        <v>94.0</v>
      </c>
      <c r="K342" s="15">
        <v>145.0</v>
      </c>
      <c r="L342" s="15">
        <v>78.0</v>
      </c>
      <c r="M342" s="15">
        <v>90.0</v>
      </c>
      <c r="N342" s="15">
        <v>88.0</v>
      </c>
    </row>
    <row r="343">
      <c r="A343" s="10">
        <v>642731.0</v>
      </c>
      <c r="B343" s="11" t="s">
        <v>350</v>
      </c>
      <c r="C343" s="12">
        <v>1899.0</v>
      </c>
      <c r="D343" s="10">
        <v>981.0</v>
      </c>
      <c r="E343" s="13">
        <v>370.0</v>
      </c>
      <c r="F343" s="14">
        <v>0.034</v>
      </c>
      <c r="G343" s="15">
        <v>77.0</v>
      </c>
      <c r="H343" s="15">
        <v>81.0</v>
      </c>
      <c r="I343" s="15">
        <v>100.0</v>
      </c>
      <c r="J343" s="15">
        <v>82.0</v>
      </c>
      <c r="K343" s="15">
        <v>109.0</v>
      </c>
      <c r="L343" s="15">
        <v>94.0</v>
      </c>
      <c r="M343" s="15">
        <v>90.0</v>
      </c>
      <c r="N343" s="15">
        <v>103.0</v>
      </c>
    </row>
    <row r="344">
      <c r="A344" s="10">
        <v>656775.0</v>
      </c>
      <c r="B344" s="11" t="s">
        <v>275</v>
      </c>
      <c r="C344" s="12">
        <v>1770.0</v>
      </c>
      <c r="D344" s="10">
        <v>880.0</v>
      </c>
      <c r="E344" s="13">
        <v>309.0</v>
      </c>
      <c r="F344" s="14">
        <v>0.008</v>
      </c>
      <c r="G344" s="15">
        <v>112.0</v>
      </c>
      <c r="H344" s="15">
        <v>107.0</v>
      </c>
      <c r="I344" s="15">
        <v>111.0</v>
      </c>
      <c r="J344" s="15">
        <v>103.0</v>
      </c>
      <c r="K344" s="15">
        <v>101.0</v>
      </c>
      <c r="L344" s="15">
        <v>86.0</v>
      </c>
      <c r="M344" s="15">
        <v>90.0</v>
      </c>
      <c r="N344" s="15">
        <v>100.0</v>
      </c>
    </row>
    <row r="345">
      <c r="A345" s="10">
        <v>553869.0</v>
      </c>
      <c r="B345" s="11" t="s">
        <v>362</v>
      </c>
      <c r="C345" s="12">
        <v>1963.0</v>
      </c>
      <c r="D345" s="10">
        <v>1072.0</v>
      </c>
      <c r="E345" s="13">
        <v>368.0</v>
      </c>
      <c r="F345" s="14">
        <v>0.076</v>
      </c>
      <c r="G345" s="15">
        <v>109.0</v>
      </c>
      <c r="H345" s="15">
        <v>94.0</v>
      </c>
      <c r="I345" s="15">
        <v>120.0</v>
      </c>
      <c r="J345" s="15">
        <v>87.0</v>
      </c>
      <c r="K345" s="15">
        <v>94.0</v>
      </c>
      <c r="L345" s="15">
        <v>96.0</v>
      </c>
      <c r="M345" s="15">
        <v>90.0</v>
      </c>
      <c r="N345" s="15">
        <v>99.0</v>
      </c>
    </row>
    <row r="346">
      <c r="A346" s="10">
        <v>678662.0</v>
      </c>
      <c r="B346" s="11" t="s">
        <v>69</v>
      </c>
      <c r="C346" s="12">
        <v>2267.0</v>
      </c>
      <c r="D346" s="10">
        <v>1354.0</v>
      </c>
      <c r="E346" s="13">
        <v>416.0</v>
      </c>
      <c r="F346" s="14">
        <v>0.125</v>
      </c>
      <c r="G346" s="15">
        <v>94.0</v>
      </c>
      <c r="H346" s="15">
        <v>77.0</v>
      </c>
      <c r="I346" s="15">
        <v>118.0</v>
      </c>
      <c r="J346" s="15">
        <v>73.0</v>
      </c>
      <c r="K346" s="15">
        <v>93.0</v>
      </c>
      <c r="L346" s="15">
        <v>104.0</v>
      </c>
      <c r="M346" s="15">
        <v>89.0</v>
      </c>
      <c r="N346" s="15">
        <v>93.0</v>
      </c>
    </row>
    <row r="347">
      <c r="A347" s="10">
        <v>668731.0</v>
      </c>
      <c r="B347" s="11" t="s">
        <v>619</v>
      </c>
      <c r="C347" s="12">
        <v>1394.0</v>
      </c>
      <c r="D347" s="10">
        <v>652.0</v>
      </c>
      <c r="E347" s="13">
        <v>220.0</v>
      </c>
      <c r="F347" s="14">
        <v>-0.007</v>
      </c>
      <c r="G347" s="15">
        <v>113.0</v>
      </c>
      <c r="H347" s="15">
        <v>102.0</v>
      </c>
      <c r="I347" s="15">
        <v>85.0</v>
      </c>
      <c r="J347" s="15">
        <v>107.0</v>
      </c>
      <c r="K347" s="15">
        <v>98.0</v>
      </c>
      <c r="L347" s="15">
        <v>88.0</v>
      </c>
      <c r="M347" s="15">
        <v>89.0</v>
      </c>
      <c r="N347" s="15">
        <v>94.0</v>
      </c>
    </row>
    <row r="348">
      <c r="A348" s="10">
        <v>608336.0</v>
      </c>
      <c r="B348" s="11" t="s">
        <v>481</v>
      </c>
      <c r="C348" s="12">
        <v>1394.0</v>
      </c>
      <c r="D348" s="10">
        <v>659.0</v>
      </c>
      <c r="E348" s="13">
        <v>138.0</v>
      </c>
      <c r="F348" s="14">
        <v>0.002</v>
      </c>
      <c r="G348" s="15">
        <v>121.0</v>
      </c>
      <c r="H348" s="15">
        <v>99.0</v>
      </c>
      <c r="I348" s="15">
        <v>81.0</v>
      </c>
      <c r="J348" s="15">
        <v>104.0</v>
      </c>
      <c r="K348" s="15">
        <v>53.0</v>
      </c>
      <c r="L348" s="15">
        <v>125.0</v>
      </c>
      <c r="M348" s="15">
        <v>89.0</v>
      </c>
      <c r="N348" s="15">
        <v>97.0</v>
      </c>
    </row>
    <row r="349">
      <c r="A349" s="10">
        <v>657136.0</v>
      </c>
      <c r="B349" s="11" t="s">
        <v>505</v>
      </c>
      <c r="C349" s="12">
        <v>1522.0</v>
      </c>
      <c r="D349" s="10">
        <v>800.0</v>
      </c>
      <c r="E349" s="13">
        <v>236.0</v>
      </c>
      <c r="F349" s="14">
        <v>0.037</v>
      </c>
      <c r="G349" s="15">
        <v>94.0</v>
      </c>
      <c r="H349" s="15">
        <v>95.0</v>
      </c>
      <c r="I349" s="15">
        <v>110.0</v>
      </c>
      <c r="J349" s="15">
        <v>91.0</v>
      </c>
      <c r="K349" s="15">
        <v>77.0</v>
      </c>
      <c r="L349" s="15">
        <v>105.0</v>
      </c>
      <c r="M349" s="15">
        <v>89.0</v>
      </c>
      <c r="N349" s="15">
        <v>96.0</v>
      </c>
    </row>
    <row r="350">
      <c r="A350" s="10">
        <v>666018.0</v>
      </c>
      <c r="B350" s="11" t="s">
        <v>41</v>
      </c>
      <c r="C350" s="12">
        <v>426.0</v>
      </c>
      <c r="D350" s="10">
        <v>188.0</v>
      </c>
      <c r="E350" s="13">
        <v>55.0</v>
      </c>
      <c r="F350" s="14">
        <v>-0.042</v>
      </c>
      <c r="G350" s="15">
        <v>80.0</v>
      </c>
      <c r="H350" s="15">
        <v>95.0</v>
      </c>
      <c r="I350" s="15">
        <v>98.0</v>
      </c>
      <c r="J350" s="15">
        <v>96.0</v>
      </c>
      <c r="K350" s="15">
        <v>92.0</v>
      </c>
      <c r="L350" s="15">
        <v>93.0</v>
      </c>
      <c r="M350" s="15">
        <v>89.0</v>
      </c>
      <c r="N350" s="15">
        <v>98.0</v>
      </c>
    </row>
    <row r="351">
      <c r="A351" s="10">
        <v>687799.0</v>
      </c>
      <c r="B351" s="11" t="s">
        <v>620</v>
      </c>
      <c r="C351" s="12">
        <v>426.0</v>
      </c>
      <c r="D351" s="10">
        <v>215.0</v>
      </c>
      <c r="E351" s="13">
        <v>55.0</v>
      </c>
      <c r="F351" s="14">
        <v>0.004</v>
      </c>
      <c r="G351" s="15">
        <v>115.0</v>
      </c>
      <c r="H351" s="15">
        <v>107.0</v>
      </c>
      <c r="I351" s="15">
        <v>95.0</v>
      </c>
      <c r="J351" s="15">
        <v>109.0</v>
      </c>
      <c r="K351" s="15">
        <v>75.0</v>
      </c>
      <c r="L351" s="15">
        <v>98.0</v>
      </c>
      <c r="M351" s="15">
        <v>89.0</v>
      </c>
      <c r="N351" s="15">
        <v>110.0</v>
      </c>
    </row>
    <row r="352">
      <c r="A352" s="10">
        <v>543333.0</v>
      </c>
      <c r="B352" s="11" t="s">
        <v>621</v>
      </c>
      <c r="C352" s="12">
        <v>404.0</v>
      </c>
      <c r="D352" s="10">
        <v>210.0</v>
      </c>
      <c r="E352" s="13">
        <v>68.0</v>
      </c>
      <c r="F352" s="14">
        <v>0.017</v>
      </c>
      <c r="G352" s="15">
        <v>74.0</v>
      </c>
      <c r="H352" s="15">
        <v>96.0</v>
      </c>
      <c r="I352" s="15">
        <v>106.0</v>
      </c>
      <c r="J352" s="15">
        <v>94.0</v>
      </c>
      <c r="K352" s="15">
        <v>105.0</v>
      </c>
      <c r="L352" s="15">
        <v>86.0</v>
      </c>
      <c r="M352" s="15">
        <v>88.0</v>
      </c>
      <c r="N352" s="15">
        <v>93.0</v>
      </c>
    </row>
    <row r="353">
      <c r="A353" s="10">
        <v>668930.0</v>
      </c>
      <c r="B353" s="11" t="s">
        <v>164</v>
      </c>
      <c r="C353" s="12">
        <v>1774.0</v>
      </c>
      <c r="D353" s="10">
        <v>846.0</v>
      </c>
      <c r="E353" s="13">
        <v>311.0</v>
      </c>
      <c r="F353" s="14">
        <v>-0.015</v>
      </c>
      <c r="G353" s="15">
        <v>101.0</v>
      </c>
      <c r="H353" s="15">
        <v>105.0</v>
      </c>
      <c r="I353" s="15">
        <v>98.0</v>
      </c>
      <c r="J353" s="15">
        <v>105.0</v>
      </c>
      <c r="K353" s="15">
        <v>101.0</v>
      </c>
      <c r="L353" s="15">
        <v>85.0</v>
      </c>
      <c r="M353" s="15">
        <v>88.0</v>
      </c>
      <c r="N353" s="15">
        <v>86.0</v>
      </c>
    </row>
    <row r="354">
      <c r="A354" s="10">
        <v>624641.0</v>
      </c>
      <c r="B354" s="11" t="s">
        <v>283</v>
      </c>
      <c r="C354" s="12">
        <v>1116.0</v>
      </c>
      <c r="D354" s="10">
        <v>663.0</v>
      </c>
      <c r="E354" s="13">
        <v>205.0</v>
      </c>
      <c r="F354" s="14">
        <v>0.094</v>
      </c>
      <c r="G354" s="15">
        <v>86.0</v>
      </c>
      <c r="H354" s="15">
        <v>83.0</v>
      </c>
      <c r="I354" s="15">
        <v>126.0</v>
      </c>
      <c r="J354" s="15">
        <v>74.0</v>
      </c>
      <c r="K354" s="15">
        <v>96.0</v>
      </c>
      <c r="L354" s="15">
        <v>98.0</v>
      </c>
      <c r="M354" s="15">
        <v>88.0</v>
      </c>
      <c r="N354" s="15">
        <v>99.0</v>
      </c>
    </row>
    <row r="355">
      <c r="A355" s="10">
        <v>671732.0</v>
      </c>
      <c r="B355" s="11" t="s">
        <v>239</v>
      </c>
      <c r="C355" s="12">
        <v>498.0</v>
      </c>
      <c r="D355" s="10">
        <v>237.0</v>
      </c>
      <c r="E355" s="13">
        <v>89.0</v>
      </c>
      <c r="F355" s="14">
        <v>-0.019</v>
      </c>
      <c r="G355" s="15">
        <v>99.0</v>
      </c>
      <c r="H355" s="15">
        <v>91.0</v>
      </c>
      <c r="I355" s="15">
        <v>84.0</v>
      </c>
      <c r="J355" s="15">
        <v>97.0</v>
      </c>
      <c r="K355" s="15">
        <v>101.0</v>
      </c>
      <c r="L355" s="15">
        <v>92.0</v>
      </c>
      <c r="M355" s="15">
        <v>88.0</v>
      </c>
      <c r="N355" s="15">
        <v>80.0</v>
      </c>
    </row>
    <row r="356">
      <c r="A356" s="10">
        <v>543063.0</v>
      </c>
      <c r="B356" s="11" t="s">
        <v>622</v>
      </c>
      <c r="C356" s="12">
        <v>1215.0</v>
      </c>
      <c r="D356" s="10">
        <v>638.0</v>
      </c>
      <c r="E356" s="13">
        <v>207.0</v>
      </c>
      <c r="F356" s="14">
        <v>0.044</v>
      </c>
      <c r="G356" s="15">
        <v>109.0</v>
      </c>
      <c r="H356" s="15">
        <v>94.0</v>
      </c>
      <c r="I356" s="15">
        <v>101.0</v>
      </c>
      <c r="J356" s="15">
        <v>93.0</v>
      </c>
      <c r="K356" s="15">
        <v>92.0</v>
      </c>
      <c r="L356" s="15">
        <v>95.0</v>
      </c>
      <c r="M356" s="15">
        <v>88.0</v>
      </c>
      <c r="N356" s="15">
        <v>77.0</v>
      </c>
    </row>
    <row r="357">
      <c r="A357" s="10">
        <v>686217.0</v>
      </c>
      <c r="B357" s="11" t="s">
        <v>318</v>
      </c>
      <c r="C357" s="12">
        <v>870.0</v>
      </c>
      <c r="D357" s="10">
        <v>376.0</v>
      </c>
      <c r="E357" s="13">
        <v>156.0</v>
      </c>
      <c r="F357" s="14">
        <v>-0.032</v>
      </c>
      <c r="G357" s="15">
        <v>83.0</v>
      </c>
      <c r="H357" s="15">
        <v>97.0</v>
      </c>
      <c r="I357" s="15">
        <v>79.0</v>
      </c>
      <c r="J357" s="15">
        <v>104.0</v>
      </c>
      <c r="K357" s="15">
        <v>119.0</v>
      </c>
      <c r="L357" s="15">
        <v>80.0</v>
      </c>
      <c r="M357" s="15">
        <v>88.0</v>
      </c>
      <c r="N357" s="15">
        <v>100.0</v>
      </c>
    </row>
    <row r="358">
      <c r="A358" s="10">
        <v>670032.0</v>
      </c>
      <c r="B358" s="11" t="s">
        <v>542</v>
      </c>
      <c r="C358" s="12">
        <v>999.0</v>
      </c>
      <c r="D358" s="10">
        <v>478.0</v>
      </c>
      <c r="E358" s="13">
        <v>185.0</v>
      </c>
      <c r="F358" s="14">
        <v>0.019</v>
      </c>
      <c r="G358" s="15">
        <v>101.0</v>
      </c>
      <c r="H358" s="15">
        <v>112.0</v>
      </c>
      <c r="I358" s="15">
        <v>127.0</v>
      </c>
      <c r="J358" s="15">
        <v>101.0</v>
      </c>
      <c r="K358" s="15">
        <v>107.0</v>
      </c>
      <c r="L358" s="15">
        <v>80.0</v>
      </c>
      <c r="M358" s="15">
        <v>88.0</v>
      </c>
      <c r="N358" s="15">
        <v>84.0</v>
      </c>
    </row>
    <row r="359">
      <c r="A359" s="10">
        <v>663611.0</v>
      </c>
      <c r="B359" s="11" t="s">
        <v>623</v>
      </c>
      <c r="C359" s="12">
        <v>1029.0</v>
      </c>
      <c r="D359" s="10">
        <v>465.0</v>
      </c>
      <c r="E359" s="13">
        <v>243.0</v>
      </c>
      <c r="F359" s="14">
        <v>-0.024</v>
      </c>
      <c r="G359" s="15">
        <v>69.0</v>
      </c>
      <c r="H359" s="15">
        <v>97.0</v>
      </c>
      <c r="I359" s="15">
        <v>103.0</v>
      </c>
      <c r="J359" s="15">
        <v>96.0</v>
      </c>
      <c r="K359" s="15">
        <v>131.0</v>
      </c>
      <c r="L359" s="15">
        <v>80.0</v>
      </c>
      <c r="M359" s="15">
        <v>88.0</v>
      </c>
      <c r="N359" s="15">
        <v>96.0</v>
      </c>
    </row>
    <row r="360">
      <c r="A360" s="10">
        <v>543305.0</v>
      </c>
      <c r="B360" s="11" t="s">
        <v>624</v>
      </c>
      <c r="C360" s="12">
        <v>1347.0</v>
      </c>
      <c r="D360" s="10">
        <v>545.0</v>
      </c>
      <c r="E360" s="13">
        <v>201.0</v>
      </c>
      <c r="F360" s="14">
        <v>-0.079</v>
      </c>
      <c r="G360" s="15">
        <v>101.0</v>
      </c>
      <c r="H360" s="15">
        <v>117.0</v>
      </c>
      <c r="I360" s="15">
        <v>98.0</v>
      </c>
      <c r="J360" s="15">
        <v>116.0</v>
      </c>
      <c r="K360" s="15">
        <v>102.0</v>
      </c>
      <c r="L360" s="15">
        <v>75.0</v>
      </c>
      <c r="M360" s="15">
        <v>87.0</v>
      </c>
      <c r="N360" s="15">
        <v>106.0</v>
      </c>
    </row>
    <row r="361">
      <c r="A361" s="10">
        <v>622761.0</v>
      </c>
      <c r="B361" s="11" t="s">
        <v>547</v>
      </c>
      <c r="C361" s="12">
        <v>1306.0</v>
      </c>
      <c r="D361" s="10">
        <v>658.0</v>
      </c>
      <c r="E361" s="13">
        <v>243.0</v>
      </c>
      <c r="F361" s="14">
        <v>0.027</v>
      </c>
      <c r="G361" s="15">
        <v>87.0</v>
      </c>
      <c r="H361" s="15">
        <v>86.0</v>
      </c>
      <c r="I361" s="15">
        <v>104.0</v>
      </c>
      <c r="J361" s="15">
        <v>85.0</v>
      </c>
      <c r="K361" s="15">
        <v>105.0</v>
      </c>
      <c r="L361" s="15">
        <v>91.0</v>
      </c>
      <c r="M361" s="15">
        <v>87.0</v>
      </c>
      <c r="N361" s="15">
        <v>79.0</v>
      </c>
    </row>
    <row r="362">
      <c r="A362" s="10">
        <v>682829.0</v>
      </c>
      <c r="B362" s="11" t="s">
        <v>150</v>
      </c>
      <c r="C362" s="12">
        <v>1739.0</v>
      </c>
      <c r="D362" s="10">
        <v>793.0</v>
      </c>
      <c r="E362" s="13">
        <v>245.0</v>
      </c>
      <c r="F362" s="14">
        <v>-0.021</v>
      </c>
      <c r="G362" s="15">
        <v>82.0</v>
      </c>
      <c r="H362" s="15">
        <v>66.0</v>
      </c>
      <c r="I362" s="15">
        <v>48.0</v>
      </c>
      <c r="J362" s="15">
        <v>86.0</v>
      </c>
      <c r="K362" s="15">
        <v>96.0</v>
      </c>
      <c r="L362" s="15">
        <v>106.0</v>
      </c>
      <c r="M362" s="15">
        <v>87.0</v>
      </c>
      <c r="N362" s="15">
        <v>94.0</v>
      </c>
    </row>
    <row r="363">
      <c r="A363" s="10">
        <v>571771.0</v>
      </c>
      <c r="B363" s="11" t="s">
        <v>507</v>
      </c>
      <c r="C363" s="12">
        <v>1931.0</v>
      </c>
      <c r="D363" s="10">
        <v>898.0</v>
      </c>
      <c r="E363" s="13">
        <v>366.0</v>
      </c>
      <c r="F363" s="14">
        <v>-0.016</v>
      </c>
      <c r="G363" s="15">
        <v>99.0</v>
      </c>
      <c r="H363" s="15">
        <v>104.0</v>
      </c>
      <c r="I363" s="15">
        <v>104.0</v>
      </c>
      <c r="J363" s="15">
        <v>103.0</v>
      </c>
      <c r="K363" s="15">
        <v>108.0</v>
      </c>
      <c r="L363" s="15">
        <v>82.0</v>
      </c>
      <c r="M363" s="15">
        <v>87.0</v>
      </c>
      <c r="N363" s="15">
        <v>95.0</v>
      </c>
    </row>
    <row r="364">
      <c r="A364" s="10">
        <v>607732.0</v>
      </c>
      <c r="B364" s="11" t="s">
        <v>382</v>
      </c>
      <c r="C364" s="12">
        <v>1061.0</v>
      </c>
      <c r="D364" s="10">
        <v>434.0</v>
      </c>
      <c r="E364" s="13">
        <v>175.0</v>
      </c>
      <c r="F364" s="14">
        <v>-0.071</v>
      </c>
      <c r="G364" s="15">
        <v>93.0</v>
      </c>
      <c r="H364" s="15">
        <v>102.0</v>
      </c>
      <c r="I364" s="15">
        <v>78.0</v>
      </c>
      <c r="J364" s="15">
        <v>110.0</v>
      </c>
      <c r="K364" s="15">
        <v>99.0</v>
      </c>
      <c r="L364" s="15">
        <v>85.0</v>
      </c>
      <c r="M364" s="15">
        <v>87.0</v>
      </c>
      <c r="N364" s="15">
        <v>81.0</v>
      </c>
    </row>
    <row r="365">
      <c r="A365" s="10">
        <v>572041.0</v>
      </c>
      <c r="B365" s="11" t="s">
        <v>625</v>
      </c>
      <c r="C365" s="12">
        <v>556.0</v>
      </c>
      <c r="D365" s="10">
        <v>286.0</v>
      </c>
      <c r="E365" s="13">
        <v>103.0</v>
      </c>
      <c r="F365" s="14">
        <v>0.042</v>
      </c>
      <c r="G365" s="15">
        <v>96.0</v>
      </c>
      <c r="H365" s="15">
        <v>100.0</v>
      </c>
      <c r="I365" s="15">
        <v>112.0</v>
      </c>
      <c r="J365" s="15">
        <v>95.0</v>
      </c>
      <c r="K365" s="15">
        <v>108.0</v>
      </c>
      <c r="L365" s="15">
        <v>83.0</v>
      </c>
      <c r="M365" s="15">
        <v>87.0</v>
      </c>
      <c r="N365" s="15">
        <v>73.0</v>
      </c>
    </row>
    <row r="366">
      <c r="A366" s="10">
        <v>676609.0</v>
      </c>
      <c r="B366" s="11" t="s">
        <v>312</v>
      </c>
      <c r="C366" s="12">
        <v>1129.0</v>
      </c>
      <c r="D366" s="10">
        <v>488.0</v>
      </c>
      <c r="E366" s="13">
        <v>168.0</v>
      </c>
      <c r="F366" s="14">
        <v>-0.044</v>
      </c>
      <c r="G366" s="15">
        <v>82.0</v>
      </c>
      <c r="H366" s="15">
        <v>97.0</v>
      </c>
      <c r="I366" s="15">
        <v>85.0</v>
      </c>
      <c r="J366" s="15">
        <v>102.0</v>
      </c>
      <c r="K366" s="15">
        <v>111.0</v>
      </c>
      <c r="L366" s="15">
        <v>80.0</v>
      </c>
      <c r="M366" s="15">
        <v>87.0</v>
      </c>
      <c r="N366" s="15">
        <v>98.0</v>
      </c>
    </row>
    <row r="367">
      <c r="A367" s="10">
        <v>641645.0</v>
      </c>
      <c r="B367" s="11" t="s">
        <v>519</v>
      </c>
      <c r="C367" s="12">
        <v>474.0</v>
      </c>
      <c r="D367" s="10">
        <v>198.0</v>
      </c>
      <c r="E367" s="13">
        <v>81.0</v>
      </c>
      <c r="F367" s="14">
        <v>-0.047</v>
      </c>
      <c r="G367" s="15">
        <v>100.0</v>
      </c>
      <c r="H367" s="15">
        <v>104.0</v>
      </c>
      <c r="I367" s="15">
        <v>102.0</v>
      </c>
      <c r="J367" s="15">
        <v>103.0</v>
      </c>
      <c r="K367" s="15">
        <v>111.0</v>
      </c>
      <c r="L367" s="15">
        <v>79.0</v>
      </c>
      <c r="M367" s="15">
        <v>87.0</v>
      </c>
      <c r="N367" s="15">
        <v>92.0</v>
      </c>
    </row>
    <row r="368">
      <c r="A368" s="10">
        <v>643393.0</v>
      </c>
      <c r="B368" s="11" t="s">
        <v>626</v>
      </c>
      <c r="C368" s="12">
        <v>1469.0</v>
      </c>
      <c r="D368" s="10">
        <v>679.0</v>
      </c>
      <c r="E368" s="13">
        <v>327.0</v>
      </c>
      <c r="F368" s="14">
        <v>-0.004</v>
      </c>
      <c r="G368" s="15">
        <v>106.0</v>
      </c>
      <c r="H368" s="15">
        <v>116.0</v>
      </c>
      <c r="I368" s="15">
        <v>114.0</v>
      </c>
      <c r="J368" s="15">
        <v>110.0</v>
      </c>
      <c r="K368" s="15">
        <v>124.0</v>
      </c>
      <c r="L368" s="15">
        <v>74.0</v>
      </c>
      <c r="M368" s="15">
        <v>86.0</v>
      </c>
      <c r="N368" s="15">
        <v>78.0</v>
      </c>
    </row>
    <row r="369">
      <c r="A369" s="10">
        <v>676701.0</v>
      </c>
      <c r="B369" s="11" t="s">
        <v>627</v>
      </c>
      <c r="C369" s="12">
        <v>873.0</v>
      </c>
      <c r="D369" s="10">
        <v>442.0</v>
      </c>
      <c r="E369" s="13">
        <v>159.0</v>
      </c>
      <c r="F369" s="14">
        <v>0.003</v>
      </c>
      <c r="G369" s="15">
        <v>99.0</v>
      </c>
      <c r="H369" s="15">
        <v>100.0</v>
      </c>
      <c r="I369" s="15">
        <v>108.0</v>
      </c>
      <c r="J369" s="15">
        <v>97.0</v>
      </c>
      <c r="K369" s="15">
        <v>99.0</v>
      </c>
      <c r="L369" s="15">
        <v>87.0</v>
      </c>
      <c r="M369" s="15">
        <v>86.0</v>
      </c>
      <c r="N369" s="15">
        <v>88.0</v>
      </c>
    </row>
    <row r="370">
      <c r="A370" s="10">
        <v>664056.0</v>
      </c>
      <c r="B370" s="11" t="s">
        <v>266</v>
      </c>
      <c r="C370" s="12">
        <v>1223.0</v>
      </c>
      <c r="D370" s="10">
        <v>592.0</v>
      </c>
      <c r="E370" s="13">
        <v>262.0</v>
      </c>
      <c r="F370" s="14">
        <v>0.022</v>
      </c>
      <c r="G370" s="15">
        <v>84.0</v>
      </c>
      <c r="H370" s="15">
        <v>80.0</v>
      </c>
      <c r="I370" s="15">
        <v>103.0</v>
      </c>
      <c r="J370" s="15">
        <v>81.0</v>
      </c>
      <c r="K370" s="15">
        <v>119.0</v>
      </c>
      <c r="L370" s="15">
        <v>88.0</v>
      </c>
      <c r="M370" s="15">
        <v>86.0</v>
      </c>
      <c r="N370" s="15">
        <v>85.0</v>
      </c>
    </row>
    <row r="371">
      <c r="A371" s="10">
        <v>650489.0</v>
      </c>
      <c r="B371" s="11" t="s">
        <v>294</v>
      </c>
      <c r="C371" s="12">
        <v>1574.0</v>
      </c>
      <c r="D371" s="10">
        <v>811.0</v>
      </c>
      <c r="E371" s="13">
        <v>262.0</v>
      </c>
      <c r="F371" s="14">
        <v>0.026</v>
      </c>
      <c r="G371" s="15">
        <v>95.0</v>
      </c>
      <c r="H371" s="15">
        <v>92.0</v>
      </c>
      <c r="I371" s="15">
        <v>102.0</v>
      </c>
      <c r="J371" s="15">
        <v>91.0</v>
      </c>
      <c r="K371" s="15">
        <v>99.0</v>
      </c>
      <c r="L371" s="15">
        <v>90.0</v>
      </c>
      <c r="M371" s="15">
        <v>86.0</v>
      </c>
      <c r="N371" s="15">
        <v>100.0</v>
      </c>
    </row>
    <row r="372">
      <c r="A372" s="10">
        <v>663743.0</v>
      </c>
      <c r="B372" s="11" t="s">
        <v>296</v>
      </c>
      <c r="C372" s="12">
        <v>1112.0</v>
      </c>
      <c r="D372" s="10">
        <v>505.0</v>
      </c>
      <c r="E372" s="13">
        <v>235.0</v>
      </c>
      <c r="F372" s="14">
        <v>-0.013</v>
      </c>
      <c r="G372" s="15">
        <v>108.0</v>
      </c>
      <c r="H372" s="15">
        <v>103.0</v>
      </c>
      <c r="I372" s="15">
        <v>86.0</v>
      </c>
      <c r="J372" s="15">
        <v>108.0</v>
      </c>
      <c r="K372" s="15">
        <v>112.0</v>
      </c>
      <c r="L372" s="15">
        <v>82.0</v>
      </c>
      <c r="M372" s="15">
        <v>86.0</v>
      </c>
      <c r="N372" s="15">
        <v>80.0</v>
      </c>
    </row>
    <row r="373">
      <c r="A373" s="10">
        <v>572204.0</v>
      </c>
      <c r="B373" s="11" t="s">
        <v>628</v>
      </c>
      <c r="C373" s="12">
        <v>784.0</v>
      </c>
      <c r="D373" s="10">
        <v>315.0</v>
      </c>
      <c r="E373" s="13">
        <v>75.0</v>
      </c>
      <c r="F373" s="14">
        <v>-0.084</v>
      </c>
      <c r="G373" s="15">
        <v>115.0</v>
      </c>
      <c r="H373" s="15">
        <v>119.0</v>
      </c>
      <c r="I373" s="15">
        <v>80.0</v>
      </c>
      <c r="J373" s="15">
        <v>123.0</v>
      </c>
      <c r="K373" s="15">
        <v>36.0</v>
      </c>
      <c r="L373" s="15">
        <v>110.0</v>
      </c>
      <c r="M373" s="15">
        <v>86.0</v>
      </c>
      <c r="N373" s="15">
        <v>83.0</v>
      </c>
    </row>
    <row r="374">
      <c r="A374" s="10">
        <v>641313.0</v>
      </c>
      <c r="B374" s="11" t="s">
        <v>568</v>
      </c>
      <c r="C374" s="12">
        <v>1921.0</v>
      </c>
      <c r="D374" s="10">
        <v>1025.0</v>
      </c>
      <c r="E374" s="13">
        <v>369.0</v>
      </c>
      <c r="F374" s="14">
        <v>0.038</v>
      </c>
      <c r="G374" s="15">
        <v>94.0</v>
      </c>
      <c r="H374" s="15">
        <v>89.0</v>
      </c>
      <c r="I374" s="15">
        <v>111.0</v>
      </c>
      <c r="J374" s="15">
        <v>85.0</v>
      </c>
      <c r="K374" s="15">
        <v>97.0</v>
      </c>
      <c r="L374" s="15">
        <v>93.0</v>
      </c>
      <c r="M374" s="15">
        <v>86.0</v>
      </c>
      <c r="N374" s="15">
        <v>79.0</v>
      </c>
    </row>
    <row r="375">
      <c r="A375" s="10">
        <v>605131.0</v>
      </c>
      <c r="B375" s="11" t="s">
        <v>486</v>
      </c>
      <c r="C375" s="12">
        <v>760.0</v>
      </c>
      <c r="D375" s="10">
        <v>331.0</v>
      </c>
      <c r="E375" s="13">
        <v>135.0</v>
      </c>
      <c r="F375" s="14">
        <v>-0.072</v>
      </c>
      <c r="G375" s="15">
        <v>112.0</v>
      </c>
      <c r="H375" s="15">
        <v>119.0</v>
      </c>
      <c r="I375" s="15">
        <v>94.0</v>
      </c>
      <c r="J375" s="15">
        <v>123.0</v>
      </c>
      <c r="K375" s="15">
        <v>91.0</v>
      </c>
      <c r="L375" s="15">
        <v>81.0</v>
      </c>
      <c r="M375" s="15">
        <v>86.0</v>
      </c>
      <c r="N375" s="15">
        <v>76.0</v>
      </c>
    </row>
    <row r="376">
      <c r="A376" s="10">
        <v>455117.0</v>
      </c>
      <c r="B376" s="11" t="s">
        <v>358</v>
      </c>
      <c r="C376" s="12">
        <v>1569.0</v>
      </c>
      <c r="D376" s="10">
        <v>779.0</v>
      </c>
      <c r="E376" s="13">
        <v>234.0</v>
      </c>
      <c r="F376" s="14">
        <v>0.004</v>
      </c>
      <c r="G376" s="15">
        <v>97.0</v>
      </c>
      <c r="H376" s="15">
        <v>92.0</v>
      </c>
      <c r="I376" s="15">
        <v>87.0</v>
      </c>
      <c r="J376" s="15">
        <v>98.0</v>
      </c>
      <c r="K376" s="15">
        <v>76.0</v>
      </c>
      <c r="L376" s="15">
        <v>102.0</v>
      </c>
      <c r="M376" s="15">
        <v>86.0</v>
      </c>
      <c r="N376" s="15">
        <v>84.0</v>
      </c>
    </row>
    <row r="377">
      <c r="A377" s="10">
        <v>672695.0</v>
      </c>
      <c r="B377" s="11" t="s">
        <v>117</v>
      </c>
      <c r="C377" s="12">
        <v>2046.0</v>
      </c>
      <c r="D377" s="10">
        <v>799.0</v>
      </c>
      <c r="E377" s="13">
        <v>338.0</v>
      </c>
      <c r="F377" s="14">
        <v>-0.099</v>
      </c>
      <c r="G377" s="15">
        <v>104.0</v>
      </c>
      <c r="H377" s="15">
        <v>120.0</v>
      </c>
      <c r="I377" s="15">
        <v>81.0</v>
      </c>
      <c r="J377" s="15">
        <v>128.0</v>
      </c>
      <c r="K377" s="15">
        <v>118.0</v>
      </c>
      <c r="L377" s="15">
        <v>66.0</v>
      </c>
      <c r="M377" s="15">
        <v>86.0</v>
      </c>
      <c r="N377" s="15">
        <v>100.0</v>
      </c>
    </row>
    <row r="378">
      <c r="A378" s="10">
        <v>664059.0</v>
      </c>
      <c r="B378" s="11" t="s">
        <v>286</v>
      </c>
      <c r="C378" s="12">
        <v>407.0</v>
      </c>
      <c r="D378" s="10">
        <v>195.0</v>
      </c>
      <c r="E378" s="13">
        <v>75.0</v>
      </c>
      <c r="F378" s="14">
        <v>0.007</v>
      </c>
      <c r="G378" s="15">
        <v>123.0</v>
      </c>
      <c r="H378" s="15">
        <v>125.0</v>
      </c>
      <c r="I378" s="15">
        <v>109.0</v>
      </c>
      <c r="J378" s="15">
        <v>120.0</v>
      </c>
      <c r="K378" s="15">
        <v>103.0</v>
      </c>
      <c r="L378" s="15">
        <v>73.0</v>
      </c>
      <c r="M378" s="15">
        <v>86.0</v>
      </c>
      <c r="N378" s="15">
        <v>100.0</v>
      </c>
    </row>
    <row r="379">
      <c r="A379" s="10">
        <v>462101.0</v>
      </c>
      <c r="B379" s="11" t="s">
        <v>629</v>
      </c>
      <c r="C379" s="12">
        <v>1581.0</v>
      </c>
      <c r="D379" s="10">
        <v>712.0</v>
      </c>
      <c r="E379" s="13">
        <v>304.0</v>
      </c>
      <c r="F379" s="14">
        <v>-0.047</v>
      </c>
      <c r="G379" s="15">
        <v>91.0</v>
      </c>
      <c r="H379" s="15">
        <v>103.0</v>
      </c>
      <c r="I379" s="15">
        <v>93.0</v>
      </c>
      <c r="J379" s="15">
        <v>105.0</v>
      </c>
      <c r="K379" s="15">
        <v>112.0</v>
      </c>
      <c r="L379" s="15">
        <v>80.0</v>
      </c>
      <c r="M379" s="15">
        <v>85.0</v>
      </c>
      <c r="N379" s="15">
        <v>96.0</v>
      </c>
    </row>
    <row r="380">
      <c r="A380" s="10">
        <v>516416.0</v>
      </c>
      <c r="B380" s="11" t="s">
        <v>630</v>
      </c>
      <c r="C380" s="12">
        <v>1238.0</v>
      </c>
      <c r="D380" s="10">
        <v>622.0</v>
      </c>
      <c r="E380" s="13">
        <v>254.0</v>
      </c>
      <c r="F380" s="14">
        <v>0.032</v>
      </c>
      <c r="G380" s="15">
        <v>77.0</v>
      </c>
      <c r="H380" s="15">
        <v>82.0</v>
      </c>
      <c r="I380" s="15">
        <v>112.0</v>
      </c>
      <c r="J380" s="15">
        <v>79.0</v>
      </c>
      <c r="K380" s="15">
        <v>128.0</v>
      </c>
      <c r="L380" s="15">
        <v>81.0</v>
      </c>
      <c r="M380" s="15">
        <v>85.0</v>
      </c>
      <c r="N380" s="15">
        <v>77.0</v>
      </c>
    </row>
    <row r="381">
      <c r="A381" s="10">
        <v>643446.0</v>
      </c>
      <c r="B381" s="11" t="s">
        <v>211</v>
      </c>
      <c r="C381" s="12">
        <v>2156.0</v>
      </c>
      <c r="D381" s="10">
        <v>1141.0</v>
      </c>
      <c r="E381" s="13">
        <v>518.0</v>
      </c>
      <c r="F381" s="14">
        <v>0.064</v>
      </c>
      <c r="G381" s="15">
        <v>121.0</v>
      </c>
      <c r="H381" s="15">
        <v>108.0</v>
      </c>
      <c r="I381" s="15">
        <v>130.0</v>
      </c>
      <c r="J381" s="15">
        <v>96.0</v>
      </c>
      <c r="K381" s="15">
        <v>123.0</v>
      </c>
      <c r="L381" s="15">
        <v>77.0</v>
      </c>
      <c r="M381" s="15">
        <v>85.0</v>
      </c>
      <c r="N381" s="15">
        <v>98.0</v>
      </c>
    </row>
    <row r="382">
      <c r="A382" s="10">
        <v>657557.0</v>
      </c>
      <c r="B382" s="11" t="s">
        <v>503</v>
      </c>
      <c r="C382" s="12">
        <v>1380.0</v>
      </c>
      <c r="D382" s="10">
        <v>733.0</v>
      </c>
      <c r="E382" s="13">
        <v>244.0</v>
      </c>
      <c r="F382" s="14">
        <v>0.041</v>
      </c>
      <c r="G382" s="15">
        <v>97.0</v>
      </c>
      <c r="H382" s="15">
        <v>94.0</v>
      </c>
      <c r="I382" s="15">
        <v>111.0</v>
      </c>
      <c r="J382" s="15">
        <v>90.0</v>
      </c>
      <c r="K382" s="15">
        <v>83.0</v>
      </c>
      <c r="L382" s="15">
        <v>98.0</v>
      </c>
      <c r="M382" s="15">
        <v>85.0</v>
      </c>
      <c r="N382" s="15">
        <v>81.0</v>
      </c>
    </row>
    <row r="383">
      <c r="A383" s="10">
        <v>665926.0</v>
      </c>
      <c r="B383" s="11" t="s">
        <v>243</v>
      </c>
      <c r="C383" s="12">
        <v>2335.0</v>
      </c>
      <c r="D383" s="10">
        <v>1274.0</v>
      </c>
      <c r="E383" s="13">
        <v>451.0</v>
      </c>
      <c r="F383" s="14">
        <v>0.089</v>
      </c>
      <c r="G383" s="15">
        <v>80.0</v>
      </c>
      <c r="H383" s="15">
        <v>79.0</v>
      </c>
      <c r="I383" s="15">
        <v>120.0</v>
      </c>
      <c r="J383" s="15">
        <v>74.0</v>
      </c>
      <c r="K383" s="15">
        <v>107.0</v>
      </c>
      <c r="L383" s="15">
        <v>91.0</v>
      </c>
      <c r="M383" s="15">
        <v>85.0</v>
      </c>
      <c r="N383" s="15">
        <v>99.0</v>
      </c>
    </row>
    <row r="384">
      <c r="A384" s="10">
        <v>641505.0</v>
      </c>
      <c r="B384" s="11" t="s">
        <v>631</v>
      </c>
      <c r="C384" s="12">
        <v>415.0</v>
      </c>
      <c r="D384" s="10">
        <v>180.0</v>
      </c>
      <c r="E384" s="13">
        <v>65.0</v>
      </c>
      <c r="F384" s="14">
        <v>-0.059</v>
      </c>
      <c r="G384" s="15">
        <v>105.0</v>
      </c>
      <c r="H384" s="15">
        <v>114.0</v>
      </c>
      <c r="I384" s="15">
        <v>97.0</v>
      </c>
      <c r="J384" s="15">
        <v>115.0</v>
      </c>
      <c r="K384" s="15">
        <v>80.0</v>
      </c>
      <c r="L384" s="15">
        <v>87.0</v>
      </c>
      <c r="M384" s="15">
        <v>85.0</v>
      </c>
      <c r="N384" s="15">
        <v>97.0</v>
      </c>
    </row>
    <row r="385">
      <c r="A385" s="10">
        <v>595909.0</v>
      </c>
      <c r="B385" s="11" t="s">
        <v>514</v>
      </c>
      <c r="C385" s="12">
        <v>805.0</v>
      </c>
      <c r="D385" s="10">
        <v>393.0</v>
      </c>
      <c r="E385" s="13">
        <v>130.0</v>
      </c>
      <c r="F385" s="14">
        <v>0.008</v>
      </c>
      <c r="G385" s="15">
        <v>100.0</v>
      </c>
      <c r="H385" s="15">
        <v>95.0</v>
      </c>
      <c r="I385" s="15">
        <v>94.0</v>
      </c>
      <c r="J385" s="15">
        <v>97.0</v>
      </c>
      <c r="K385" s="15">
        <v>90.0</v>
      </c>
      <c r="L385" s="15">
        <v>92.0</v>
      </c>
      <c r="M385" s="15">
        <v>85.0</v>
      </c>
      <c r="N385" s="15">
        <v>83.0</v>
      </c>
    </row>
    <row r="386">
      <c r="A386" s="10">
        <v>519058.0</v>
      </c>
      <c r="B386" s="11" t="s">
        <v>632</v>
      </c>
      <c r="C386" s="12">
        <v>1483.0</v>
      </c>
      <c r="D386" s="10">
        <v>790.0</v>
      </c>
      <c r="E386" s="13">
        <v>259.0</v>
      </c>
      <c r="F386" s="14">
        <v>0.047</v>
      </c>
      <c r="G386" s="15">
        <v>94.0</v>
      </c>
      <c r="H386" s="15">
        <v>91.0</v>
      </c>
      <c r="I386" s="15">
        <v>111.0</v>
      </c>
      <c r="J386" s="15">
        <v>86.0</v>
      </c>
      <c r="K386" s="15">
        <v>98.0</v>
      </c>
      <c r="L386" s="15">
        <v>90.0</v>
      </c>
      <c r="M386" s="15">
        <v>85.0</v>
      </c>
      <c r="N386" s="15">
        <v>96.0</v>
      </c>
    </row>
    <row r="387">
      <c r="A387" s="10">
        <v>645444.0</v>
      </c>
      <c r="B387" s="11" t="s">
        <v>349</v>
      </c>
      <c r="C387" s="12">
        <v>507.0</v>
      </c>
      <c r="D387" s="10">
        <v>198.0</v>
      </c>
      <c r="E387" s="13">
        <v>77.0</v>
      </c>
      <c r="F387" s="14">
        <v>-0.1</v>
      </c>
      <c r="G387" s="15">
        <v>100.0</v>
      </c>
      <c r="H387" s="15">
        <v>119.0</v>
      </c>
      <c r="I387" s="15">
        <v>96.0</v>
      </c>
      <c r="J387" s="15">
        <v>121.0</v>
      </c>
      <c r="K387" s="15">
        <v>101.0</v>
      </c>
      <c r="L387" s="15">
        <v>71.0</v>
      </c>
      <c r="M387" s="15">
        <v>85.0</v>
      </c>
      <c r="N387" s="15">
        <v>83.0</v>
      </c>
    </row>
    <row r="388">
      <c r="A388" s="10">
        <v>682073.0</v>
      </c>
      <c r="B388" s="11" t="s">
        <v>633</v>
      </c>
      <c r="C388" s="12">
        <v>400.0</v>
      </c>
      <c r="D388" s="10">
        <v>153.0</v>
      </c>
      <c r="E388" s="13">
        <v>49.0</v>
      </c>
      <c r="F388" s="14">
        <v>-0.119</v>
      </c>
      <c r="G388" s="15">
        <v>95.0</v>
      </c>
      <c r="H388" s="15">
        <v>95.0</v>
      </c>
      <c r="I388" s="15">
        <v>23.0</v>
      </c>
      <c r="J388" s="15">
        <v>126.0</v>
      </c>
      <c r="K388" s="15">
        <v>95.0</v>
      </c>
      <c r="L388" s="15">
        <v>84.0</v>
      </c>
      <c r="M388" s="15">
        <v>85.0</v>
      </c>
      <c r="N388" s="15">
        <v>60.0</v>
      </c>
    </row>
    <row r="389">
      <c r="A389" s="10">
        <v>624414.0</v>
      </c>
      <c r="B389" s="11" t="s">
        <v>634</v>
      </c>
      <c r="C389" s="12">
        <v>725.0</v>
      </c>
      <c r="D389" s="10">
        <v>432.0</v>
      </c>
      <c r="E389" s="13">
        <v>152.0</v>
      </c>
      <c r="F389" s="14">
        <v>0.09</v>
      </c>
      <c r="G389" s="15">
        <v>103.0</v>
      </c>
      <c r="H389" s="15">
        <v>88.0</v>
      </c>
      <c r="I389" s="15">
        <v>123.0</v>
      </c>
      <c r="J389" s="15">
        <v>79.0</v>
      </c>
      <c r="K389" s="15">
        <v>97.0</v>
      </c>
      <c r="L389" s="15">
        <v>93.0</v>
      </c>
      <c r="M389" s="15">
        <v>84.0</v>
      </c>
      <c r="N389" s="15">
        <v>86.0</v>
      </c>
    </row>
    <row r="390">
      <c r="A390" s="10">
        <v>669477.0</v>
      </c>
      <c r="B390" s="11" t="s">
        <v>169</v>
      </c>
      <c r="C390" s="12">
        <v>957.0</v>
      </c>
      <c r="D390" s="10">
        <v>527.0</v>
      </c>
      <c r="E390" s="13">
        <v>193.0</v>
      </c>
      <c r="F390" s="14">
        <v>0.066</v>
      </c>
      <c r="G390" s="15">
        <v>85.0</v>
      </c>
      <c r="H390" s="15">
        <v>86.0</v>
      </c>
      <c r="I390" s="15">
        <v>116.0</v>
      </c>
      <c r="J390" s="15">
        <v>80.0</v>
      </c>
      <c r="K390" s="15">
        <v>99.0</v>
      </c>
      <c r="L390" s="15">
        <v>93.0</v>
      </c>
      <c r="M390" s="15">
        <v>84.0</v>
      </c>
      <c r="N390" s="15">
        <v>76.0</v>
      </c>
    </row>
    <row r="391">
      <c r="A391" s="10">
        <v>682848.0</v>
      </c>
      <c r="B391" s="11" t="s">
        <v>635</v>
      </c>
      <c r="C391" s="12">
        <v>768.0</v>
      </c>
      <c r="D391" s="10">
        <v>355.0</v>
      </c>
      <c r="E391" s="13">
        <v>137.0</v>
      </c>
      <c r="F391" s="14">
        <v>-0.003</v>
      </c>
      <c r="G391" s="15">
        <v>100.0</v>
      </c>
      <c r="H391" s="15">
        <v>91.0</v>
      </c>
      <c r="I391" s="15">
        <v>81.0</v>
      </c>
      <c r="J391" s="15">
        <v>97.0</v>
      </c>
      <c r="K391" s="15">
        <v>100.0</v>
      </c>
      <c r="L391" s="15">
        <v>89.0</v>
      </c>
      <c r="M391" s="15">
        <v>84.0</v>
      </c>
      <c r="N391" s="15">
        <v>81.0</v>
      </c>
    </row>
    <row r="392">
      <c r="A392" s="10">
        <v>641820.0</v>
      </c>
      <c r="B392" s="11" t="s">
        <v>636</v>
      </c>
      <c r="C392" s="12">
        <v>1027.0</v>
      </c>
      <c r="D392" s="10">
        <v>511.0</v>
      </c>
      <c r="E392" s="13">
        <v>159.0</v>
      </c>
      <c r="F392" s="14">
        <v>0.001</v>
      </c>
      <c r="G392" s="15">
        <v>103.0</v>
      </c>
      <c r="H392" s="15">
        <v>99.0</v>
      </c>
      <c r="I392" s="15">
        <v>100.0</v>
      </c>
      <c r="J392" s="15">
        <v>99.0</v>
      </c>
      <c r="K392" s="15">
        <v>89.0</v>
      </c>
      <c r="L392" s="15">
        <v>89.0</v>
      </c>
      <c r="M392" s="15">
        <v>84.0</v>
      </c>
      <c r="N392" s="15">
        <v>89.0</v>
      </c>
    </row>
    <row r="393">
      <c r="A393" s="10">
        <v>668800.0</v>
      </c>
      <c r="B393" s="11" t="s">
        <v>637</v>
      </c>
      <c r="C393" s="12">
        <v>821.0</v>
      </c>
      <c r="D393" s="10">
        <v>448.0</v>
      </c>
      <c r="E393" s="13">
        <v>162.0</v>
      </c>
      <c r="F393" s="14">
        <v>0.054</v>
      </c>
      <c r="G393" s="15">
        <v>92.0</v>
      </c>
      <c r="H393" s="15">
        <v>83.0</v>
      </c>
      <c r="I393" s="15">
        <v>95.0</v>
      </c>
      <c r="J393" s="15">
        <v>85.0</v>
      </c>
      <c r="K393" s="15">
        <v>92.0</v>
      </c>
      <c r="L393" s="15">
        <v>98.0</v>
      </c>
      <c r="M393" s="15">
        <v>84.0</v>
      </c>
      <c r="N393" s="15">
        <v>96.0</v>
      </c>
    </row>
    <row r="394">
      <c r="A394" s="10">
        <v>660757.0</v>
      </c>
      <c r="B394" s="11" t="s">
        <v>638</v>
      </c>
      <c r="C394" s="12">
        <v>686.0</v>
      </c>
      <c r="D394" s="10">
        <v>404.0</v>
      </c>
      <c r="E394" s="13">
        <v>128.0</v>
      </c>
      <c r="F394" s="14">
        <v>0.103</v>
      </c>
      <c r="G394" s="15">
        <v>55.0</v>
      </c>
      <c r="H394" s="15">
        <v>54.0</v>
      </c>
      <c r="I394" s="15">
        <v>109.0</v>
      </c>
      <c r="J394" s="15">
        <v>56.0</v>
      </c>
      <c r="K394" s="15">
        <v>109.0</v>
      </c>
      <c r="L394" s="15">
        <v>100.0</v>
      </c>
      <c r="M394" s="15">
        <v>84.0</v>
      </c>
      <c r="N394" s="15">
        <v>75.0</v>
      </c>
    </row>
    <row r="395">
      <c r="A395" s="10">
        <v>493329.0</v>
      </c>
      <c r="B395" s="11" t="s">
        <v>639</v>
      </c>
      <c r="C395" s="12">
        <v>1178.0</v>
      </c>
      <c r="D395" s="10">
        <v>552.0</v>
      </c>
      <c r="E395" s="13">
        <v>256.0</v>
      </c>
      <c r="F395" s="14">
        <v>-0.004</v>
      </c>
      <c r="G395" s="15">
        <v>85.0</v>
      </c>
      <c r="H395" s="15">
        <v>93.0</v>
      </c>
      <c r="I395" s="15">
        <v>99.0</v>
      </c>
      <c r="J395" s="15">
        <v>93.0</v>
      </c>
      <c r="K395" s="15">
        <v>133.0</v>
      </c>
      <c r="L395" s="15">
        <v>76.0</v>
      </c>
      <c r="M395" s="15">
        <v>84.0</v>
      </c>
      <c r="N395" s="15">
        <v>90.0</v>
      </c>
    </row>
    <row r="396">
      <c r="A396" s="10">
        <v>696285.0</v>
      </c>
      <c r="B396" s="11" t="s">
        <v>355</v>
      </c>
      <c r="C396" s="12">
        <v>452.0</v>
      </c>
      <c r="D396" s="10">
        <v>208.0</v>
      </c>
      <c r="E396" s="13">
        <v>87.0</v>
      </c>
      <c r="F396" s="14">
        <v>-0.022</v>
      </c>
      <c r="G396" s="15">
        <v>87.0</v>
      </c>
      <c r="H396" s="15">
        <v>98.0</v>
      </c>
      <c r="I396" s="15">
        <v>101.0</v>
      </c>
      <c r="J396" s="15">
        <v>97.0</v>
      </c>
      <c r="K396" s="15">
        <v>113.0</v>
      </c>
      <c r="L396" s="15">
        <v>80.0</v>
      </c>
      <c r="M396" s="15">
        <v>84.0</v>
      </c>
      <c r="N396" s="15">
        <v>91.0</v>
      </c>
    </row>
    <row r="397">
      <c r="A397" s="10">
        <v>664702.0</v>
      </c>
      <c r="B397" s="11" t="s">
        <v>291</v>
      </c>
      <c r="C397" s="12">
        <v>1979.0</v>
      </c>
      <c r="D397" s="10">
        <v>871.0</v>
      </c>
      <c r="E397" s="13">
        <v>375.0</v>
      </c>
      <c r="F397" s="14">
        <v>-0.086</v>
      </c>
      <c r="G397" s="15">
        <v>92.0</v>
      </c>
      <c r="H397" s="15">
        <v>112.0</v>
      </c>
      <c r="I397" s="15">
        <v>88.0</v>
      </c>
      <c r="J397" s="15">
        <v>119.0</v>
      </c>
      <c r="K397" s="15">
        <v>112.0</v>
      </c>
      <c r="L397" s="15">
        <v>74.0</v>
      </c>
      <c r="M397" s="15">
        <v>83.0</v>
      </c>
      <c r="N397" s="15">
        <v>90.0</v>
      </c>
    </row>
    <row r="398">
      <c r="A398" s="10">
        <v>663368.0</v>
      </c>
      <c r="B398" s="11" t="s">
        <v>550</v>
      </c>
      <c r="C398" s="12">
        <v>716.0</v>
      </c>
      <c r="D398" s="10">
        <v>262.0</v>
      </c>
      <c r="E398" s="13">
        <v>98.0</v>
      </c>
      <c r="F398" s="14">
        <v>-0.127</v>
      </c>
      <c r="G398" s="15">
        <v>92.0</v>
      </c>
      <c r="H398" s="15">
        <v>108.0</v>
      </c>
      <c r="I398" s="15">
        <v>62.0</v>
      </c>
      <c r="J398" s="15">
        <v>123.0</v>
      </c>
      <c r="K398" s="15">
        <v>91.0</v>
      </c>
      <c r="L398" s="15">
        <v>78.0</v>
      </c>
      <c r="M398" s="15">
        <v>83.0</v>
      </c>
      <c r="N398" s="15">
        <v>95.0</v>
      </c>
    </row>
    <row r="399">
      <c r="A399" s="10">
        <v>672724.0</v>
      </c>
      <c r="B399" s="11" t="s">
        <v>341</v>
      </c>
      <c r="C399" s="12">
        <v>718.0</v>
      </c>
      <c r="D399" s="10">
        <v>356.0</v>
      </c>
      <c r="E399" s="13">
        <v>122.0</v>
      </c>
      <c r="F399" s="14">
        <v>0.006</v>
      </c>
      <c r="G399" s="15">
        <v>120.0</v>
      </c>
      <c r="H399" s="15">
        <v>108.0</v>
      </c>
      <c r="I399" s="15">
        <v>93.0</v>
      </c>
      <c r="J399" s="15">
        <v>109.0</v>
      </c>
      <c r="K399" s="15">
        <v>90.0</v>
      </c>
      <c r="L399" s="15">
        <v>84.0</v>
      </c>
      <c r="M399" s="15">
        <v>83.0</v>
      </c>
      <c r="N399" s="15">
        <v>74.0</v>
      </c>
    </row>
    <row r="400">
      <c r="A400" s="10">
        <v>668942.0</v>
      </c>
      <c r="B400" s="11" t="s">
        <v>373</v>
      </c>
      <c r="C400" s="12">
        <v>1335.0</v>
      </c>
      <c r="D400" s="10">
        <v>590.0</v>
      </c>
      <c r="E400" s="13">
        <v>237.0</v>
      </c>
      <c r="F400" s="14">
        <v>-0.034</v>
      </c>
      <c r="G400" s="15">
        <v>93.0</v>
      </c>
      <c r="H400" s="15">
        <v>97.0</v>
      </c>
      <c r="I400" s="15">
        <v>92.0</v>
      </c>
      <c r="J400" s="15">
        <v>99.0</v>
      </c>
      <c r="K400" s="15">
        <v>106.0</v>
      </c>
      <c r="L400" s="15">
        <v>82.0</v>
      </c>
      <c r="M400" s="15">
        <v>83.0</v>
      </c>
      <c r="N400" s="15">
        <v>88.0</v>
      </c>
    </row>
    <row r="401">
      <c r="A401" s="10">
        <v>649557.0</v>
      </c>
      <c r="B401" s="11" t="s">
        <v>640</v>
      </c>
      <c r="C401" s="12">
        <v>1172.0</v>
      </c>
      <c r="D401" s="10">
        <v>620.0</v>
      </c>
      <c r="E401" s="13">
        <v>253.0</v>
      </c>
      <c r="F401" s="14">
        <v>0.033</v>
      </c>
      <c r="G401" s="15">
        <v>100.0</v>
      </c>
      <c r="H401" s="15">
        <v>97.0</v>
      </c>
      <c r="I401" s="15">
        <v>107.0</v>
      </c>
      <c r="J401" s="15">
        <v>94.0</v>
      </c>
      <c r="K401" s="15">
        <v>110.0</v>
      </c>
      <c r="L401" s="15">
        <v>82.0</v>
      </c>
      <c r="M401" s="15">
        <v>83.0</v>
      </c>
      <c r="N401" s="15">
        <v>84.0</v>
      </c>
    </row>
    <row r="402">
      <c r="A402" s="10">
        <v>669304.0</v>
      </c>
      <c r="B402" s="11" t="s">
        <v>464</v>
      </c>
      <c r="C402" s="12">
        <v>538.0</v>
      </c>
      <c r="D402" s="10">
        <v>277.0</v>
      </c>
      <c r="E402" s="13">
        <v>117.0</v>
      </c>
      <c r="F402" s="14">
        <v>0.059</v>
      </c>
      <c r="G402" s="15">
        <v>109.0</v>
      </c>
      <c r="H402" s="15">
        <v>92.0</v>
      </c>
      <c r="I402" s="15">
        <v>109.0</v>
      </c>
      <c r="J402" s="15">
        <v>89.0</v>
      </c>
      <c r="K402" s="15">
        <v>103.0</v>
      </c>
      <c r="L402" s="15">
        <v>88.0</v>
      </c>
      <c r="M402" s="15">
        <v>83.0</v>
      </c>
      <c r="N402" s="15">
        <v>76.0</v>
      </c>
    </row>
    <row r="403">
      <c r="A403" s="10">
        <v>595281.0</v>
      </c>
      <c r="B403" s="11" t="s">
        <v>576</v>
      </c>
      <c r="C403" s="12">
        <v>1490.0</v>
      </c>
      <c r="D403" s="10">
        <v>738.0</v>
      </c>
      <c r="E403" s="13">
        <v>283.0</v>
      </c>
      <c r="F403" s="14">
        <v>0.023</v>
      </c>
      <c r="G403" s="15">
        <v>112.0</v>
      </c>
      <c r="H403" s="15">
        <v>105.0</v>
      </c>
      <c r="I403" s="15">
        <v>109.0</v>
      </c>
      <c r="J403" s="15">
        <v>102.0</v>
      </c>
      <c r="K403" s="15">
        <v>99.0</v>
      </c>
      <c r="L403" s="15">
        <v>82.0</v>
      </c>
      <c r="M403" s="15">
        <v>82.0</v>
      </c>
      <c r="N403" s="15">
        <v>102.0</v>
      </c>
    </row>
    <row r="404">
      <c r="A404" s="10">
        <v>670770.0</v>
      </c>
      <c r="B404" s="11" t="s">
        <v>301</v>
      </c>
      <c r="C404" s="12">
        <v>2174.0</v>
      </c>
      <c r="D404" s="10">
        <v>920.0</v>
      </c>
      <c r="E404" s="13">
        <v>405.0</v>
      </c>
      <c r="F404" s="14">
        <v>-0.048</v>
      </c>
      <c r="G404" s="15">
        <v>92.0</v>
      </c>
      <c r="H404" s="15">
        <v>103.0</v>
      </c>
      <c r="I404" s="15">
        <v>92.0</v>
      </c>
      <c r="J404" s="15">
        <v>106.0</v>
      </c>
      <c r="K404" s="15">
        <v>115.0</v>
      </c>
      <c r="L404" s="15">
        <v>75.0</v>
      </c>
      <c r="M404" s="15">
        <v>82.0</v>
      </c>
      <c r="N404" s="15">
        <v>115.0</v>
      </c>
    </row>
    <row r="405">
      <c r="A405" s="10">
        <v>621563.0</v>
      </c>
      <c r="B405" s="11" t="s">
        <v>641</v>
      </c>
      <c r="C405" s="12">
        <v>1173.0</v>
      </c>
      <c r="D405" s="10">
        <v>558.0</v>
      </c>
      <c r="E405" s="13">
        <v>233.0</v>
      </c>
      <c r="F405" s="14">
        <v>0.008</v>
      </c>
      <c r="G405" s="15">
        <v>74.0</v>
      </c>
      <c r="H405" s="15">
        <v>74.0</v>
      </c>
      <c r="I405" s="15">
        <v>92.0</v>
      </c>
      <c r="J405" s="15">
        <v>78.0</v>
      </c>
      <c r="K405" s="15">
        <v>112.0</v>
      </c>
      <c r="L405" s="15">
        <v>89.0</v>
      </c>
      <c r="M405" s="15">
        <v>82.0</v>
      </c>
      <c r="N405" s="15">
        <v>69.0</v>
      </c>
    </row>
    <row r="406">
      <c r="A406" s="10">
        <v>670764.0</v>
      </c>
      <c r="B406" s="11" t="s">
        <v>326</v>
      </c>
      <c r="C406" s="12">
        <v>1388.0</v>
      </c>
      <c r="D406" s="10">
        <v>595.0</v>
      </c>
      <c r="E406" s="13">
        <v>208.0</v>
      </c>
      <c r="F406" s="14">
        <v>-0.051</v>
      </c>
      <c r="G406" s="15">
        <v>127.0</v>
      </c>
      <c r="H406" s="15">
        <v>127.0</v>
      </c>
      <c r="I406" s="15">
        <v>108.0</v>
      </c>
      <c r="J406" s="15">
        <v>124.0</v>
      </c>
      <c r="K406" s="15">
        <v>84.0</v>
      </c>
      <c r="L406" s="15">
        <v>73.0</v>
      </c>
      <c r="M406" s="15">
        <v>82.0</v>
      </c>
      <c r="N406" s="15">
        <v>88.0</v>
      </c>
    </row>
    <row r="407">
      <c r="A407" s="10">
        <v>605113.0</v>
      </c>
      <c r="B407" s="11" t="s">
        <v>551</v>
      </c>
      <c r="C407" s="12">
        <v>763.0</v>
      </c>
      <c r="D407" s="10">
        <v>384.0</v>
      </c>
      <c r="E407" s="13">
        <v>144.0</v>
      </c>
      <c r="F407" s="14">
        <v>0.008</v>
      </c>
      <c r="G407" s="15">
        <v>85.0</v>
      </c>
      <c r="H407" s="15">
        <v>88.0</v>
      </c>
      <c r="I407" s="15">
        <v>101.0</v>
      </c>
      <c r="J407" s="15">
        <v>88.0</v>
      </c>
      <c r="K407" s="15">
        <v>106.0</v>
      </c>
      <c r="L407" s="15">
        <v>85.0</v>
      </c>
      <c r="M407" s="15">
        <v>82.0</v>
      </c>
      <c r="N407" s="15">
        <v>77.0</v>
      </c>
    </row>
    <row r="408">
      <c r="A408" s="10">
        <v>663630.0</v>
      </c>
      <c r="B408" s="11" t="s">
        <v>642</v>
      </c>
      <c r="C408" s="12">
        <v>509.0</v>
      </c>
      <c r="D408" s="10">
        <v>273.0</v>
      </c>
      <c r="E408" s="13">
        <v>87.0</v>
      </c>
      <c r="F408" s="14">
        <v>0.042</v>
      </c>
      <c r="G408" s="15">
        <v>109.0</v>
      </c>
      <c r="H408" s="15">
        <v>105.0</v>
      </c>
      <c r="I408" s="15">
        <v>103.0</v>
      </c>
      <c r="J408" s="15">
        <v>104.0</v>
      </c>
      <c r="K408" s="15">
        <v>90.0</v>
      </c>
      <c r="L408" s="15">
        <v>85.0</v>
      </c>
      <c r="M408" s="15">
        <v>82.0</v>
      </c>
      <c r="N408" s="15">
        <v>96.0</v>
      </c>
    </row>
    <row r="409">
      <c r="A409" s="10">
        <v>641658.0</v>
      </c>
      <c r="B409" s="11" t="s">
        <v>561</v>
      </c>
      <c r="C409" s="12">
        <v>968.0</v>
      </c>
      <c r="D409" s="10">
        <v>417.0</v>
      </c>
      <c r="E409" s="13">
        <v>155.0</v>
      </c>
      <c r="F409" s="14">
        <v>-0.051</v>
      </c>
      <c r="G409" s="15">
        <v>87.0</v>
      </c>
      <c r="H409" s="15">
        <v>93.0</v>
      </c>
      <c r="I409" s="15">
        <v>75.0</v>
      </c>
      <c r="J409" s="15">
        <v>103.0</v>
      </c>
      <c r="K409" s="15">
        <v>95.0</v>
      </c>
      <c r="L409" s="15">
        <v>86.0</v>
      </c>
      <c r="M409" s="15">
        <v>81.0</v>
      </c>
      <c r="N409" s="15">
        <v>104.0</v>
      </c>
    </row>
    <row r="410">
      <c r="A410" s="10">
        <v>543877.0</v>
      </c>
      <c r="B410" s="11" t="s">
        <v>366</v>
      </c>
      <c r="C410" s="10">
        <v>1299.0</v>
      </c>
      <c r="D410" s="10">
        <v>629.0</v>
      </c>
      <c r="E410" s="10">
        <v>243.0</v>
      </c>
      <c r="F410" s="14">
        <v>0.011</v>
      </c>
      <c r="G410" s="15">
        <v>83.0</v>
      </c>
      <c r="H410" s="15">
        <v>89.0</v>
      </c>
      <c r="I410" s="15">
        <v>101.0</v>
      </c>
      <c r="J410" s="15">
        <v>89.0</v>
      </c>
      <c r="K410" s="15">
        <v>91.0</v>
      </c>
      <c r="L410" s="15">
        <v>92.0</v>
      </c>
      <c r="M410" s="15">
        <v>81.0</v>
      </c>
      <c r="N410" s="15">
        <v>79.0</v>
      </c>
    </row>
    <row r="411">
      <c r="A411" s="10">
        <v>622110.0</v>
      </c>
      <c r="B411" s="11" t="s">
        <v>643</v>
      </c>
      <c r="C411" s="10">
        <v>746.0</v>
      </c>
      <c r="D411" s="10">
        <v>358.0</v>
      </c>
      <c r="E411" s="10">
        <v>153.0</v>
      </c>
      <c r="F411" s="14">
        <v>-0.021</v>
      </c>
      <c r="G411" s="15">
        <v>88.0</v>
      </c>
      <c r="H411" s="15">
        <v>92.0</v>
      </c>
      <c r="I411" s="15">
        <v>90.0</v>
      </c>
      <c r="J411" s="15">
        <v>96.0</v>
      </c>
      <c r="K411" s="15">
        <v>111.0</v>
      </c>
      <c r="L411" s="15">
        <v>82.0</v>
      </c>
      <c r="M411" s="15">
        <v>81.0</v>
      </c>
      <c r="N411" s="15">
        <v>87.0</v>
      </c>
    </row>
    <row r="412">
      <c r="A412" s="10">
        <v>691016.0</v>
      </c>
      <c r="B412" s="11" t="s">
        <v>122</v>
      </c>
      <c r="C412" s="10">
        <v>516.0</v>
      </c>
      <c r="D412" s="10">
        <v>255.0</v>
      </c>
      <c r="E412" s="10">
        <v>81.0</v>
      </c>
      <c r="F412" s="14">
        <v>0.013</v>
      </c>
      <c r="G412" s="15">
        <v>100.0</v>
      </c>
      <c r="H412" s="15">
        <v>90.0</v>
      </c>
      <c r="I412" s="15">
        <v>87.0</v>
      </c>
      <c r="J412" s="15">
        <v>95.0</v>
      </c>
      <c r="K412" s="15">
        <v>79.0</v>
      </c>
      <c r="L412" s="15">
        <v>97.0</v>
      </c>
      <c r="M412" s="15">
        <v>81.0</v>
      </c>
      <c r="N412" s="15">
        <v>64.0</v>
      </c>
    </row>
    <row r="413">
      <c r="A413" s="10">
        <v>657757.0</v>
      </c>
      <c r="B413" s="11" t="s">
        <v>75</v>
      </c>
      <c r="C413" s="10">
        <v>1405.0</v>
      </c>
      <c r="D413" s="10">
        <v>667.0</v>
      </c>
      <c r="E413" s="10">
        <v>247.0</v>
      </c>
      <c r="F413" s="14">
        <v>0.014</v>
      </c>
      <c r="G413" s="15">
        <v>98.0</v>
      </c>
      <c r="H413" s="15">
        <v>85.0</v>
      </c>
      <c r="I413" s="15">
        <v>106.0</v>
      </c>
      <c r="J413" s="15">
        <v>84.0</v>
      </c>
      <c r="K413" s="15">
        <v>116.0</v>
      </c>
      <c r="L413" s="15">
        <v>80.0</v>
      </c>
      <c r="M413" s="15">
        <v>81.0</v>
      </c>
      <c r="N413" s="15">
        <v>80.0</v>
      </c>
    </row>
    <row r="414">
      <c r="A414" s="10">
        <v>542194.0</v>
      </c>
      <c r="B414" s="11" t="s">
        <v>571</v>
      </c>
      <c r="C414" s="10">
        <v>1164.0</v>
      </c>
      <c r="D414" s="10">
        <v>695.0</v>
      </c>
      <c r="E414" s="10">
        <v>226.0</v>
      </c>
      <c r="F414" s="14">
        <v>0.119</v>
      </c>
      <c r="G414" s="15">
        <v>85.0</v>
      </c>
      <c r="H414" s="15">
        <v>76.0</v>
      </c>
      <c r="I414" s="15">
        <v>125.0</v>
      </c>
      <c r="J414" s="15">
        <v>72.0</v>
      </c>
      <c r="K414" s="15">
        <v>97.0</v>
      </c>
      <c r="L414" s="15">
        <v>94.0</v>
      </c>
      <c r="M414" s="15">
        <v>81.0</v>
      </c>
      <c r="N414" s="15">
        <v>88.0</v>
      </c>
    </row>
    <row r="415">
      <c r="A415" s="10">
        <v>665019.0</v>
      </c>
      <c r="B415" s="11" t="s">
        <v>105</v>
      </c>
      <c r="C415" s="10">
        <v>605.0</v>
      </c>
      <c r="D415" s="10">
        <v>287.0</v>
      </c>
      <c r="E415" s="10">
        <v>99.0</v>
      </c>
      <c r="F415" s="14">
        <v>-0.022</v>
      </c>
      <c r="G415" s="15">
        <v>89.0</v>
      </c>
      <c r="H415" s="15">
        <v>93.0</v>
      </c>
      <c r="I415" s="15">
        <v>96.0</v>
      </c>
      <c r="J415" s="15">
        <v>94.0</v>
      </c>
      <c r="K415" s="15">
        <v>93.0</v>
      </c>
      <c r="L415" s="15">
        <v>87.0</v>
      </c>
      <c r="M415" s="15">
        <v>81.0</v>
      </c>
      <c r="N415" s="15">
        <v>89.0</v>
      </c>
    </row>
    <row r="416">
      <c r="A416" s="10">
        <v>689172.0</v>
      </c>
      <c r="B416" s="11" t="s">
        <v>565</v>
      </c>
      <c r="C416" s="10">
        <v>526.0</v>
      </c>
      <c r="D416" s="10">
        <v>271.0</v>
      </c>
      <c r="E416" s="10">
        <v>81.0</v>
      </c>
      <c r="F416" s="14">
        <v>0.021</v>
      </c>
      <c r="G416" s="15">
        <v>92.0</v>
      </c>
      <c r="H416" s="15">
        <v>97.0</v>
      </c>
      <c r="I416" s="15">
        <v>109.0</v>
      </c>
      <c r="J416" s="15">
        <v>94.0</v>
      </c>
      <c r="K416" s="15">
        <v>85.0</v>
      </c>
      <c r="L416" s="15">
        <v>89.0</v>
      </c>
      <c r="M416" s="15">
        <v>80.0</v>
      </c>
      <c r="N416" s="15">
        <v>73.0</v>
      </c>
    </row>
    <row r="417">
      <c r="A417" s="10">
        <v>664983.0</v>
      </c>
      <c r="B417" s="11" t="s">
        <v>493</v>
      </c>
      <c r="C417" s="10">
        <v>1112.0</v>
      </c>
      <c r="D417" s="10">
        <v>569.0</v>
      </c>
      <c r="E417" s="10">
        <v>218.0</v>
      </c>
      <c r="F417" s="14">
        <v>0.037</v>
      </c>
      <c r="G417" s="15">
        <v>104.0</v>
      </c>
      <c r="H417" s="15">
        <v>93.0</v>
      </c>
      <c r="I417" s="15">
        <v>100.0</v>
      </c>
      <c r="J417" s="15">
        <v>93.0</v>
      </c>
      <c r="K417" s="15">
        <v>107.0</v>
      </c>
      <c r="L417" s="15">
        <v>82.0</v>
      </c>
      <c r="M417" s="15">
        <v>80.0</v>
      </c>
      <c r="N417" s="15">
        <v>86.0</v>
      </c>
    </row>
    <row r="418">
      <c r="A418" s="10">
        <v>606132.0</v>
      </c>
      <c r="B418" s="11" t="s">
        <v>644</v>
      </c>
      <c r="C418" s="10">
        <v>648.0</v>
      </c>
      <c r="D418" s="10">
        <v>321.0</v>
      </c>
      <c r="E418" s="10">
        <v>107.0</v>
      </c>
      <c r="F418" s="14">
        <v>0.055</v>
      </c>
      <c r="G418" s="15">
        <v>63.0</v>
      </c>
      <c r="H418" s="15">
        <v>67.0</v>
      </c>
      <c r="I418" s="15">
        <v>106.0</v>
      </c>
      <c r="J418" s="15">
        <v>70.0</v>
      </c>
      <c r="K418" s="15">
        <v>107.0</v>
      </c>
      <c r="L418" s="15">
        <v>91.0</v>
      </c>
      <c r="M418" s="15">
        <v>80.0</v>
      </c>
      <c r="N418" s="15">
        <v>81.0</v>
      </c>
    </row>
    <row r="419">
      <c r="A419" s="10">
        <v>624512.0</v>
      </c>
      <c r="B419" s="11" t="s">
        <v>515</v>
      </c>
      <c r="C419" s="10">
        <v>754.0</v>
      </c>
      <c r="D419" s="10">
        <v>400.0</v>
      </c>
      <c r="E419" s="10">
        <v>137.0</v>
      </c>
      <c r="F419" s="14">
        <v>0.052</v>
      </c>
      <c r="G419" s="15">
        <v>60.0</v>
      </c>
      <c r="H419" s="15">
        <v>70.0</v>
      </c>
      <c r="I419" s="15">
        <v>85.0</v>
      </c>
      <c r="J419" s="15">
        <v>77.0</v>
      </c>
      <c r="K419" s="15">
        <v>107.0</v>
      </c>
      <c r="L419" s="15">
        <v>90.0</v>
      </c>
      <c r="M419" s="15">
        <v>80.0</v>
      </c>
      <c r="N419" s="15">
        <v>98.0</v>
      </c>
    </row>
    <row r="420">
      <c r="A420" s="10">
        <v>542583.0</v>
      </c>
      <c r="B420" s="11" t="s">
        <v>645</v>
      </c>
      <c r="C420" s="10">
        <v>445.0</v>
      </c>
      <c r="D420" s="10">
        <v>207.0</v>
      </c>
      <c r="E420" s="10">
        <v>74.0</v>
      </c>
      <c r="F420" s="14">
        <v>-0.058</v>
      </c>
      <c r="G420" s="15">
        <v>62.0</v>
      </c>
      <c r="H420" s="15">
        <v>83.0</v>
      </c>
      <c r="I420" s="15">
        <v>81.0</v>
      </c>
      <c r="J420" s="15">
        <v>91.0</v>
      </c>
      <c r="K420" s="15">
        <v>105.0</v>
      </c>
      <c r="L420" s="15">
        <v>84.0</v>
      </c>
      <c r="M420" s="15">
        <v>80.0</v>
      </c>
      <c r="N420" s="15">
        <v>93.0</v>
      </c>
    </row>
    <row r="421">
      <c r="A421" s="10">
        <v>641511.0</v>
      </c>
      <c r="B421" s="11" t="s">
        <v>646</v>
      </c>
      <c r="C421" s="10">
        <v>677.0</v>
      </c>
      <c r="D421" s="10">
        <v>348.0</v>
      </c>
      <c r="E421" s="10">
        <v>125.0</v>
      </c>
      <c r="F421" s="14">
        <v>0.0</v>
      </c>
      <c r="G421" s="15">
        <v>105.0</v>
      </c>
      <c r="H421" s="15">
        <v>106.0</v>
      </c>
      <c r="I421" s="15">
        <v>112.0</v>
      </c>
      <c r="J421" s="15">
        <v>101.0</v>
      </c>
      <c r="K421" s="15">
        <v>96.0</v>
      </c>
      <c r="L421" s="15">
        <v>80.0</v>
      </c>
      <c r="M421" s="15">
        <v>79.0</v>
      </c>
      <c r="N421" s="15">
        <v>96.0</v>
      </c>
    </row>
    <row r="422">
      <c r="A422" s="10">
        <v>693304.0</v>
      </c>
      <c r="B422" s="11" t="s">
        <v>102</v>
      </c>
      <c r="C422" s="10">
        <v>496.0</v>
      </c>
      <c r="D422" s="10">
        <v>260.0</v>
      </c>
      <c r="E422" s="10">
        <v>81.0</v>
      </c>
      <c r="F422" s="14">
        <v>0.016</v>
      </c>
      <c r="G422" s="15">
        <v>121.0</v>
      </c>
      <c r="H422" s="15">
        <v>116.0</v>
      </c>
      <c r="I422" s="15">
        <v>109.0</v>
      </c>
      <c r="J422" s="15">
        <v>113.0</v>
      </c>
      <c r="K422" s="15">
        <v>73.0</v>
      </c>
      <c r="L422" s="15">
        <v>86.0</v>
      </c>
      <c r="M422" s="15">
        <v>79.0</v>
      </c>
      <c r="N422" s="15">
        <v>91.0</v>
      </c>
    </row>
    <row r="423">
      <c r="A423" s="10">
        <v>669911.0</v>
      </c>
      <c r="B423" s="11" t="s">
        <v>323</v>
      </c>
      <c r="C423" s="10">
        <v>573.0</v>
      </c>
      <c r="D423" s="10">
        <v>285.0</v>
      </c>
      <c r="E423" s="10">
        <v>90.0</v>
      </c>
      <c r="F423" s="14">
        <v>0.021</v>
      </c>
      <c r="G423" s="15">
        <v>103.0</v>
      </c>
      <c r="H423" s="15">
        <v>90.0</v>
      </c>
      <c r="I423" s="15">
        <v>76.0</v>
      </c>
      <c r="J423" s="15">
        <v>98.0</v>
      </c>
      <c r="K423" s="15">
        <v>84.0</v>
      </c>
      <c r="L423" s="15">
        <v>92.0</v>
      </c>
      <c r="M423" s="15">
        <v>79.0</v>
      </c>
      <c r="N423" s="15">
        <v>68.0</v>
      </c>
    </row>
    <row r="424">
      <c r="A424" s="10">
        <v>678894.0</v>
      </c>
      <c r="B424" s="11" t="s">
        <v>647</v>
      </c>
      <c r="C424" s="10">
        <v>806.0</v>
      </c>
      <c r="D424" s="10">
        <v>416.0</v>
      </c>
      <c r="E424" s="10">
        <v>133.0</v>
      </c>
      <c r="F424" s="14">
        <v>0.002</v>
      </c>
      <c r="G424" s="15">
        <v>103.0</v>
      </c>
      <c r="H424" s="15">
        <v>97.0</v>
      </c>
      <c r="I424" s="15">
        <v>90.0</v>
      </c>
      <c r="J424" s="15">
        <v>101.0</v>
      </c>
      <c r="K424" s="15">
        <v>89.0</v>
      </c>
      <c r="L424" s="15">
        <v>86.0</v>
      </c>
      <c r="M424" s="15">
        <v>79.0</v>
      </c>
      <c r="N424" s="15">
        <v>89.0</v>
      </c>
    </row>
    <row r="425">
      <c r="A425" s="10">
        <v>691026.0</v>
      </c>
      <c r="B425" s="11" t="s">
        <v>238</v>
      </c>
      <c r="C425" s="10">
        <v>535.0</v>
      </c>
      <c r="D425" s="10">
        <v>232.0</v>
      </c>
      <c r="E425" s="10">
        <v>101.0</v>
      </c>
      <c r="F425" s="14">
        <v>-0.081</v>
      </c>
      <c r="G425" s="15">
        <v>90.0</v>
      </c>
      <c r="H425" s="15">
        <v>109.0</v>
      </c>
      <c r="I425" s="15">
        <v>93.0</v>
      </c>
      <c r="J425" s="15">
        <v>112.0</v>
      </c>
      <c r="K425" s="15">
        <v>115.0</v>
      </c>
      <c r="L425" s="15">
        <v>70.0</v>
      </c>
      <c r="M425" s="15">
        <v>79.0</v>
      </c>
      <c r="N425" s="15">
        <v>69.0</v>
      </c>
    </row>
    <row r="426">
      <c r="A426" s="10">
        <v>608348.0</v>
      </c>
      <c r="B426" s="11" t="s">
        <v>71</v>
      </c>
      <c r="C426" s="10">
        <v>555.0</v>
      </c>
      <c r="D426" s="10">
        <v>253.0</v>
      </c>
      <c r="E426" s="10">
        <v>97.0</v>
      </c>
      <c r="F426" s="14">
        <v>-0.04</v>
      </c>
      <c r="G426" s="15">
        <v>92.0</v>
      </c>
      <c r="H426" s="15">
        <v>109.0</v>
      </c>
      <c r="I426" s="15">
        <v>89.0</v>
      </c>
      <c r="J426" s="15">
        <v>113.0</v>
      </c>
      <c r="K426" s="15">
        <v>87.0</v>
      </c>
      <c r="L426" s="15">
        <v>81.0</v>
      </c>
      <c r="M426" s="15">
        <v>79.0</v>
      </c>
      <c r="N426" s="15">
        <v>84.0</v>
      </c>
    </row>
    <row r="427">
      <c r="A427" s="10">
        <v>572816.0</v>
      </c>
      <c r="B427" s="11" t="s">
        <v>648</v>
      </c>
      <c r="C427" s="10">
        <v>540.0</v>
      </c>
      <c r="D427" s="10">
        <v>327.0</v>
      </c>
      <c r="E427" s="10">
        <v>116.0</v>
      </c>
      <c r="F427" s="14">
        <v>0.134</v>
      </c>
      <c r="G427" s="15">
        <v>60.0</v>
      </c>
      <c r="H427" s="15">
        <v>61.0</v>
      </c>
      <c r="I427" s="15">
        <v>120.0</v>
      </c>
      <c r="J427" s="15">
        <v>54.0</v>
      </c>
      <c r="K427" s="15">
        <v>118.0</v>
      </c>
      <c r="L427" s="15">
        <v>88.0</v>
      </c>
      <c r="M427" s="15">
        <v>78.0</v>
      </c>
      <c r="N427" s="15">
        <v>87.0</v>
      </c>
    </row>
    <row r="428">
      <c r="A428" s="10">
        <v>543939.0</v>
      </c>
      <c r="B428" s="11" t="s">
        <v>649</v>
      </c>
      <c r="C428" s="10">
        <v>974.0</v>
      </c>
      <c r="D428" s="10">
        <v>464.0</v>
      </c>
      <c r="E428" s="10">
        <v>172.0</v>
      </c>
      <c r="F428" s="14">
        <v>0.009</v>
      </c>
      <c r="G428" s="15">
        <v>112.0</v>
      </c>
      <c r="H428" s="15">
        <v>110.0</v>
      </c>
      <c r="I428" s="15">
        <v>123.0</v>
      </c>
      <c r="J428" s="15">
        <v>101.0</v>
      </c>
      <c r="K428" s="15">
        <v>97.0</v>
      </c>
      <c r="L428" s="15">
        <v>75.0</v>
      </c>
      <c r="M428" s="15">
        <v>78.0</v>
      </c>
      <c r="N428" s="15">
        <v>74.0</v>
      </c>
    </row>
    <row r="429">
      <c r="A429" s="10">
        <v>665923.0</v>
      </c>
      <c r="B429" s="11" t="s">
        <v>650</v>
      </c>
      <c r="C429" s="10">
        <v>1729.0</v>
      </c>
      <c r="D429" s="10">
        <v>893.0</v>
      </c>
      <c r="E429" s="10">
        <v>351.0</v>
      </c>
      <c r="F429" s="14">
        <v>0.048</v>
      </c>
      <c r="G429" s="15">
        <v>98.0</v>
      </c>
      <c r="H429" s="15">
        <v>96.0</v>
      </c>
      <c r="I429" s="15">
        <v>111.0</v>
      </c>
      <c r="J429" s="15">
        <v>92.0</v>
      </c>
      <c r="K429" s="15">
        <v>105.0</v>
      </c>
      <c r="L429" s="15">
        <v>80.0</v>
      </c>
      <c r="M429" s="15">
        <v>78.0</v>
      </c>
      <c r="N429" s="15">
        <v>91.0</v>
      </c>
    </row>
    <row r="430">
      <c r="A430" s="10">
        <v>669397.0</v>
      </c>
      <c r="B430" s="11" t="s">
        <v>374</v>
      </c>
      <c r="C430" s="10">
        <v>1154.0</v>
      </c>
      <c r="D430" s="10">
        <v>566.0</v>
      </c>
      <c r="E430" s="10">
        <v>252.0</v>
      </c>
      <c r="F430" s="14">
        <v>0.009</v>
      </c>
      <c r="G430" s="15">
        <v>105.0</v>
      </c>
      <c r="H430" s="15">
        <v>107.0</v>
      </c>
      <c r="I430" s="15">
        <v>108.0</v>
      </c>
      <c r="J430" s="15">
        <v>104.0</v>
      </c>
      <c r="K430" s="15">
        <v>114.0</v>
      </c>
      <c r="L430" s="15">
        <v>74.0</v>
      </c>
      <c r="M430" s="15">
        <v>78.0</v>
      </c>
      <c r="N430" s="15">
        <v>81.0</v>
      </c>
    </row>
    <row r="431">
      <c r="A431" s="10">
        <v>543592.0</v>
      </c>
      <c r="B431" s="11" t="s">
        <v>651</v>
      </c>
      <c r="C431" s="10">
        <v>624.0</v>
      </c>
      <c r="D431" s="10">
        <v>247.0</v>
      </c>
      <c r="E431" s="10">
        <v>103.0</v>
      </c>
      <c r="F431" s="14">
        <v>-0.081</v>
      </c>
      <c r="G431" s="15">
        <v>99.0</v>
      </c>
      <c r="H431" s="15">
        <v>108.0</v>
      </c>
      <c r="I431" s="15">
        <v>85.0</v>
      </c>
      <c r="J431" s="15">
        <v>114.0</v>
      </c>
      <c r="K431" s="15">
        <v>115.0</v>
      </c>
      <c r="L431" s="15">
        <v>65.0</v>
      </c>
      <c r="M431" s="15">
        <v>78.0</v>
      </c>
      <c r="N431" s="15">
        <v>64.0</v>
      </c>
    </row>
    <row r="432">
      <c r="A432" s="10">
        <v>666801.0</v>
      </c>
      <c r="B432" s="11" t="s">
        <v>652</v>
      </c>
      <c r="C432" s="10">
        <v>989.0</v>
      </c>
      <c r="D432" s="10">
        <v>473.0</v>
      </c>
      <c r="E432" s="10">
        <v>150.0</v>
      </c>
      <c r="F432" s="14">
        <v>0.006</v>
      </c>
      <c r="G432" s="15">
        <v>113.0</v>
      </c>
      <c r="H432" s="15">
        <v>94.0</v>
      </c>
      <c r="I432" s="15">
        <v>88.0</v>
      </c>
      <c r="J432" s="15">
        <v>98.0</v>
      </c>
      <c r="K432" s="15">
        <v>80.0</v>
      </c>
      <c r="L432" s="15">
        <v>90.0</v>
      </c>
      <c r="M432" s="15">
        <v>77.0</v>
      </c>
      <c r="N432" s="15">
        <v>84.0</v>
      </c>
    </row>
    <row r="433">
      <c r="A433" s="10">
        <v>572287.0</v>
      </c>
      <c r="B433" s="11" t="s">
        <v>653</v>
      </c>
      <c r="C433" s="10">
        <v>600.0</v>
      </c>
      <c r="D433" s="10">
        <v>280.0</v>
      </c>
      <c r="E433" s="10">
        <v>63.0</v>
      </c>
      <c r="F433" s="14">
        <v>-0.034</v>
      </c>
      <c r="G433" s="15">
        <v>86.0</v>
      </c>
      <c r="H433" s="15">
        <v>87.0</v>
      </c>
      <c r="I433" s="15">
        <v>67.0</v>
      </c>
      <c r="J433" s="15">
        <v>98.0</v>
      </c>
      <c r="K433" s="15">
        <v>65.0</v>
      </c>
      <c r="L433" s="15">
        <v>102.0</v>
      </c>
      <c r="M433" s="15">
        <v>77.0</v>
      </c>
      <c r="N433" s="15">
        <v>85.0</v>
      </c>
    </row>
    <row r="434">
      <c r="A434" s="10">
        <v>664874.0</v>
      </c>
      <c r="B434" s="11" t="s">
        <v>654</v>
      </c>
      <c r="C434" s="10">
        <v>757.0</v>
      </c>
      <c r="D434" s="10">
        <v>410.0</v>
      </c>
      <c r="E434" s="10">
        <v>109.0</v>
      </c>
      <c r="F434" s="14">
        <v>0.045</v>
      </c>
      <c r="G434" s="15">
        <v>94.0</v>
      </c>
      <c r="H434" s="15">
        <v>89.0</v>
      </c>
      <c r="I434" s="15">
        <v>107.0</v>
      </c>
      <c r="J434" s="15">
        <v>86.0</v>
      </c>
      <c r="K434" s="15">
        <v>73.0</v>
      </c>
      <c r="L434" s="15">
        <v>98.0</v>
      </c>
      <c r="M434" s="15">
        <v>77.0</v>
      </c>
      <c r="N434" s="15">
        <v>74.0</v>
      </c>
    </row>
    <row r="435">
      <c r="A435" s="10">
        <v>678225.0</v>
      </c>
      <c r="B435" s="11" t="s">
        <v>655</v>
      </c>
      <c r="C435" s="10">
        <v>1495.0</v>
      </c>
      <c r="D435" s="10">
        <v>712.0</v>
      </c>
      <c r="E435" s="10">
        <v>246.0</v>
      </c>
      <c r="F435" s="14">
        <v>0.01</v>
      </c>
      <c r="G435" s="15">
        <v>101.0</v>
      </c>
      <c r="H435" s="15">
        <v>98.0</v>
      </c>
      <c r="I435" s="15">
        <v>112.0</v>
      </c>
      <c r="J435" s="15">
        <v>94.0</v>
      </c>
      <c r="K435" s="15">
        <v>89.0</v>
      </c>
      <c r="L435" s="15">
        <v>83.0</v>
      </c>
      <c r="M435" s="15">
        <v>77.0</v>
      </c>
      <c r="N435" s="15">
        <v>86.0</v>
      </c>
    </row>
    <row r="436">
      <c r="A436" s="10">
        <v>606992.0</v>
      </c>
      <c r="B436" s="11" t="s">
        <v>656</v>
      </c>
      <c r="C436" s="10">
        <v>1110.0</v>
      </c>
      <c r="D436" s="10">
        <v>598.0</v>
      </c>
      <c r="E436" s="10">
        <v>193.0</v>
      </c>
      <c r="F436" s="14">
        <v>0.052</v>
      </c>
      <c r="G436" s="15">
        <v>89.0</v>
      </c>
      <c r="H436" s="15">
        <v>89.0</v>
      </c>
      <c r="I436" s="15">
        <v>115.0</v>
      </c>
      <c r="J436" s="15">
        <v>84.0</v>
      </c>
      <c r="K436" s="15">
        <v>92.0</v>
      </c>
      <c r="L436" s="15">
        <v>87.0</v>
      </c>
      <c r="M436" s="15">
        <v>77.0</v>
      </c>
      <c r="N436" s="15">
        <v>75.0</v>
      </c>
    </row>
    <row r="437">
      <c r="A437" s="10">
        <v>595879.0</v>
      </c>
      <c r="B437" s="11" t="s">
        <v>311</v>
      </c>
      <c r="C437" s="10">
        <v>1944.0</v>
      </c>
      <c r="D437" s="10">
        <v>1064.0</v>
      </c>
      <c r="E437" s="10">
        <v>380.0</v>
      </c>
      <c r="F437" s="14">
        <v>0.092</v>
      </c>
      <c r="G437" s="15">
        <v>66.0</v>
      </c>
      <c r="H437" s="15">
        <v>47.0</v>
      </c>
      <c r="I437" s="15">
        <v>93.0</v>
      </c>
      <c r="J437" s="15">
        <v>55.0</v>
      </c>
      <c r="K437" s="15">
        <v>110.0</v>
      </c>
      <c r="L437" s="15">
        <v>96.0</v>
      </c>
      <c r="M437" s="15">
        <v>76.0</v>
      </c>
      <c r="N437" s="15">
        <v>74.0</v>
      </c>
    </row>
    <row r="438">
      <c r="A438" s="10">
        <v>676946.0</v>
      </c>
      <c r="B438" s="11" t="s">
        <v>657</v>
      </c>
      <c r="C438" s="10">
        <v>539.0</v>
      </c>
      <c r="D438" s="10">
        <v>216.0</v>
      </c>
      <c r="E438" s="10">
        <v>91.0</v>
      </c>
      <c r="F438" s="14">
        <v>-0.058</v>
      </c>
      <c r="G438" s="15">
        <v>57.0</v>
      </c>
      <c r="H438" s="15">
        <v>85.0</v>
      </c>
      <c r="I438" s="15">
        <v>80.0</v>
      </c>
      <c r="J438" s="15">
        <v>93.0</v>
      </c>
      <c r="K438" s="15">
        <v>114.0</v>
      </c>
      <c r="L438" s="15">
        <v>76.0</v>
      </c>
      <c r="M438" s="15">
        <v>76.0</v>
      </c>
      <c r="N438" s="15">
        <v>95.0</v>
      </c>
    </row>
    <row r="439">
      <c r="A439" s="10">
        <v>693049.0</v>
      </c>
      <c r="B439" s="11" t="s">
        <v>658</v>
      </c>
      <c r="C439" s="10">
        <v>924.0</v>
      </c>
      <c r="D439" s="10">
        <v>497.0</v>
      </c>
      <c r="E439" s="10">
        <v>178.0</v>
      </c>
      <c r="F439" s="14">
        <v>0.094</v>
      </c>
      <c r="G439" s="15">
        <v>74.0</v>
      </c>
      <c r="H439" s="15">
        <v>57.0</v>
      </c>
      <c r="I439" s="15">
        <v>97.0</v>
      </c>
      <c r="J439" s="15">
        <v>62.0</v>
      </c>
      <c r="K439" s="15">
        <v>98.0</v>
      </c>
      <c r="L439" s="15">
        <v>98.0</v>
      </c>
      <c r="M439" s="15">
        <v>76.0</v>
      </c>
      <c r="N439" s="15">
        <v>68.0</v>
      </c>
    </row>
    <row r="440">
      <c r="A440" s="10">
        <v>605612.0</v>
      </c>
      <c r="B440" s="11" t="s">
        <v>659</v>
      </c>
      <c r="C440" s="10">
        <v>985.0</v>
      </c>
      <c r="D440" s="10">
        <v>556.0</v>
      </c>
      <c r="E440" s="10">
        <v>194.0</v>
      </c>
      <c r="F440" s="14">
        <v>0.086</v>
      </c>
      <c r="G440" s="15">
        <v>70.0</v>
      </c>
      <c r="H440" s="15">
        <v>63.0</v>
      </c>
      <c r="I440" s="15">
        <v>112.0</v>
      </c>
      <c r="J440" s="15">
        <v>61.0</v>
      </c>
      <c r="K440" s="15">
        <v>98.0</v>
      </c>
      <c r="L440" s="15">
        <v>95.0</v>
      </c>
      <c r="M440" s="15">
        <v>75.0</v>
      </c>
      <c r="N440" s="15">
        <v>74.0</v>
      </c>
    </row>
    <row r="441">
      <c r="A441" s="10">
        <v>686668.0</v>
      </c>
      <c r="B441" s="11" t="s">
        <v>282</v>
      </c>
      <c r="C441" s="10">
        <v>1572.0</v>
      </c>
      <c r="D441" s="10">
        <v>826.0</v>
      </c>
      <c r="E441" s="10">
        <v>249.0</v>
      </c>
      <c r="F441" s="14">
        <v>0.024</v>
      </c>
      <c r="G441" s="15">
        <v>104.0</v>
      </c>
      <c r="H441" s="15">
        <v>91.0</v>
      </c>
      <c r="I441" s="15">
        <v>87.0</v>
      </c>
      <c r="J441" s="15">
        <v>96.0</v>
      </c>
      <c r="K441" s="15">
        <v>69.0</v>
      </c>
      <c r="L441" s="15">
        <v>98.0</v>
      </c>
      <c r="M441" s="15">
        <v>75.0</v>
      </c>
      <c r="N441" s="15">
        <v>79.0</v>
      </c>
    </row>
    <row r="442">
      <c r="A442" s="10">
        <v>665828.0</v>
      </c>
      <c r="B442" s="11" t="s">
        <v>376</v>
      </c>
      <c r="C442" s="10">
        <v>1207.0</v>
      </c>
      <c r="D442" s="10">
        <v>611.0</v>
      </c>
      <c r="E442" s="10">
        <v>228.0</v>
      </c>
      <c r="F442" s="14">
        <v>0.033</v>
      </c>
      <c r="G442" s="15">
        <v>116.0</v>
      </c>
      <c r="H442" s="15">
        <v>100.0</v>
      </c>
      <c r="I442" s="15">
        <v>110.0</v>
      </c>
      <c r="J442" s="15">
        <v>96.0</v>
      </c>
      <c r="K442" s="15">
        <v>100.0</v>
      </c>
      <c r="L442" s="15">
        <v>77.0</v>
      </c>
      <c r="M442" s="15">
        <v>75.0</v>
      </c>
      <c r="N442" s="15">
        <v>76.0</v>
      </c>
    </row>
    <row r="443">
      <c r="A443" s="10">
        <v>676480.0</v>
      </c>
      <c r="B443" s="11" t="s">
        <v>660</v>
      </c>
      <c r="C443" s="10">
        <v>582.0</v>
      </c>
      <c r="D443" s="10">
        <v>292.0</v>
      </c>
      <c r="E443" s="10">
        <v>89.0</v>
      </c>
      <c r="F443" s="14">
        <v>0.02</v>
      </c>
      <c r="G443" s="15">
        <v>97.0</v>
      </c>
      <c r="H443" s="15">
        <v>87.0</v>
      </c>
      <c r="I443" s="15">
        <v>106.0</v>
      </c>
      <c r="J443" s="15">
        <v>86.0</v>
      </c>
      <c r="K443" s="15">
        <v>90.0</v>
      </c>
      <c r="L443" s="15">
        <v>85.0</v>
      </c>
      <c r="M443" s="15">
        <v>75.0</v>
      </c>
      <c r="N443" s="15">
        <v>83.0</v>
      </c>
    </row>
    <row r="444">
      <c r="A444" s="10">
        <v>500871.0</v>
      </c>
      <c r="B444" s="11" t="s">
        <v>661</v>
      </c>
      <c r="C444" s="10">
        <v>1216.0</v>
      </c>
      <c r="D444" s="10">
        <v>616.0</v>
      </c>
      <c r="E444" s="10">
        <v>207.0</v>
      </c>
      <c r="F444" s="14">
        <v>0.045</v>
      </c>
      <c r="G444" s="15">
        <v>79.0</v>
      </c>
      <c r="H444" s="15">
        <v>80.0</v>
      </c>
      <c r="I444" s="15">
        <v>110.0</v>
      </c>
      <c r="J444" s="15">
        <v>78.0</v>
      </c>
      <c r="K444" s="15">
        <v>97.0</v>
      </c>
      <c r="L444" s="15">
        <v>86.0</v>
      </c>
      <c r="M444" s="15">
        <v>75.0</v>
      </c>
      <c r="N444" s="15">
        <v>84.0</v>
      </c>
    </row>
    <row r="445">
      <c r="A445" s="10">
        <v>642336.0</v>
      </c>
      <c r="B445" s="11" t="s">
        <v>662</v>
      </c>
      <c r="C445" s="10">
        <v>559.0</v>
      </c>
      <c r="D445" s="10">
        <v>333.0</v>
      </c>
      <c r="E445" s="10">
        <v>112.0</v>
      </c>
      <c r="F445" s="14">
        <v>0.122</v>
      </c>
      <c r="G445" s="15">
        <v>50.0</v>
      </c>
      <c r="H445" s="15">
        <v>54.0</v>
      </c>
      <c r="I445" s="15">
        <v>95.0</v>
      </c>
      <c r="J445" s="15">
        <v>58.0</v>
      </c>
      <c r="K445" s="15">
        <v>109.0</v>
      </c>
      <c r="L445" s="15">
        <v>92.0</v>
      </c>
      <c r="M445" s="15">
        <v>75.0</v>
      </c>
      <c r="N445" s="15">
        <v>83.0</v>
      </c>
    </row>
    <row r="446">
      <c r="A446" s="10">
        <v>571976.0</v>
      </c>
      <c r="B446" s="11" t="s">
        <v>663</v>
      </c>
      <c r="C446" s="10">
        <v>544.0</v>
      </c>
      <c r="D446" s="10">
        <v>235.0</v>
      </c>
      <c r="E446" s="10">
        <v>79.0</v>
      </c>
      <c r="F446" s="14">
        <v>-0.048</v>
      </c>
      <c r="G446" s="15">
        <v>70.0</v>
      </c>
      <c r="H446" s="15">
        <v>83.0</v>
      </c>
      <c r="I446" s="15">
        <v>63.0</v>
      </c>
      <c r="J446" s="15">
        <v>98.0</v>
      </c>
      <c r="K446" s="15">
        <v>75.0</v>
      </c>
      <c r="L446" s="15">
        <v>93.0</v>
      </c>
      <c r="M446" s="15">
        <v>74.0</v>
      </c>
      <c r="N446" s="15">
        <v>79.0</v>
      </c>
    </row>
    <row r="447">
      <c r="A447" s="10">
        <v>598265.0</v>
      </c>
      <c r="B447" s="11" t="s">
        <v>664</v>
      </c>
      <c r="C447" s="10">
        <v>405.0</v>
      </c>
      <c r="D447" s="10">
        <v>216.0</v>
      </c>
      <c r="E447" s="10">
        <v>76.0</v>
      </c>
      <c r="F447" s="14">
        <v>0.055</v>
      </c>
      <c r="G447" s="15">
        <v>90.0</v>
      </c>
      <c r="H447" s="15">
        <v>87.0</v>
      </c>
      <c r="I447" s="15">
        <v>121.0</v>
      </c>
      <c r="J447" s="15">
        <v>78.0</v>
      </c>
      <c r="K447" s="15">
        <v>101.0</v>
      </c>
      <c r="L447" s="15">
        <v>81.0</v>
      </c>
      <c r="M447" s="15">
        <v>74.0</v>
      </c>
      <c r="N447" s="15">
        <v>55.0</v>
      </c>
    </row>
    <row r="448">
      <c r="A448" s="10">
        <v>675656.0</v>
      </c>
      <c r="B448" s="11" t="s">
        <v>665</v>
      </c>
      <c r="C448" s="10">
        <v>516.0</v>
      </c>
      <c r="D448" s="10">
        <v>278.0</v>
      </c>
      <c r="E448" s="10">
        <v>89.0</v>
      </c>
      <c r="F448" s="14">
        <v>0.045</v>
      </c>
      <c r="G448" s="15">
        <v>62.0</v>
      </c>
      <c r="H448" s="15">
        <v>53.0</v>
      </c>
      <c r="I448" s="15">
        <v>80.0</v>
      </c>
      <c r="J448" s="15">
        <v>62.0</v>
      </c>
      <c r="K448" s="15">
        <v>86.0</v>
      </c>
      <c r="L448" s="15">
        <v>104.0</v>
      </c>
      <c r="M448" s="15">
        <v>73.0</v>
      </c>
      <c r="N448" s="15">
        <v>67.0</v>
      </c>
    </row>
    <row r="449">
      <c r="A449" s="10">
        <v>675961.0</v>
      </c>
      <c r="B449" s="11" t="s">
        <v>666</v>
      </c>
      <c r="C449" s="10">
        <v>450.0</v>
      </c>
      <c r="D449" s="10">
        <v>212.0</v>
      </c>
      <c r="E449" s="10">
        <v>64.0</v>
      </c>
      <c r="F449" s="14">
        <v>0.006</v>
      </c>
      <c r="G449" s="15">
        <v>98.0</v>
      </c>
      <c r="H449" s="15">
        <v>90.0</v>
      </c>
      <c r="I449" s="15">
        <v>108.0</v>
      </c>
      <c r="J449" s="15">
        <v>87.0</v>
      </c>
      <c r="K449" s="15">
        <v>87.0</v>
      </c>
      <c r="L449" s="15">
        <v>82.0</v>
      </c>
      <c r="M449" s="15">
        <v>73.0</v>
      </c>
      <c r="N449" s="15">
        <v>72.0</v>
      </c>
    </row>
    <row r="450">
      <c r="A450" s="10">
        <v>660707.0</v>
      </c>
      <c r="B450" s="11" t="s">
        <v>557</v>
      </c>
      <c r="C450" s="10">
        <v>1153.0</v>
      </c>
      <c r="D450" s="10">
        <v>610.0</v>
      </c>
      <c r="E450" s="10">
        <v>174.0</v>
      </c>
      <c r="F450" s="14">
        <v>0.063</v>
      </c>
      <c r="G450" s="15">
        <v>64.0</v>
      </c>
      <c r="H450" s="15">
        <v>57.0</v>
      </c>
      <c r="I450" s="15">
        <v>82.0</v>
      </c>
      <c r="J450" s="15">
        <v>67.0</v>
      </c>
      <c r="K450" s="15">
        <v>91.0</v>
      </c>
      <c r="L450" s="15">
        <v>99.0</v>
      </c>
      <c r="M450" s="15">
        <v>73.0</v>
      </c>
      <c r="N450" s="15">
        <v>98.0</v>
      </c>
    </row>
    <row r="451">
      <c r="A451" s="10">
        <v>595978.0</v>
      </c>
      <c r="B451" s="11" t="s">
        <v>577</v>
      </c>
      <c r="C451" s="10">
        <v>733.0</v>
      </c>
      <c r="D451" s="10">
        <v>384.0</v>
      </c>
      <c r="E451" s="10">
        <v>151.0</v>
      </c>
      <c r="F451" s="14">
        <v>0.059</v>
      </c>
      <c r="G451" s="15">
        <v>104.0</v>
      </c>
      <c r="H451" s="15">
        <v>95.0</v>
      </c>
      <c r="I451" s="15">
        <v>123.0</v>
      </c>
      <c r="J451" s="15">
        <v>87.0</v>
      </c>
      <c r="K451" s="15">
        <v>96.0</v>
      </c>
      <c r="L451" s="15">
        <v>81.0</v>
      </c>
      <c r="M451" s="15">
        <v>72.0</v>
      </c>
      <c r="N451" s="15">
        <v>56.0</v>
      </c>
    </row>
    <row r="452">
      <c r="A452" s="10">
        <v>571466.0</v>
      </c>
      <c r="B452" s="11" t="s">
        <v>667</v>
      </c>
      <c r="C452" s="10">
        <v>479.0</v>
      </c>
      <c r="D452" s="10">
        <v>225.0</v>
      </c>
      <c r="E452" s="10">
        <v>66.0</v>
      </c>
      <c r="F452" s="14">
        <v>-0.031</v>
      </c>
      <c r="G452" s="15">
        <v>100.0</v>
      </c>
      <c r="H452" s="15">
        <v>102.0</v>
      </c>
      <c r="I452" s="15">
        <v>82.0</v>
      </c>
      <c r="J452" s="15">
        <v>109.0</v>
      </c>
      <c r="K452" s="15">
        <v>74.0</v>
      </c>
      <c r="L452" s="15">
        <v>78.0</v>
      </c>
      <c r="M452" s="15">
        <v>70.0</v>
      </c>
      <c r="N452" s="15">
        <v>80.0</v>
      </c>
    </row>
    <row r="453">
      <c r="A453" s="10">
        <v>642851.0</v>
      </c>
      <c r="B453" s="11" t="s">
        <v>668</v>
      </c>
      <c r="C453" s="10">
        <v>597.0</v>
      </c>
      <c r="D453" s="10">
        <v>288.0</v>
      </c>
      <c r="E453" s="10">
        <v>92.0</v>
      </c>
      <c r="F453" s="14">
        <v>-0.033</v>
      </c>
      <c r="G453" s="15">
        <v>90.0</v>
      </c>
      <c r="H453" s="15">
        <v>104.0</v>
      </c>
      <c r="I453" s="15">
        <v>92.0</v>
      </c>
      <c r="J453" s="15">
        <v>108.0</v>
      </c>
      <c r="K453" s="15">
        <v>90.0</v>
      </c>
      <c r="L453" s="15">
        <v>66.0</v>
      </c>
      <c r="M453" s="15">
        <v>67.0</v>
      </c>
      <c r="N453" s="15">
        <v>77.0</v>
      </c>
    </row>
    <row r="454">
      <c r="A454" s="10">
        <v>665120.0</v>
      </c>
      <c r="B454" s="11" t="s">
        <v>669</v>
      </c>
      <c r="C454" s="10">
        <v>456.0</v>
      </c>
      <c r="D454" s="10">
        <v>212.0</v>
      </c>
      <c r="E454" s="10">
        <v>59.0</v>
      </c>
      <c r="F454" s="14">
        <v>-0.005</v>
      </c>
      <c r="G454" s="15">
        <v>101.0</v>
      </c>
      <c r="H454" s="15">
        <v>87.0</v>
      </c>
      <c r="I454" s="15">
        <v>86.0</v>
      </c>
      <c r="J454" s="15">
        <v>92.0</v>
      </c>
      <c r="K454" s="15">
        <v>65.0</v>
      </c>
      <c r="L454" s="15">
        <v>88.0</v>
      </c>
      <c r="M454" s="15">
        <v>66.0</v>
      </c>
      <c r="N454" s="15">
        <v>66.0</v>
      </c>
    </row>
    <row r="455">
      <c r="A455" s="10">
        <v>679032.0</v>
      </c>
      <c r="B455" s="11" t="s">
        <v>381</v>
      </c>
      <c r="C455" s="10">
        <v>561.0</v>
      </c>
      <c r="D455" s="10">
        <v>305.0</v>
      </c>
      <c r="E455" s="10">
        <v>113.0</v>
      </c>
      <c r="F455" s="14">
        <v>0.072</v>
      </c>
      <c r="G455" s="15">
        <v>72.0</v>
      </c>
      <c r="H455" s="15">
        <v>63.0</v>
      </c>
      <c r="I455" s="15">
        <v>99.0</v>
      </c>
      <c r="J455" s="15">
        <v>63.0</v>
      </c>
      <c r="K455" s="15">
        <v>101.0</v>
      </c>
      <c r="L455" s="15">
        <v>80.0</v>
      </c>
      <c r="M455" s="15">
        <v>60.0</v>
      </c>
      <c r="N455" s="15">
        <v>103.0</v>
      </c>
    </row>
    <row r="456">
      <c r="A456" s="10">
        <v>596117.0</v>
      </c>
      <c r="B456" s="11" t="s">
        <v>549</v>
      </c>
      <c r="C456" s="10">
        <v>492.0</v>
      </c>
      <c r="D456" s="10">
        <v>231.0</v>
      </c>
      <c r="E456" s="10">
        <v>84.0</v>
      </c>
      <c r="F456" s="14">
        <v>-0.005</v>
      </c>
      <c r="G456" s="15">
        <v>96.0</v>
      </c>
      <c r="H456" s="15">
        <v>104.0</v>
      </c>
      <c r="I456" s="15">
        <v>110.0</v>
      </c>
      <c r="J456" s="15">
        <v>100.0</v>
      </c>
      <c r="K456" s="15">
        <v>85.0</v>
      </c>
      <c r="L456" s="15">
        <v>63.0</v>
      </c>
      <c r="M456" s="15">
        <v>58.0</v>
      </c>
      <c r="N456" s="15">
        <v>79.0</v>
      </c>
    </row>
    <row r="457">
      <c r="A457" s="10">
        <v>621545.0</v>
      </c>
      <c r="B457" s="11" t="s">
        <v>670</v>
      </c>
      <c r="C457" s="10">
        <v>572.0</v>
      </c>
      <c r="D457" s="10">
        <v>268.0</v>
      </c>
      <c r="E457" s="10">
        <v>103.0</v>
      </c>
      <c r="F457" s="14">
        <v>-0.01</v>
      </c>
      <c r="G457" s="15">
        <v>96.0</v>
      </c>
      <c r="H457" s="15">
        <v>102.0</v>
      </c>
      <c r="I457" s="15">
        <v>104.0</v>
      </c>
      <c r="J457" s="15">
        <v>101.0</v>
      </c>
      <c r="K457" s="15">
        <v>89.0</v>
      </c>
      <c r="L457" s="15">
        <v>64.0</v>
      </c>
      <c r="M457" s="15">
        <v>57.0</v>
      </c>
      <c r="N457" s="15">
        <v>85.0</v>
      </c>
    </row>
    <row r="458">
      <c r="A458" s="10">
        <v>595956.0</v>
      </c>
      <c r="B458" s="11" t="s">
        <v>671</v>
      </c>
      <c r="C458" s="10">
        <v>583.0</v>
      </c>
      <c r="D458" s="10">
        <v>301.0</v>
      </c>
      <c r="E458" s="10">
        <v>98.0</v>
      </c>
      <c r="F458" s="14">
        <v>0.001</v>
      </c>
      <c r="G458" s="15">
        <v>93.0</v>
      </c>
      <c r="H458" s="15">
        <v>76.0</v>
      </c>
      <c r="I458" s="15">
        <v>68.0</v>
      </c>
      <c r="J458" s="15">
        <v>88.0</v>
      </c>
      <c r="K458" s="15">
        <v>89.0</v>
      </c>
      <c r="L458" s="15">
        <v>69.0</v>
      </c>
      <c r="M458" s="15">
        <v>51.0</v>
      </c>
      <c r="N458" s="15">
        <v>42.0</v>
      </c>
    </row>
  </sheetData>
  <conditionalFormatting sqref="G1:N458">
    <cfRule type="colorScale" priority="1">
      <colorScale>
        <cfvo type="formula" val="60"/>
        <cfvo type="formula" val="100"/>
        <cfvo type="formula" val="140"/>
        <color rgb="FFE67C73"/>
        <color rgb="FFFFFFFF"/>
        <color rgb="FF57BB8A"/>
      </colorScale>
    </cfRule>
  </conditionalFormatting>
  <conditionalFormatting sqref="C1:C458">
    <cfRule type="cellIs" dxfId="0" priority="2" operator="greaterThanOrEqual">
      <formula>400</formula>
    </cfRule>
  </conditionalFormatting>
  <conditionalFormatting sqref="D1:D458">
    <cfRule type="cellIs" dxfId="0" priority="3" operator="greaterThanOrEqual">
      <formula>200</formula>
    </cfRule>
  </conditionalFormatting>
  <conditionalFormatting sqref="E1:E458">
    <cfRule type="cellIs" dxfId="0" priority="4" operator="greaterThanOrEqual">
      <formula>75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63"/>
    <col customWidth="1" min="2" max="2" width="22.75"/>
    <col customWidth="1" min="3" max="5" width="6.5"/>
    <col customWidth="1" min="6" max="12" width="10.13"/>
    <col customWidth="1" min="13" max="14" width="10.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6" t="s">
        <v>391</v>
      </c>
      <c r="H1" s="6" t="s">
        <v>578</v>
      </c>
      <c r="I1" s="6" t="s">
        <v>430</v>
      </c>
      <c r="J1" s="6" t="s">
        <v>432</v>
      </c>
      <c r="K1" s="6" t="s">
        <v>434</v>
      </c>
      <c r="L1" s="6" t="s">
        <v>436</v>
      </c>
      <c r="M1" s="6" t="s">
        <v>579</v>
      </c>
      <c r="N1" s="6" t="s">
        <v>13</v>
      </c>
    </row>
    <row r="2">
      <c r="A2" s="10">
        <v>592450.0</v>
      </c>
      <c r="B2" s="11" t="s">
        <v>18</v>
      </c>
      <c r="C2" s="12">
        <v>2883.0</v>
      </c>
      <c r="D2" s="10">
        <v>1229.0</v>
      </c>
      <c r="E2" s="13">
        <v>399.0</v>
      </c>
      <c r="F2" s="14">
        <v>-0.07</v>
      </c>
      <c r="G2" s="15">
        <v>109.0</v>
      </c>
      <c r="H2" s="15">
        <v>128.0</v>
      </c>
      <c r="I2" s="15">
        <v>90.0</v>
      </c>
      <c r="J2" s="15">
        <v>127.0</v>
      </c>
      <c r="K2" s="15">
        <v>97.0</v>
      </c>
      <c r="L2" s="15">
        <v>168.0</v>
      </c>
      <c r="M2" s="15">
        <v>164.0</v>
      </c>
      <c r="N2" s="15">
        <v>155.0</v>
      </c>
    </row>
    <row r="3">
      <c r="A3" s="10">
        <v>670541.0</v>
      </c>
      <c r="B3" s="11" t="s">
        <v>65</v>
      </c>
      <c r="C3" s="12">
        <v>2178.0</v>
      </c>
      <c r="D3" s="10">
        <v>930.0</v>
      </c>
      <c r="E3" s="13">
        <v>369.0</v>
      </c>
      <c r="F3" s="14">
        <v>-0.018</v>
      </c>
      <c r="G3" s="15">
        <v>108.0</v>
      </c>
      <c r="H3" s="15">
        <v>99.0</v>
      </c>
      <c r="I3" s="15">
        <v>95.0</v>
      </c>
      <c r="J3" s="15">
        <v>101.0</v>
      </c>
      <c r="K3" s="15">
        <v>114.0</v>
      </c>
      <c r="L3" s="15">
        <v>153.0</v>
      </c>
      <c r="M3" s="15">
        <v>157.0</v>
      </c>
      <c r="N3" s="15">
        <v>139.0</v>
      </c>
    </row>
    <row r="4">
      <c r="A4" s="10">
        <v>660271.0</v>
      </c>
      <c r="B4" s="11" t="s">
        <v>20</v>
      </c>
      <c r="C4" s="12">
        <v>2505.0</v>
      </c>
      <c r="D4" s="10">
        <v>1236.0</v>
      </c>
      <c r="E4" s="13">
        <v>422.0</v>
      </c>
      <c r="F4" s="14">
        <v>0.03</v>
      </c>
      <c r="G4" s="15">
        <v>111.0</v>
      </c>
      <c r="H4" s="15">
        <v>97.0</v>
      </c>
      <c r="I4" s="15">
        <v>99.0</v>
      </c>
      <c r="J4" s="15">
        <v>98.0</v>
      </c>
      <c r="K4" s="15">
        <v>94.0</v>
      </c>
      <c r="L4" s="15">
        <v>143.0</v>
      </c>
      <c r="M4" s="15">
        <v>137.0</v>
      </c>
      <c r="N4" s="15">
        <v>124.0</v>
      </c>
    </row>
    <row r="5">
      <c r="A5" s="10">
        <v>608369.0</v>
      </c>
      <c r="B5" s="11" t="s">
        <v>27</v>
      </c>
      <c r="C5" s="12">
        <v>2248.0</v>
      </c>
      <c r="D5" s="10">
        <v>1222.0</v>
      </c>
      <c r="E5" s="13">
        <v>490.0</v>
      </c>
      <c r="F5" s="14">
        <v>0.077</v>
      </c>
      <c r="G5" s="15">
        <v>126.0</v>
      </c>
      <c r="H5" s="15">
        <v>107.0</v>
      </c>
      <c r="I5" s="15">
        <v>110.0</v>
      </c>
      <c r="J5" s="15">
        <v>103.0</v>
      </c>
      <c r="K5" s="15">
        <v>110.0</v>
      </c>
      <c r="L5" s="15">
        <v>121.0</v>
      </c>
      <c r="M5" s="15">
        <v>136.0</v>
      </c>
      <c r="N5" s="15">
        <v>110.0</v>
      </c>
    </row>
    <row r="6">
      <c r="A6" s="10">
        <v>545361.0</v>
      </c>
      <c r="B6" s="11" t="s">
        <v>23</v>
      </c>
      <c r="C6" s="12">
        <v>2069.0</v>
      </c>
      <c r="D6" s="10">
        <v>903.0</v>
      </c>
      <c r="E6" s="13">
        <v>298.0</v>
      </c>
      <c r="F6" s="14">
        <v>-0.06</v>
      </c>
      <c r="G6" s="15">
        <v>120.0</v>
      </c>
      <c r="H6" s="15">
        <v>120.0</v>
      </c>
      <c r="I6" s="15">
        <v>100.0</v>
      </c>
      <c r="J6" s="15">
        <v>118.0</v>
      </c>
      <c r="K6" s="15">
        <v>87.0</v>
      </c>
      <c r="L6" s="15">
        <v>139.0</v>
      </c>
      <c r="M6" s="15">
        <v>136.0</v>
      </c>
      <c r="N6" s="15">
        <v>139.0</v>
      </c>
    </row>
    <row r="7">
      <c r="A7" s="10">
        <v>518692.0</v>
      </c>
      <c r="B7" s="11" t="s">
        <v>99</v>
      </c>
      <c r="C7" s="12">
        <v>2712.0</v>
      </c>
      <c r="D7" s="10">
        <v>1338.0</v>
      </c>
      <c r="E7" s="13">
        <v>512.0</v>
      </c>
      <c r="F7" s="14">
        <v>0.022</v>
      </c>
      <c r="G7" s="15">
        <v>126.0</v>
      </c>
      <c r="H7" s="15">
        <v>116.0</v>
      </c>
      <c r="I7" s="15">
        <v>116.0</v>
      </c>
      <c r="J7" s="15">
        <v>108.0</v>
      </c>
      <c r="K7" s="15">
        <v>111.0</v>
      </c>
      <c r="L7" s="15">
        <v>121.0</v>
      </c>
      <c r="M7" s="15">
        <v>135.0</v>
      </c>
      <c r="N7" s="15">
        <v>128.0</v>
      </c>
    </row>
    <row r="8">
      <c r="A8" s="10">
        <v>663586.0</v>
      </c>
      <c r="B8" s="11" t="s">
        <v>95</v>
      </c>
      <c r="C8" s="12">
        <v>2611.0</v>
      </c>
      <c r="D8" s="10">
        <v>1345.0</v>
      </c>
      <c r="E8" s="13">
        <v>447.0</v>
      </c>
      <c r="F8" s="14">
        <v>0.033</v>
      </c>
      <c r="G8" s="15">
        <v>116.0</v>
      </c>
      <c r="H8" s="15">
        <v>111.0</v>
      </c>
      <c r="I8" s="15">
        <v>116.0</v>
      </c>
      <c r="J8" s="15">
        <v>104.0</v>
      </c>
      <c r="K8" s="15">
        <v>91.0</v>
      </c>
      <c r="L8" s="15">
        <v>133.0</v>
      </c>
      <c r="M8" s="15">
        <v>133.0</v>
      </c>
      <c r="N8" s="15">
        <v>126.0</v>
      </c>
    </row>
    <row r="9">
      <c r="A9" s="10">
        <v>643376.0</v>
      </c>
      <c r="B9" s="11" t="s">
        <v>196</v>
      </c>
      <c r="C9" s="12">
        <v>955.0</v>
      </c>
      <c r="D9" s="10">
        <v>433.0</v>
      </c>
      <c r="E9" s="13">
        <v>176.0</v>
      </c>
      <c r="F9" s="14">
        <v>-0.031</v>
      </c>
      <c r="G9" s="15">
        <v>117.0</v>
      </c>
      <c r="H9" s="15">
        <v>127.0</v>
      </c>
      <c r="I9" s="15">
        <v>108.0</v>
      </c>
      <c r="J9" s="15">
        <v>123.0</v>
      </c>
      <c r="K9" s="15">
        <v>107.0</v>
      </c>
      <c r="L9" s="15">
        <v>116.0</v>
      </c>
      <c r="M9" s="15">
        <v>133.0</v>
      </c>
      <c r="N9" s="15">
        <v>129.0</v>
      </c>
    </row>
    <row r="10">
      <c r="A10" s="10">
        <v>665742.0</v>
      </c>
      <c r="B10" s="11" t="s">
        <v>19</v>
      </c>
      <c r="C10" s="12">
        <v>2745.0</v>
      </c>
      <c r="D10" s="10">
        <v>971.0</v>
      </c>
      <c r="E10" s="13">
        <v>422.0</v>
      </c>
      <c r="F10" s="14">
        <v>-0.087</v>
      </c>
      <c r="G10" s="15">
        <v>115.0</v>
      </c>
      <c r="H10" s="15">
        <v>132.0</v>
      </c>
      <c r="I10" s="15">
        <v>91.0</v>
      </c>
      <c r="J10" s="15">
        <v>131.0</v>
      </c>
      <c r="K10" s="15">
        <v>110.0</v>
      </c>
      <c r="L10" s="15">
        <v>116.0</v>
      </c>
      <c r="M10" s="15">
        <v>132.0</v>
      </c>
      <c r="N10" s="15">
        <v>122.0</v>
      </c>
    </row>
    <row r="11">
      <c r="A11" s="10">
        <v>656941.0</v>
      </c>
      <c r="B11" s="11" t="s">
        <v>39</v>
      </c>
      <c r="C11" s="12">
        <v>2848.0</v>
      </c>
      <c r="D11" s="10">
        <v>1153.0</v>
      </c>
      <c r="E11" s="13">
        <v>374.0</v>
      </c>
      <c r="F11" s="14">
        <v>-0.059</v>
      </c>
      <c r="G11" s="15">
        <v>103.0</v>
      </c>
      <c r="H11" s="15">
        <v>110.0</v>
      </c>
      <c r="I11" s="15">
        <v>79.0</v>
      </c>
      <c r="J11" s="15">
        <v>116.0</v>
      </c>
      <c r="K11" s="15">
        <v>88.0</v>
      </c>
      <c r="L11" s="15">
        <v>144.0</v>
      </c>
      <c r="M11" s="15">
        <v>132.0</v>
      </c>
      <c r="N11" s="15">
        <v>117.0</v>
      </c>
    </row>
    <row r="12">
      <c r="A12" s="10">
        <v>547180.0</v>
      </c>
      <c r="B12" s="11" t="s">
        <v>60</v>
      </c>
      <c r="C12" s="12">
        <v>1583.0</v>
      </c>
      <c r="D12" s="10">
        <v>891.0</v>
      </c>
      <c r="E12" s="13">
        <v>288.0</v>
      </c>
      <c r="F12" s="14">
        <v>0.12</v>
      </c>
      <c r="G12" s="15">
        <v>111.0</v>
      </c>
      <c r="H12" s="15">
        <v>90.0</v>
      </c>
      <c r="I12" s="15">
        <v>133.0</v>
      </c>
      <c r="J12" s="15">
        <v>82.0</v>
      </c>
      <c r="K12" s="15">
        <v>102.0</v>
      </c>
      <c r="L12" s="15">
        <v>133.0</v>
      </c>
      <c r="M12" s="15">
        <v>131.0</v>
      </c>
      <c r="N12" s="15">
        <v>120.0</v>
      </c>
    </row>
    <row r="13">
      <c r="A13" s="10">
        <v>608701.0</v>
      </c>
      <c r="B13" s="11" t="s">
        <v>148</v>
      </c>
      <c r="C13" s="12">
        <v>726.0</v>
      </c>
      <c r="D13" s="10">
        <v>308.0</v>
      </c>
      <c r="E13" s="13">
        <v>109.0</v>
      </c>
      <c r="F13" s="14">
        <v>-0.091</v>
      </c>
      <c r="G13" s="15">
        <v>94.0</v>
      </c>
      <c r="H13" s="15">
        <v>116.0</v>
      </c>
      <c r="I13" s="15">
        <v>80.0</v>
      </c>
      <c r="J13" s="15">
        <v>122.0</v>
      </c>
      <c r="K13" s="15">
        <v>95.0</v>
      </c>
      <c r="L13" s="15">
        <v>130.0</v>
      </c>
      <c r="M13" s="15">
        <v>130.0</v>
      </c>
      <c r="N13" s="15">
        <v>132.0</v>
      </c>
    </row>
    <row r="14">
      <c r="A14" s="10">
        <v>488726.0</v>
      </c>
      <c r="B14" s="11" t="s">
        <v>672</v>
      </c>
      <c r="C14" s="12">
        <v>994.0</v>
      </c>
      <c r="D14" s="10">
        <v>412.0</v>
      </c>
      <c r="E14" s="13">
        <v>213.0</v>
      </c>
      <c r="F14" s="14">
        <v>-0.034</v>
      </c>
      <c r="G14" s="15">
        <v>103.0</v>
      </c>
      <c r="H14" s="15">
        <v>114.0</v>
      </c>
      <c r="I14" s="15">
        <v>102.0</v>
      </c>
      <c r="J14" s="15">
        <v>112.0</v>
      </c>
      <c r="K14" s="15">
        <v>128.0</v>
      </c>
      <c r="L14" s="15">
        <v>109.0</v>
      </c>
      <c r="M14" s="15">
        <v>130.0</v>
      </c>
      <c r="N14" s="15">
        <v>113.0</v>
      </c>
    </row>
    <row r="15">
      <c r="A15" s="10">
        <v>663656.0</v>
      </c>
      <c r="B15" s="11" t="s">
        <v>63</v>
      </c>
      <c r="C15" s="12">
        <v>2229.0</v>
      </c>
      <c r="D15" s="10">
        <v>1173.0</v>
      </c>
      <c r="E15" s="13">
        <v>443.0</v>
      </c>
      <c r="F15" s="14">
        <v>0.058</v>
      </c>
      <c r="G15" s="15">
        <v>145.0</v>
      </c>
      <c r="H15" s="15">
        <v>122.0</v>
      </c>
      <c r="I15" s="15">
        <v>127.0</v>
      </c>
      <c r="J15" s="15">
        <v>110.0</v>
      </c>
      <c r="K15" s="15">
        <v>109.0</v>
      </c>
      <c r="L15" s="15">
        <v>111.0</v>
      </c>
      <c r="M15" s="15">
        <v>128.0</v>
      </c>
      <c r="N15" s="15">
        <v>117.0</v>
      </c>
    </row>
    <row r="16">
      <c r="A16" s="10">
        <v>621493.0</v>
      </c>
      <c r="B16" s="11" t="s">
        <v>83</v>
      </c>
      <c r="C16" s="12">
        <v>2266.0</v>
      </c>
      <c r="D16" s="10">
        <v>939.0</v>
      </c>
      <c r="E16" s="13">
        <v>374.0</v>
      </c>
      <c r="F16" s="14">
        <v>-0.074</v>
      </c>
      <c r="G16" s="15">
        <v>111.0</v>
      </c>
      <c r="H16" s="15">
        <v>122.0</v>
      </c>
      <c r="I16" s="15">
        <v>94.0</v>
      </c>
      <c r="J16" s="15">
        <v>123.0</v>
      </c>
      <c r="K16" s="15">
        <v>108.0</v>
      </c>
      <c r="L16" s="15">
        <v>113.0</v>
      </c>
      <c r="M16" s="15">
        <v>126.0</v>
      </c>
      <c r="N16" s="15">
        <v>122.0</v>
      </c>
    </row>
    <row r="17">
      <c r="A17" s="10">
        <v>650490.0</v>
      </c>
      <c r="B17" s="11" t="s">
        <v>33</v>
      </c>
      <c r="C17" s="12">
        <v>2139.0</v>
      </c>
      <c r="D17" s="10">
        <v>885.0</v>
      </c>
      <c r="E17" s="13">
        <v>411.0</v>
      </c>
      <c r="F17" s="14">
        <v>-0.069</v>
      </c>
      <c r="G17" s="15">
        <v>117.0</v>
      </c>
      <c r="H17" s="15">
        <v>130.0</v>
      </c>
      <c r="I17" s="15">
        <v>104.0</v>
      </c>
      <c r="J17" s="15">
        <v>127.0</v>
      </c>
      <c r="K17" s="15">
        <v>131.0</v>
      </c>
      <c r="L17" s="15">
        <v>98.0</v>
      </c>
      <c r="M17" s="15">
        <v>126.0</v>
      </c>
      <c r="N17" s="15">
        <v>124.0</v>
      </c>
    </row>
    <row r="18">
      <c r="A18" s="10">
        <v>572233.0</v>
      </c>
      <c r="B18" s="11" t="s">
        <v>214</v>
      </c>
      <c r="C18" s="12">
        <v>2518.0</v>
      </c>
      <c r="D18" s="10">
        <v>1128.0</v>
      </c>
      <c r="E18" s="13">
        <v>456.0</v>
      </c>
      <c r="F18" s="14">
        <v>-0.024</v>
      </c>
      <c r="G18" s="15">
        <v>119.0</v>
      </c>
      <c r="H18" s="15">
        <v>121.0</v>
      </c>
      <c r="I18" s="15">
        <v>106.0</v>
      </c>
      <c r="J18" s="15">
        <v>117.0</v>
      </c>
      <c r="K18" s="15">
        <v>105.0</v>
      </c>
      <c r="L18" s="15">
        <v>113.0</v>
      </c>
      <c r="M18" s="15">
        <v>126.0</v>
      </c>
      <c r="N18" s="15">
        <v>118.0</v>
      </c>
    </row>
    <row r="19">
      <c r="A19" s="10">
        <v>502671.0</v>
      </c>
      <c r="B19" s="11" t="s">
        <v>76</v>
      </c>
      <c r="C19" s="12">
        <v>2670.0</v>
      </c>
      <c r="D19" s="10">
        <v>1115.0</v>
      </c>
      <c r="E19" s="13">
        <v>421.0</v>
      </c>
      <c r="F19" s="14">
        <v>-0.066</v>
      </c>
      <c r="G19" s="15">
        <v>96.0</v>
      </c>
      <c r="H19" s="15">
        <v>109.0</v>
      </c>
      <c r="I19" s="15">
        <v>86.0</v>
      </c>
      <c r="J19" s="15">
        <v>113.0</v>
      </c>
      <c r="K19" s="15">
        <v>103.0</v>
      </c>
      <c r="L19" s="15">
        <v>122.0</v>
      </c>
      <c r="M19" s="15">
        <v>126.0</v>
      </c>
      <c r="N19" s="15">
        <v>139.0</v>
      </c>
    </row>
    <row r="20">
      <c r="A20" s="10">
        <v>650391.0</v>
      </c>
      <c r="B20" s="11" t="s">
        <v>480</v>
      </c>
      <c r="C20" s="12">
        <v>1162.0</v>
      </c>
      <c r="D20" s="10">
        <v>580.0</v>
      </c>
      <c r="E20" s="13">
        <v>218.0</v>
      </c>
      <c r="F20" s="14">
        <v>0.034</v>
      </c>
      <c r="G20" s="15">
        <v>108.0</v>
      </c>
      <c r="H20" s="15">
        <v>96.0</v>
      </c>
      <c r="I20" s="15">
        <v>101.0</v>
      </c>
      <c r="J20" s="15">
        <v>96.0</v>
      </c>
      <c r="K20" s="15">
        <v>97.0</v>
      </c>
      <c r="L20" s="15">
        <v>126.0</v>
      </c>
      <c r="M20" s="15">
        <v>124.0</v>
      </c>
      <c r="N20" s="15">
        <v>121.0</v>
      </c>
    </row>
    <row r="21">
      <c r="A21" s="10">
        <v>672386.0</v>
      </c>
      <c r="B21" s="11" t="s">
        <v>35</v>
      </c>
      <c r="C21" s="12">
        <v>2179.0</v>
      </c>
      <c r="D21" s="10">
        <v>890.0</v>
      </c>
      <c r="E21" s="13">
        <v>412.0</v>
      </c>
      <c r="F21" s="14">
        <v>-0.061</v>
      </c>
      <c r="G21" s="15">
        <v>102.0</v>
      </c>
      <c r="H21" s="15">
        <v>122.0</v>
      </c>
      <c r="I21" s="15">
        <v>103.0</v>
      </c>
      <c r="J21" s="15">
        <v>118.0</v>
      </c>
      <c r="K21" s="15">
        <v>119.0</v>
      </c>
      <c r="L21" s="15">
        <v>105.0</v>
      </c>
      <c r="M21" s="15">
        <v>124.0</v>
      </c>
      <c r="N21" s="15">
        <v>117.0</v>
      </c>
    </row>
    <row r="22">
      <c r="A22" s="10">
        <v>606192.0</v>
      </c>
      <c r="B22" s="11" t="s">
        <v>111</v>
      </c>
      <c r="C22" s="12">
        <v>2055.0</v>
      </c>
      <c r="D22" s="10">
        <v>1006.0</v>
      </c>
      <c r="E22" s="13">
        <v>341.0</v>
      </c>
      <c r="F22" s="14">
        <v>0.013</v>
      </c>
      <c r="G22" s="15">
        <v>103.0</v>
      </c>
      <c r="H22" s="15">
        <v>98.0</v>
      </c>
      <c r="I22" s="15">
        <v>112.0</v>
      </c>
      <c r="J22" s="15">
        <v>94.0</v>
      </c>
      <c r="K22" s="15">
        <v>89.0</v>
      </c>
      <c r="L22" s="15">
        <v>132.0</v>
      </c>
      <c r="M22" s="15">
        <v>124.0</v>
      </c>
      <c r="N22" s="15">
        <v>116.0</v>
      </c>
    </row>
    <row r="23">
      <c r="A23" s="10">
        <v>650559.0</v>
      </c>
      <c r="B23" s="11" t="s">
        <v>484</v>
      </c>
      <c r="C23" s="12">
        <v>1375.0</v>
      </c>
      <c r="D23" s="10">
        <v>677.0</v>
      </c>
      <c r="E23" s="13">
        <v>243.0</v>
      </c>
      <c r="F23" s="14">
        <v>0.011</v>
      </c>
      <c r="G23" s="15">
        <v>102.0</v>
      </c>
      <c r="H23" s="15">
        <v>97.0</v>
      </c>
      <c r="I23" s="15">
        <v>116.0</v>
      </c>
      <c r="J23" s="15">
        <v>93.0</v>
      </c>
      <c r="K23" s="15">
        <v>96.0</v>
      </c>
      <c r="L23" s="15">
        <v>127.0</v>
      </c>
      <c r="M23" s="15">
        <v>124.0</v>
      </c>
      <c r="N23" s="15">
        <v>104.0</v>
      </c>
    </row>
    <row r="24">
      <c r="A24" s="10">
        <v>624413.0</v>
      </c>
      <c r="B24" s="11" t="s">
        <v>21</v>
      </c>
      <c r="C24" s="12">
        <v>2484.0</v>
      </c>
      <c r="D24" s="10">
        <v>1244.0</v>
      </c>
      <c r="E24" s="13">
        <v>476.0</v>
      </c>
      <c r="F24" s="14">
        <v>0.038</v>
      </c>
      <c r="G24" s="15">
        <v>102.0</v>
      </c>
      <c r="H24" s="15">
        <v>94.0</v>
      </c>
      <c r="I24" s="15">
        <v>112.0</v>
      </c>
      <c r="J24" s="15">
        <v>91.0</v>
      </c>
      <c r="K24" s="15">
        <v>109.0</v>
      </c>
      <c r="L24" s="15">
        <v>120.0</v>
      </c>
      <c r="M24" s="15">
        <v>124.0</v>
      </c>
      <c r="N24" s="15">
        <v>122.0</v>
      </c>
    </row>
    <row r="25">
      <c r="A25" s="10">
        <v>605141.0</v>
      </c>
      <c r="B25" s="11" t="s">
        <v>118</v>
      </c>
      <c r="C25" s="12">
        <v>2387.0</v>
      </c>
      <c r="D25" s="10">
        <v>1056.0</v>
      </c>
      <c r="E25" s="13">
        <v>467.0</v>
      </c>
      <c r="F25" s="14">
        <v>-0.028</v>
      </c>
      <c r="G25" s="15">
        <v>119.0</v>
      </c>
      <c r="H25" s="15">
        <v>123.0</v>
      </c>
      <c r="I25" s="15">
        <v>110.0</v>
      </c>
      <c r="J25" s="15">
        <v>117.0</v>
      </c>
      <c r="K25" s="15">
        <v>113.0</v>
      </c>
      <c r="L25" s="15">
        <v>106.0</v>
      </c>
      <c r="M25" s="15">
        <v>124.0</v>
      </c>
      <c r="N25" s="15">
        <v>127.0</v>
      </c>
    </row>
    <row r="26">
      <c r="A26" s="10">
        <v>621043.0</v>
      </c>
      <c r="B26" s="11" t="s">
        <v>194</v>
      </c>
      <c r="C26" s="12">
        <v>2395.0</v>
      </c>
      <c r="D26" s="10">
        <v>1063.0</v>
      </c>
      <c r="E26" s="13">
        <v>401.0</v>
      </c>
      <c r="F26" s="14">
        <v>-0.041</v>
      </c>
      <c r="G26" s="15">
        <v>94.0</v>
      </c>
      <c r="H26" s="15">
        <v>103.0</v>
      </c>
      <c r="I26" s="15">
        <v>83.0</v>
      </c>
      <c r="J26" s="15">
        <v>109.0</v>
      </c>
      <c r="K26" s="15">
        <v>111.0</v>
      </c>
      <c r="L26" s="15">
        <v>117.0</v>
      </c>
      <c r="M26" s="15">
        <v>124.0</v>
      </c>
      <c r="N26" s="15">
        <v>119.0</v>
      </c>
    </row>
    <row r="27">
      <c r="A27" s="10">
        <v>686469.0</v>
      </c>
      <c r="B27" s="11" t="s">
        <v>123</v>
      </c>
      <c r="C27" s="12">
        <v>1026.0</v>
      </c>
      <c r="D27" s="10">
        <v>473.0</v>
      </c>
      <c r="E27" s="13">
        <v>222.0</v>
      </c>
      <c r="F27" s="14">
        <v>0.023</v>
      </c>
      <c r="G27" s="15">
        <v>109.0</v>
      </c>
      <c r="H27" s="15">
        <v>105.0</v>
      </c>
      <c r="I27" s="15">
        <v>104.0</v>
      </c>
      <c r="J27" s="15">
        <v>103.0</v>
      </c>
      <c r="K27" s="15">
        <v>130.0</v>
      </c>
      <c r="L27" s="15">
        <v>105.0</v>
      </c>
      <c r="M27" s="15">
        <v>124.0</v>
      </c>
      <c r="N27" s="15">
        <v>117.0</v>
      </c>
    </row>
    <row r="28">
      <c r="A28" s="10">
        <v>640457.0</v>
      </c>
      <c r="B28" s="11" t="s">
        <v>673</v>
      </c>
      <c r="C28" s="12">
        <v>582.0</v>
      </c>
      <c r="D28" s="10">
        <v>237.0</v>
      </c>
      <c r="E28" s="13">
        <v>107.0</v>
      </c>
      <c r="F28" s="14">
        <v>-0.059</v>
      </c>
      <c r="G28" s="15">
        <v>104.0</v>
      </c>
      <c r="H28" s="15">
        <v>121.0</v>
      </c>
      <c r="I28" s="15">
        <v>99.0</v>
      </c>
      <c r="J28" s="15">
        <v>119.0</v>
      </c>
      <c r="K28" s="15">
        <v>123.0</v>
      </c>
      <c r="L28" s="15">
        <v>103.0</v>
      </c>
      <c r="M28" s="15">
        <v>124.0</v>
      </c>
      <c r="N28" s="15">
        <v>101.0</v>
      </c>
    </row>
    <row r="29">
      <c r="A29" s="10">
        <v>669257.0</v>
      </c>
      <c r="B29" s="11" t="s">
        <v>34</v>
      </c>
      <c r="C29" s="12">
        <v>2341.0</v>
      </c>
      <c r="D29" s="10">
        <v>998.0</v>
      </c>
      <c r="E29" s="13">
        <v>413.0</v>
      </c>
      <c r="F29" s="14">
        <v>-0.057</v>
      </c>
      <c r="G29" s="15">
        <v>112.0</v>
      </c>
      <c r="H29" s="15">
        <v>119.0</v>
      </c>
      <c r="I29" s="15">
        <v>95.0</v>
      </c>
      <c r="J29" s="15">
        <v>120.0</v>
      </c>
      <c r="K29" s="15">
        <v>109.0</v>
      </c>
      <c r="L29" s="15">
        <v>110.0</v>
      </c>
      <c r="M29" s="15">
        <v>123.0</v>
      </c>
      <c r="N29" s="15">
        <v>119.0</v>
      </c>
    </row>
    <row r="30">
      <c r="A30" s="10">
        <v>405395.0</v>
      </c>
      <c r="B30" s="11" t="s">
        <v>674</v>
      </c>
      <c r="C30" s="12">
        <v>1378.0</v>
      </c>
      <c r="D30" s="10">
        <v>665.0</v>
      </c>
      <c r="E30" s="13">
        <v>258.0</v>
      </c>
      <c r="F30" s="14">
        <v>0.018</v>
      </c>
      <c r="G30" s="15">
        <v>78.0</v>
      </c>
      <c r="H30" s="15">
        <v>89.0</v>
      </c>
      <c r="I30" s="15">
        <v>101.0</v>
      </c>
      <c r="J30" s="15">
        <v>90.0</v>
      </c>
      <c r="K30" s="15">
        <v>122.0</v>
      </c>
      <c r="L30" s="15">
        <v>115.0</v>
      </c>
      <c r="M30" s="15">
        <v>122.0</v>
      </c>
      <c r="N30" s="15">
        <v>125.0</v>
      </c>
    </row>
    <row r="31">
      <c r="A31" s="10">
        <v>519317.0</v>
      </c>
      <c r="B31" s="11" t="s">
        <v>446</v>
      </c>
      <c r="C31" s="12">
        <v>1823.0</v>
      </c>
      <c r="D31" s="10">
        <v>785.0</v>
      </c>
      <c r="E31" s="13">
        <v>262.0</v>
      </c>
      <c r="F31" s="14">
        <v>-0.06</v>
      </c>
      <c r="G31" s="15">
        <v>93.0</v>
      </c>
      <c r="H31" s="15">
        <v>99.0</v>
      </c>
      <c r="I31" s="15">
        <v>74.0</v>
      </c>
      <c r="J31" s="15">
        <v>108.0</v>
      </c>
      <c r="K31" s="15">
        <v>89.0</v>
      </c>
      <c r="L31" s="15">
        <v>133.0</v>
      </c>
      <c r="M31" s="15">
        <v>122.0</v>
      </c>
      <c r="N31" s="15">
        <v>108.0</v>
      </c>
    </row>
    <row r="32">
      <c r="A32" s="10">
        <v>665489.0</v>
      </c>
      <c r="B32" s="11" t="s">
        <v>32</v>
      </c>
      <c r="C32" s="12">
        <v>2570.0</v>
      </c>
      <c r="D32" s="10">
        <v>1279.0</v>
      </c>
      <c r="E32" s="13">
        <v>522.0</v>
      </c>
      <c r="F32" s="14">
        <v>0.02</v>
      </c>
      <c r="G32" s="15">
        <v>106.0</v>
      </c>
      <c r="H32" s="15">
        <v>102.0</v>
      </c>
      <c r="I32" s="15">
        <v>111.0</v>
      </c>
      <c r="J32" s="15">
        <v>98.0</v>
      </c>
      <c r="K32" s="15">
        <v>119.0</v>
      </c>
      <c r="L32" s="15">
        <v>109.0</v>
      </c>
      <c r="M32" s="15">
        <v>122.0</v>
      </c>
      <c r="N32" s="15">
        <v>118.0</v>
      </c>
    </row>
    <row r="33">
      <c r="A33" s="10">
        <v>608841.0</v>
      </c>
      <c r="B33" s="11" t="s">
        <v>540</v>
      </c>
      <c r="C33" s="12">
        <v>935.0</v>
      </c>
      <c r="D33" s="10">
        <v>453.0</v>
      </c>
      <c r="E33" s="13">
        <v>172.0</v>
      </c>
      <c r="F33" s="14">
        <v>-0.023</v>
      </c>
      <c r="G33" s="15">
        <v>95.0</v>
      </c>
      <c r="H33" s="15">
        <v>110.0</v>
      </c>
      <c r="I33" s="15">
        <v>110.0</v>
      </c>
      <c r="J33" s="15">
        <v>105.0</v>
      </c>
      <c r="K33" s="15">
        <v>99.0</v>
      </c>
      <c r="L33" s="15">
        <v>117.0</v>
      </c>
      <c r="M33" s="15">
        <v>122.0</v>
      </c>
      <c r="N33" s="15">
        <v>134.0</v>
      </c>
    </row>
    <row r="34">
      <c r="A34" s="10">
        <v>663624.0</v>
      </c>
      <c r="B34" s="11" t="s">
        <v>180</v>
      </c>
      <c r="C34" s="12">
        <v>2324.0</v>
      </c>
      <c r="D34" s="10">
        <v>1303.0</v>
      </c>
      <c r="E34" s="13">
        <v>405.0</v>
      </c>
      <c r="F34" s="14">
        <v>0.09</v>
      </c>
      <c r="G34" s="15">
        <v>106.0</v>
      </c>
      <c r="H34" s="15">
        <v>91.0</v>
      </c>
      <c r="I34" s="15">
        <v>118.0</v>
      </c>
      <c r="J34" s="15">
        <v>86.0</v>
      </c>
      <c r="K34" s="15">
        <v>100.0</v>
      </c>
      <c r="L34" s="15">
        <v>126.0</v>
      </c>
      <c r="M34" s="15">
        <v>121.0</v>
      </c>
      <c r="N34" s="15">
        <v>103.0</v>
      </c>
    </row>
    <row r="35">
      <c r="A35" s="10">
        <v>608324.0</v>
      </c>
      <c r="B35" s="11" t="s">
        <v>74</v>
      </c>
      <c r="C35" s="12">
        <v>2496.0</v>
      </c>
      <c r="D35" s="10">
        <v>1007.0</v>
      </c>
      <c r="E35" s="13">
        <v>476.0</v>
      </c>
      <c r="F35" s="14">
        <v>-0.047</v>
      </c>
      <c r="G35" s="15">
        <v>129.0</v>
      </c>
      <c r="H35" s="15">
        <v>136.0</v>
      </c>
      <c r="I35" s="15">
        <v>110.0</v>
      </c>
      <c r="J35" s="15">
        <v>128.0</v>
      </c>
      <c r="K35" s="15">
        <v>120.0</v>
      </c>
      <c r="L35" s="15">
        <v>96.0</v>
      </c>
      <c r="M35" s="15">
        <v>121.0</v>
      </c>
      <c r="N35" s="15">
        <v>120.0</v>
      </c>
    </row>
    <row r="36">
      <c r="A36" s="10">
        <v>572204.0</v>
      </c>
      <c r="B36" s="11" t="s">
        <v>628</v>
      </c>
      <c r="C36" s="12">
        <v>1129.0</v>
      </c>
      <c r="D36" s="10">
        <v>496.0</v>
      </c>
      <c r="E36" s="13">
        <v>127.0</v>
      </c>
      <c r="F36" s="14">
        <v>-0.058</v>
      </c>
      <c r="G36" s="15">
        <v>113.0</v>
      </c>
      <c r="H36" s="15">
        <v>124.0</v>
      </c>
      <c r="I36" s="15">
        <v>91.0</v>
      </c>
      <c r="J36" s="15">
        <v>124.0</v>
      </c>
      <c r="K36" s="15">
        <v>55.0</v>
      </c>
      <c r="L36" s="15">
        <v>149.0</v>
      </c>
      <c r="M36" s="15">
        <v>121.0</v>
      </c>
      <c r="N36" s="15">
        <v>120.0</v>
      </c>
    </row>
    <row r="37">
      <c r="A37" s="10">
        <v>646240.0</v>
      </c>
      <c r="B37" s="11" t="s">
        <v>93</v>
      </c>
      <c r="C37" s="12">
        <v>2211.0</v>
      </c>
      <c r="D37" s="10">
        <v>1209.0</v>
      </c>
      <c r="E37" s="13">
        <v>441.0</v>
      </c>
      <c r="F37" s="14">
        <v>0.094</v>
      </c>
      <c r="G37" s="15">
        <v>102.0</v>
      </c>
      <c r="H37" s="15">
        <v>82.0</v>
      </c>
      <c r="I37" s="15">
        <v>112.0</v>
      </c>
      <c r="J37" s="15">
        <v>80.0</v>
      </c>
      <c r="K37" s="15">
        <v>102.0</v>
      </c>
      <c r="L37" s="15">
        <v>124.0</v>
      </c>
      <c r="M37" s="15">
        <v>121.0</v>
      </c>
      <c r="N37" s="15">
        <v>122.0</v>
      </c>
    </row>
    <row r="38">
      <c r="A38" s="10">
        <v>572761.0</v>
      </c>
      <c r="B38" s="11" t="s">
        <v>499</v>
      </c>
      <c r="C38" s="12">
        <v>717.0</v>
      </c>
      <c r="D38" s="10">
        <v>296.0</v>
      </c>
      <c r="E38" s="13">
        <v>93.0</v>
      </c>
      <c r="F38" s="14">
        <v>-0.088</v>
      </c>
      <c r="G38" s="15">
        <v>117.0</v>
      </c>
      <c r="H38" s="15">
        <v>116.0</v>
      </c>
      <c r="I38" s="15">
        <v>99.0</v>
      </c>
      <c r="J38" s="15">
        <v>116.0</v>
      </c>
      <c r="K38" s="15">
        <v>96.0</v>
      </c>
      <c r="L38" s="15">
        <v>120.0</v>
      </c>
      <c r="M38" s="15">
        <v>120.0</v>
      </c>
      <c r="N38" s="15">
        <v>150.0</v>
      </c>
    </row>
    <row r="39">
      <c r="A39" s="10">
        <v>547989.0</v>
      </c>
      <c r="B39" s="11" t="s">
        <v>573</v>
      </c>
      <c r="C39" s="12">
        <v>2689.0</v>
      </c>
      <c r="D39" s="10">
        <v>1276.0</v>
      </c>
      <c r="E39" s="13">
        <v>488.0</v>
      </c>
      <c r="F39" s="14">
        <v>-0.017</v>
      </c>
      <c r="G39" s="15">
        <v>95.0</v>
      </c>
      <c r="H39" s="15">
        <v>101.0</v>
      </c>
      <c r="I39" s="15">
        <v>96.0</v>
      </c>
      <c r="J39" s="15">
        <v>102.0</v>
      </c>
      <c r="K39" s="15">
        <v>114.0</v>
      </c>
      <c r="L39" s="15">
        <v>112.0</v>
      </c>
      <c r="M39" s="15">
        <v>120.0</v>
      </c>
      <c r="N39" s="15">
        <v>119.0</v>
      </c>
    </row>
    <row r="40">
      <c r="A40" s="10">
        <v>605204.0</v>
      </c>
      <c r="B40" s="11" t="s">
        <v>483</v>
      </c>
      <c r="C40" s="12">
        <v>1474.0</v>
      </c>
      <c r="D40" s="10">
        <v>755.0</v>
      </c>
      <c r="E40" s="13">
        <v>196.0</v>
      </c>
      <c r="F40" s="14">
        <v>0.007</v>
      </c>
      <c r="G40" s="15">
        <v>139.0</v>
      </c>
      <c r="H40" s="15">
        <v>128.0</v>
      </c>
      <c r="I40" s="15">
        <v>122.0</v>
      </c>
      <c r="J40" s="15">
        <v>119.0</v>
      </c>
      <c r="K40" s="15">
        <v>68.0</v>
      </c>
      <c r="L40" s="15">
        <v>133.0</v>
      </c>
      <c r="M40" s="15">
        <v>120.0</v>
      </c>
      <c r="N40" s="15">
        <v>109.0</v>
      </c>
    </row>
    <row r="41">
      <c r="A41" s="10">
        <v>661388.0</v>
      </c>
      <c r="B41" s="11" t="s">
        <v>155</v>
      </c>
      <c r="C41" s="12">
        <v>1531.0</v>
      </c>
      <c r="D41" s="10">
        <v>686.0</v>
      </c>
      <c r="E41" s="13">
        <v>231.0</v>
      </c>
      <c r="F41" s="14">
        <v>-0.033</v>
      </c>
      <c r="G41" s="15">
        <v>95.0</v>
      </c>
      <c r="H41" s="15">
        <v>104.0</v>
      </c>
      <c r="I41" s="15">
        <v>90.0</v>
      </c>
      <c r="J41" s="15">
        <v>107.0</v>
      </c>
      <c r="K41" s="15">
        <v>95.0</v>
      </c>
      <c r="L41" s="15">
        <v>123.0</v>
      </c>
      <c r="M41" s="15">
        <v>120.0</v>
      </c>
      <c r="N41" s="15">
        <v>125.0</v>
      </c>
    </row>
    <row r="42">
      <c r="A42" s="10">
        <v>643265.0</v>
      </c>
      <c r="B42" s="11" t="s">
        <v>450</v>
      </c>
      <c r="C42" s="12">
        <v>1846.0</v>
      </c>
      <c r="D42" s="10">
        <v>837.0</v>
      </c>
      <c r="E42" s="13">
        <v>298.0</v>
      </c>
      <c r="F42" s="14">
        <v>-0.027</v>
      </c>
      <c r="G42" s="15">
        <v>87.0</v>
      </c>
      <c r="H42" s="15">
        <v>103.0</v>
      </c>
      <c r="I42" s="15">
        <v>101.0</v>
      </c>
      <c r="J42" s="15">
        <v>102.0</v>
      </c>
      <c r="K42" s="15">
        <v>99.0</v>
      </c>
      <c r="L42" s="15">
        <v>120.0</v>
      </c>
      <c r="M42" s="15">
        <v>120.0</v>
      </c>
      <c r="N42" s="15">
        <v>111.0</v>
      </c>
    </row>
    <row r="43">
      <c r="A43" s="10">
        <v>543685.0</v>
      </c>
      <c r="B43" s="11" t="s">
        <v>482</v>
      </c>
      <c r="C43" s="12">
        <v>745.0</v>
      </c>
      <c r="D43" s="10">
        <v>314.0</v>
      </c>
      <c r="E43" s="13">
        <v>130.0</v>
      </c>
      <c r="F43" s="14">
        <v>-0.049</v>
      </c>
      <c r="G43" s="15">
        <v>128.0</v>
      </c>
      <c r="H43" s="15">
        <v>134.0</v>
      </c>
      <c r="I43" s="15">
        <v>112.0</v>
      </c>
      <c r="J43" s="15">
        <v>127.0</v>
      </c>
      <c r="K43" s="15">
        <v>103.0</v>
      </c>
      <c r="L43" s="15">
        <v>102.0</v>
      </c>
      <c r="M43" s="15">
        <v>119.0</v>
      </c>
      <c r="N43" s="15">
        <v>107.0</v>
      </c>
    </row>
    <row r="44">
      <c r="A44" s="10">
        <v>660670.0</v>
      </c>
      <c r="B44" s="11" t="s">
        <v>22</v>
      </c>
      <c r="C44" s="12">
        <v>2138.0</v>
      </c>
      <c r="D44" s="10">
        <v>1026.0</v>
      </c>
      <c r="E44" s="13">
        <v>341.0</v>
      </c>
      <c r="F44" s="14">
        <v>-0.008</v>
      </c>
      <c r="G44" s="15">
        <v>126.0</v>
      </c>
      <c r="H44" s="15">
        <v>114.0</v>
      </c>
      <c r="I44" s="15">
        <v>106.0</v>
      </c>
      <c r="J44" s="15">
        <v>111.0</v>
      </c>
      <c r="K44" s="15">
        <v>92.0</v>
      </c>
      <c r="L44" s="15">
        <v>118.0</v>
      </c>
      <c r="M44" s="15">
        <v>119.0</v>
      </c>
      <c r="N44" s="15">
        <v>111.0</v>
      </c>
    </row>
    <row r="45">
      <c r="A45" s="10">
        <v>650402.0</v>
      </c>
      <c r="B45" s="11" t="s">
        <v>25</v>
      </c>
      <c r="C45" s="12">
        <v>2199.0</v>
      </c>
      <c r="D45" s="10">
        <v>1087.0</v>
      </c>
      <c r="E45" s="13">
        <v>397.0</v>
      </c>
      <c r="F45" s="14">
        <v>0.004</v>
      </c>
      <c r="G45" s="15">
        <v>115.0</v>
      </c>
      <c r="H45" s="15">
        <v>114.0</v>
      </c>
      <c r="I45" s="15">
        <v>112.0</v>
      </c>
      <c r="J45" s="15">
        <v>109.0</v>
      </c>
      <c r="K45" s="15">
        <v>92.0</v>
      </c>
      <c r="L45" s="15">
        <v>116.0</v>
      </c>
      <c r="M45" s="15">
        <v>119.0</v>
      </c>
      <c r="N45" s="15">
        <v>113.0</v>
      </c>
    </row>
    <row r="46">
      <c r="A46" s="10">
        <v>621439.0</v>
      </c>
      <c r="B46" s="11" t="s">
        <v>56</v>
      </c>
      <c r="C46" s="12">
        <v>1514.0</v>
      </c>
      <c r="D46" s="10">
        <v>710.0</v>
      </c>
      <c r="E46" s="13">
        <v>225.0</v>
      </c>
      <c r="F46" s="14">
        <v>-0.014</v>
      </c>
      <c r="G46" s="15">
        <v>106.0</v>
      </c>
      <c r="H46" s="15">
        <v>97.0</v>
      </c>
      <c r="I46" s="15">
        <v>91.0</v>
      </c>
      <c r="J46" s="15">
        <v>100.0</v>
      </c>
      <c r="K46" s="15">
        <v>89.0</v>
      </c>
      <c r="L46" s="15">
        <v>130.0</v>
      </c>
      <c r="M46" s="15">
        <v>119.0</v>
      </c>
      <c r="N46" s="15">
        <v>119.0</v>
      </c>
    </row>
    <row r="47">
      <c r="A47" s="10">
        <v>502110.0</v>
      </c>
      <c r="B47" s="11" t="s">
        <v>447</v>
      </c>
      <c r="C47" s="12">
        <v>2369.0</v>
      </c>
      <c r="D47" s="10">
        <v>1229.0</v>
      </c>
      <c r="E47" s="13">
        <v>389.0</v>
      </c>
      <c r="F47" s="14">
        <v>0.028</v>
      </c>
      <c r="G47" s="15">
        <v>115.0</v>
      </c>
      <c r="H47" s="15">
        <v>106.0</v>
      </c>
      <c r="I47" s="15">
        <v>116.0</v>
      </c>
      <c r="J47" s="15">
        <v>100.0</v>
      </c>
      <c r="K47" s="15">
        <v>93.0</v>
      </c>
      <c r="L47" s="15">
        <v>121.0</v>
      </c>
      <c r="M47" s="15">
        <v>118.0</v>
      </c>
      <c r="N47" s="15">
        <v>113.0</v>
      </c>
    </row>
    <row r="48">
      <c r="A48" s="10">
        <v>621020.0</v>
      </c>
      <c r="B48" s="11" t="s">
        <v>98</v>
      </c>
      <c r="C48" s="12">
        <v>2726.0</v>
      </c>
      <c r="D48" s="10">
        <v>1344.0</v>
      </c>
      <c r="E48" s="13">
        <v>457.0</v>
      </c>
      <c r="F48" s="14">
        <v>-0.003</v>
      </c>
      <c r="G48" s="15">
        <v>118.0</v>
      </c>
      <c r="H48" s="15">
        <v>119.0</v>
      </c>
      <c r="I48" s="15">
        <v>112.0</v>
      </c>
      <c r="J48" s="15">
        <v>113.0</v>
      </c>
      <c r="K48" s="15">
        <v>89.0</v>
      </c>
      <c r="L48" s="15">
        <v>116.0</v>
      </c>
      <c r="M48" s="15">
        <v>118.0</v>
      </c>
      <c r="N48" s="15">
        <v>117.0</v>
      </c>
    </row>
    <row r="49">
      <c r="A49" s="10">
        <v>669221.0</v>
      </c>
      <c r="B49" s="11" t="s">
        <v>92</v>
      </c>
      <c r="C49" s="12">
        <v>2357.0</v>
      </c>
      <c r="D49" s="10">
        <v>1160.0</v>
      </c>
      <c r="E49" s="13">
        <v>416.0</v>
      </c>
      <c r="F49" s="14">
        <v>0.007</v>
      </c>
      <c r="G49" s="15">
        <v>108.0</v>
      </c>
      <c r="H49" s="15">
        <v>107.0</v>
      </c>
      <c r="I49" s="15">
        <v>103.0</v>
      </c>
      <c r="J49" s="15">
        <v>105.0</v>
      </c>
      <c r="K49" s="15">
        <v>102.0</v>
      </c>
      <c r="L49" s="15">
        <v>114.0</v>
      </c>
      <c r="M49" s="15">
        <v>118.0</v>
      </c>
      <c r="N49" s="15">
        <v>111.0</v>
      </c>
    </row>
    <row r="50">
      <c r="A50" s="10">
        <v>663993.0</v>
      </c>
      <c r="B50" s="11" t="s">
        <v>232</v>
      </c>
      <c r="C50" s="12">
        <v>2507.0</v>
      </c>
      <c r="D50" s="10">
        <v>1309.0</v>
      </c>
      <c r="E50" s="13">
        <v>440.0</v>
      </c>
      <c r="F50" s="14">
        <v>0.042</v>
      </c>
      <c r="G50" s="15">
        <v>107.0</v>
      </c>
      <c r="H50" s="15">
        <v>100.0</v>
      </c>
      <c r="I50" s="15">
        <v>107.0</v>
      </c>
      <c r="J50" s="15">
        <v>97.0</v>
      </c>
      <c r="K50" s="15">
        <v>98.0</v>
      </c>
      <c r="L50" s="15">
        <v>119.0</v>
      </c>
      <c r="M50" s="15">
        <v>118.0</v>
      </c>
      <c r="N50" s="15">
        <v>125.0</v>
      </c>
    </row>
    <row r="51">
      <c r="A51" s="10">
        <v>680777.0</v>
      </c>
      <c r="B51" s="11" t="s">
        <v>72</v>
      </c>
      <c r="C51" s="12">
        <v>939.0</v>
      </c>
      <c r="D51" s="10">
        <v>432.0</v>
      </c>
      <c r="E51" s="13">
        <v>150.0</v>
      </c>
      <c r="F51" s="14">
        <v>-0.051</v>
      </c>
      <c r="G51" s="15">
        <v>104.0</v>
      </c>
      <c r="H51" s="15">
        <v>111.0</v>
      </c>
      <c r="I51" s="15">
        <v>74.0</v>
      </c>
      <c r="J51" s="15">
        <v>120.0</v>
      </c>
      <c r="K51" s="15">
        <v>95.0</v>
      </c>
      <c r="L51" s="15">
        <v>117.0</v>
      </c>
      <c r="M51" s="15">
        <v>118.0</v>
      </c>
      <c r="N51" s="15">
        <v>99.0</v>
      </c>
    </row>
    <row r="52">
      <c r="A52" s="10">
        <v>592518.0</v>
      </c>
      <c r="B52" s="11" t="s">
        <v>30</v>
      </c>
      <c r="C52" s="12">
        <v>2337.0</v>
      </c>
      <c r="D52" s="10">
        <v>1187.0</v>
      </c>
      <c r="E52" s="13">
        <v>443.0</v>
      </c>
      <c r="F52" s="14">
        <v>0.037</v>
      </c>
      <c r="G52" s="15">
        <v>112.0</v>
      </c>
      <c r="H52" s="15">
        <v>105.0</v>
      </c>
      <c r="I52" s="15">
        <v>117.0</v>
      </c>
      <c r="J52" s="15">
        <v>99.0</v>
      </c>
      <c r="K52" s="15">
        <v>106.0</v>
      </c>
      <c r="L52" s="15">
        <v>111.0</v>
      </c>
      <c r="M52" s="15">
        <v>118.0</v>
      </c>
      <c r="N52" s="15">
        <v>132.0</v>
      </c>
    </row>
    <row r="53">
      <c r="A53" s="10">
        <v>673548.0</v>
      </c>
      <c r="B53" s="11" t="s">
        <v>36</v>
      </c>
      <c r="C53" s="12">
        <v>1813.0</v>
      </c>
      <c r="D53" s="10">
        <v>707.0</v>
      </c>
      <c r="E53" s="13">
        <v>277.0</v>
      </c>
      <c r="F53" s="14">
        <v>-0.1</v>
      </c>
      <c r="G53" s="15">
        <v>93.0</v>
      </c>
      <c r="H53" s="15">
        <v>114.0</v>
      </c>
      <c r="I53" s="15">
        <v>75.0</v>
      </c>
      <c r="J53" s="15">
        <v>122.0</v>
      </c>
      <c r="K53" s="15">
        <v>100.0</v>
      </c>
      <c r="L53" s="15">
        <v>112.0</v>
      </c>
      <c r="M53" s="15">
        <v>118.0</v>
      </c>
      <c r="N53" s="15">
        <v>119.0</v>
      </c>
    </row>
    <row r="54">
      <c r="A54" s="10">
        <v>571970.0</v>
      </c>
      <c r="B54" s="11" t="s">
        <v>43</v>
      </c>
      <c r="C54" s="12">
        <v>2403.0</v>
      </c>
      <c r="D54" s="10">
        <v>930.0</v>
      </c>
      <c r="E54" s="13">
        <v>325.0</v>
      </c>
      <c r="F54" s="14">
        <v>-0.08</v>
      </c>
      <c r="G54" s="15">
        <v>111.0</v>
      </c>
      <c r="H54" s="15">
        <v>127.0</v>
      </c>
      <c r="I54" s="15">
        <v>93.0</v>
      </c>
      <c r="J54" s="15">
        <v>128.0</v>
      </c>
      <c r="K54" s="15">
        <v>85.0</v>
      </c>
      <c r="L54" s="15">
        <v>114.0</v>
      </c>
      <c r="M54" s="15">
        <v>118.0</v>
      </c>
      <c r="N54" s="15">
        <v>105.0</v>
      </c>
    </row>
    <row r="55">
      <c r="A55" s="10">
        <v>656305.0</v>
      </c>
      <c r="B55" s="11" t="s">
        <v>127</v>
      </c>
      <c r="C55" s="12">
        <v>2611.0</v>
      </c>
      <c r="D55" s="10">
        <v>1096.0</v>
      </c>
      <c r="E55" s="13">
        <v>370.0</v>
      </c>
      <c r="F55" s="14">
        <v>-0.068</v>
      </c>
      <c r="G55" s="15">
        <v>116.0</v>
      </c>
      <c r="H55" s="15">
        <v>121.0</v>
      </c>
      <c r="I55" s="15">
        <v>86.0</v>
      </c>
      <c r="J55" s="15">
        <v>125.0</v>
      </c>
      <c r="K55" s="15">
        <v>88.0</v>
      </c>
      <c r="L55" s="15">
        <v>116.0</v>
      </c>
      <c r="M55" s="15">
        <v>118.0</v>
      </c>
      <c r="N55" s="15">
        <v>112.0</v>
      </c>
    </row>
    <row r="56">
      <c r="A56" s="10">
        <v>593871.0</v>
      </c>
      <c r="B56" s="11" t="s">
        <v>116</v>
      </c>
      <c r="C56" s="12">
        <v>1880.0</v>
      </c>
      <c r="D56" s="10">
        <v>798.0</v>
      </c>
      <c r="E56" s="13">
        <v>283.0</v>
      </c>
      <c r="F56" s="14">
        <v>-0.039</v>
      </c>
      <c r="G56" s="15">
        <v>96.0</v>
      </c>
      <c r="H56" s="15">
        <v>110.0</v>
      </c>
      <c r="I56" s="15">
        <v>101.0</v>
      </c>
      <c r="J56" s="15">
        <v>109.0</v>
      </c>
      <c r="K56" s="15">
        <v>100.0</v>
      </c>
      <c r="L56" s="15">
        <v>114.0</v>
      </c>
      <c r="M56" s="15">
        <v>118.0</v>
      </c>
      <c r="N56" s="15">
        <v>107.0</v>
      </c>
    </row>
    <row r="57">
      <c r="A57" s="10">
        <v>668939.0</v>
      </c>
      <c r="B57" s="11" t="s">
        <v>90</v>
      </c>
      <c r="C57" s="12">
        <v>1996.0</v>
      </c>
      <c r="D57" s="10">
        <v>807.0</v>
      </c>
      <c r="E57" s="13">
        <v>311.0</v>
      </c>
      <c r="F57" s="14">
        <v>-0.057</v>
      </c>
      <c r="G57" s="15">
        <v>102.0</v>
      </c>
      <c r="H57" s="15">
        <v>114.0</v>
      </c>
      <c r="I57" s="15">
        <v>96.0</v>
      </c>
      <c r="J57" s="15">
        <v>113.0</v>
      </c>
      <c r="K57" s="15">
        <v>117.0</v>
      </c>
      <c r="L57" s="15">
        <v>104.0</v>
      </c>
      <c r="M57" s="15">
        <v>118.0</v>
      </c>
      <c r="N57" s="15">
        <v>115.0</v>
      </c>
    </row>
    <row r="58">
      <c r="A58" s="10">
        <v>665862.0</v>
      </c>
      <c r="B58" s="11" t="s">
        <v>87</v>
      </c>
      <c r="C58" s="12">
        <v>943.0</v>
      </c>
      <c r="D58" s="10">
        <v>445.0</v>
      </c>
      <c r="E58" s="13">
        <v>150.0</v>
      </c>
      <c r="F58" s="14">
        <v>-0.019</v>
      </c>
      <c r="G58" s="15">
        <v>102.0</v>
      </c>
      <c r="H58" s="15">
        <v>104.0</v>
      </c>
      <c r="I58" s="15">
        <v>102.0</v>
      </c>
      <c r="J58" s="15">
        <v>102.0</v>
      </c>
      <c r="K58" s="15">
        <v>92.0</v>
      </c>
      <c r="L58" s="15">
        <v>121.0</v>
      </c>
      <c r="M58" s="15">
        <v>118.0</v>
      </c>
      <c r="N58" s="15">
        <v>122.0</v>
      </c>
    </row>
    <row r="59">
      <c r="A59" s="10">
        <v>596129.0</v>
      </c>
      <c r="B59" s="11" t="s">
        <v>589</v>
      </c>
      <c r="C59" s="12">
        <v>2082.0</v>
      </c>
      <c r="D59" s="10">
        <v>672.0</v>
      </c>
      <c r="E59" s="13">
        <v>270.0</v>
      </c>
      <c r="F59" s="14">
        <v>-0.132</v>
      </c>
      <c r="G59" s="15">
        <v>74.0</v>
      </c>
      <c r="H59" s="15">
        <v>94.0</v>
      </c>
      <c r="I59" s="15">
        <v>44.0</v>
      </c>
      <c r="J59" s="15">
        <v>113.0</v>
      </c>
      <c r="K59" s="15">
        <v>117.0</v>
      </c>
      <c r="L59" s="15">
        <v>119.0</v>
      </c>
      <c r="M59" s="15">
        <v>117.0</v>
      </c>
      <c r="N59" s="15">
        <v>113.0</v>
      </c>
    </row>
    <row r="60">
      <c r="A60" s="10">
        <v>514888.0</v>
      </c>
      <c r="B60" s="11" t="s">
        <v>277</v>
      </c>
      <c r="C60" s="12">
        <v>2293.0</v>
      </c>
      <c r="D60" s="10">
        <v>1017.0</v>
      </c>
      <c r="E60" s="13">
        <v>438.0</v>
      </c>
      <c r="F60" s="14">
        <v>-0.005</v>
      </c>
      <c r="G60" s="15">
        <v>95.0</v>
      </c>
      <c r="H60" s="15">
        <v>99.0</v>
      </c>
      <c r="I60" s="15">
        <v>95.0</v>
      </c>
      <c r="J60" s="15">
        <v>100.0</v>
      </c>
      <c r="K60" s="15">
        <v>120.0</v>
      </c>
      <c r="L60" s="15">
        <v>107.0</v>
      </c>
      <c r="M60" s="15">
        <v>117.0</v>
      </c>
      <c r="N60" s="15">
        <v>131.0</v>
      </c>
    </row>
    <row r="61">
      <c r="A61" s="10">
        <v>673357.0</v>
      </c>
      <c r="B61" s="11" t="s">
        <v>248</v>
      </c>
      <c r="C61" s="12">
        <v>1338.0</v>
      </c>
      <c r="D61" s="10">
        <v>823.0</v>
      </c>
      <c r="E61" s="13">
        <v>302.0</v>
      </c>
      <c r="F61" s="14">
        <v>0.13</v>
      </c>
      <c r="G61" s="15">
        <v>101.0</v>
      </c>
      <c r="H61" s="15">
        <v>93.0</v>
      </c>
      <c r="I61" s="15">
        <v>127.0</v>
      </c>
      <c r="J61" s="15">
        <v>85.0</v>
      </c>
      <c r="K61" s="15">
        <v>108.0</v>
      </c>
      <c r="L61" s="15">
        <v>111.0</v>
      </c>
      <c r="M61" s="15">
        <v>117.0</v>
      </c>
      <c r="N61" s="15">
        <v>111.0</v>
      </c>
    </row>
    <row r="62">
      <c r="A62" s="10">
        <v>656248.0</v>
      </c>
      <c r="B62" s="11" t="s">
        <v>572</v>
      </c>
      <c r="C62" s="12">
        <v>416.0</v>
      </c>
      <c r="D62" s="10">
        <v>157.0</v>
      </c>
      <c r="E62" s="13">
        <v>50.0</v>
      </c>
      <c r="F62" s="14">
        <v>-0.093</v>
      </c>
      <c r="G62" s="15">
        <v>103.0</v>
      </c>
      <c r="H62" s="15">
        <v>121.0</v>
      </c>
      <c r="I62" s="15">
        <v>76.0</v>
      </c>
      <c r="J62" s="15">
        <v>127.0</v>
      </c>
      <c r="K62" s="15">
        <v>101.0</v>
      </c>
      <c r="L62" s="15">
        <v>108.0</v>
      </c>
      <c r="M62" s="15">
        <v>117.0</v>
      </c>
      <c r="N62" s="15">
        <v>131.0</v>
      </c>
    </row>
    <row r="63">
      <c r="A63" s="10">
        <v>656555.0</v>
      </c>
      <c r="B63" s="11" t="s">
        <v>158</v>
      </c>
      <c r="C63" s="12">
        <v>2869.0</v>
      </c>
      <c r="D63" s="10">
        <v>1199.0</v>
      </c>
      <c r="E63" s="13">
        <v>422.0</v>
      </c>
      <c r="F63" s="14">
        <v>-0.07</v>
      </c>
      <c r="G63" s="15">
        <v>105.0</v>
      </c>
      <c r="H63" s="15">
        <v>112.0</v>
      </c>
      <c r="I63" s="15">
        <v>87.0</v>
      </c>
      <c r="J63" s="15">
        <v>115.0</v>
      </c>
      <c r="K63" s="15">
        <v>100.0</v>
      </c>
      <c r="L63" s="15">
        <v>113.0</v>
      </c>
      <c r="M63" s="15">
        <v>116.0</v>
      </c>
      <c r="N63" s="15">
        <v>116.0</v>
      </c>
    </row>
    <row r="64">
      <c r="A64" s="10">
        <v>657077.0</v>
      </c>
      <c r="B64" s="11" t="s">
        <v>220</v>
      </c>
      <c r="C64" s="12">
        <v>2466.0</v>
      </c>
      <c r="D64" s="10">
        <v>1110.0</v>
      </c>
      <c r="E64" s="13">
        <v>508.0</v>
      </c>
      <c r="F64" s="14">
        <v>-0.021</v>
      </c>
      <c r="G64" s="15">
        <v>95.0</v>
      </c>
      <c r="H64" s="15">
        <v>100.0</v>
      </c>
      <c r="I64" s="15">
        <v>96.0</v>
      </c>
      <c r="J64" s="15">
        <v>101.0</v>
      </c>
      <c r="K64" s="15">
        <v>126.0</v>
      </c>
      <c r="L64" s="15">
        <v>103.0</v>
      </c>
      <c r="M64" s="15">
        <v>116.0</v>
      </c>
      <c r="N64" s="15">
        <v>110.0</v>
      </c>
    </row>
    <row r="65">
      <c r="A65" s="10">
        <v>683734.0</v>
      </c>
      <c r="B65" s="11" t="s">
        <v>107</v>
      </c>
      <c r="C65" s="12">
        <v>2048.0</v>
      </c>
      <c r="D65" s="10">
        <v>962.0</v>
      </c>
      <c r="E65" s="13">
        <v>410.0</v>
      </c>
      <c r="F65" s="14">
        <v>-0.005</v>
      </c>
      <c r="G65" s="15">
        <v>76.0</v>
      </c>
      <c r="H65" s="15">
        <v>90.0</v>
      </c>
      <c r="I65" s="15">
        <v>99.0</v>
      </c>
      <c r="J65" s="15">
        <v>91.0</v>
      </c>
      <c r="K65" s="15">
        <v>122.0</v>
      </c>
      <c r="L65" s="15">
        <v>108.0</v>
      </c>
      <c r="M65" s="15">
        <v>116.0</v>
      </c>
      <c r="N65" s="15">
        <v>113.0</v>
      </c>
    </row>
    <row r="66">
      <c r="A66" s="10">
        <v>553993.0</v>
      </c>
      <c r="B66" s="11" t="s">
        <v>80</v>
      </c>
      <c r="C66" s="12">
        <v>2600.0</v>
      </c>
      <c r="D66" s="10">
        <v>1087.0</v>
      </c>
      <c r="E66" s="13">
        <v>347.0</v>
      </c>
      <c r="F66" s="14">
        <v>-0.066</v>
      </c>
      <c r="G66" s="15">
        <v>115.0</v>
      </c>
      <c r="H66" s="15">
        <v>115.0</v>
      </c>
      <c r="I66" s="15">
        <v>82.0</v>
      </c>
      <c r="J66" s="15">
        <v>120.0</v>
      </c>
      <c r="K66" s="15">
        <v>75.0</v>
      </c>
      <c r="L66" s="15">
        <v>127.0</v>
      </c>
      <c r="M66" s="15">
        <v>116.0</v>
      </c>
      <c r="N66" s="15">
        <v>112.0</v>
      </c>
    </row>
    <row r="67">
      <c r="A67" s="10">
        <v>666182.0</v>
      </c>
      <c r="B67" s="11" t="s">
        <v>48</v>
      </c>
      <c r="C67" s="12">
        <v>2495.0</v>
      </c>
      <c r="D67" s="10">
        <v>1399.0</v>
      </c>
      <c r="E67" s="13">
        <v>493.0</v>
      </c>
      <c r="F67" s="14">
        <v>0.066</v>
      </c>
      <c r="G67" s="15">
        <v>105.0</v>
      </c>
      <c r="H67" s="15">
        <v>95.0</v>
      </c>
      <c r="I67" s="15">
        <v>114.0</v>
      </c>
      <c r="J67" s="15">
        <v>90.0</v>
      </c>
      <c r="K67" s="15">
        <v>107.0</v>
      </c>
      <c r="L67" s="15">
        <v>112.0</v>
      </c>
      <c r="M67" s="15">
        <v>116.0</v>
      </c>
      <c r="N67" s="15">
        <v>119.0</v>
      </c>
    </row>
    <row r="68">
      <c r="A68" s="10">
        <v>624414.0</v>
      </c>
      <c r="B68" s="11" t="s">
        <v>634</v>
      </c>
      <c r="C68" s="12">
        <v>1034.0</v>
      </c>
      <c r="D68" s="10">
        <v>597.0</v>
      </c>
      <c r="E68" s="13">
        <v>235.0</v>
      </c>
      <c r="F68" s="14">
        <v>0.088</v>
      </c>
      <c r="G68" s="15">
        <v>101.0</v>
      </c>
      <c r="H68" s="15">
        <v>89.0</v>
      </c>
      <c r="I68" s="15">
        <v>121.0</v>
      </c>
      <c r="J68" s="15">
        <v>83.0</v>
      </c>
      <c r="K68" s="15">
        <v>117.0</v>
      </c>
      <c r="L68" s="15">
        <v>108.0</v>
      </c>
      <c r="M68" s="15">
        <v>116.0</v>
      </c>
      <c r="N68" s="15">
        <v>110.0</v>
      </c>
    </row>
    <row r="69">
      <c r="A69" s="10">
        <v>663457.0</v>
      </c>
      <c r="B69" s="11" t="s">
        <v>197</v>
      </c>
      <c r="C69" s="12">
        <v>1368.0</v>
      </c>
      <c r="D69" s="10">
        <v>536.0</v>
      </c>
      <c r="E69" s="13">
        <v>219.0</v>
      </c>
      <c r="F69" s="14">
        <v>-0.068</v>
      </c>
      <c r="G69" s="15">
        <v>101.0</v>
      </c>
      <c r="H69" s="15">
        <v>102.0</v>
      </c>
      <c r="I69" s="15">
        <v>63.0</v>
      </c>
      <c r="J69" s="15">
        <v>115.0</v>
      </c>
      <c r="K69" s="15">
        <v>109.0</v>
      </c>
      <c r="L69" s="15">
        <v>112.0</v>
      </c>
      <c r="M69" s="15">
        <v>116.0</v>
      </c>
      <c r="N69" s="15">
        <v>110.0</v>
      </c>
    </row>
    <row r="70">
      <c r="A70" s="10">
        <v>596847.0</v>
      </c>
      <c r="B70" s="11" t="s">
        <v>581</v>
      </c>
      <c r="C70" s="12">
        <v>1823.0</v>
      </c>
      <c r="D70" s="10">
        <v>757.0</v>
      </c>
      <c r="E70" s="13">
        <v>236.0</v>
      </c>
      <c r="F70" s="14">
        <v>-0.046</v>
      </c>
      <c r="G70" s="15">
        <v>125.0</v>
      </c>
      <c r="H70" s="15">
        <v>122.0</v>
      </c>
      <c r="I70" s="15">
        <v>103.0</v>
      </c>
      <c r="J70" s="15">
        <v>118.0</v>
      </c>
      <c r="K70" s="15">
        <v>81.0</v>
      </c>
      <c r="L70" s="15">
        <v>119.0</v>
      </c>
      <c r="M70" s="15">
        <v>116.0</v>
      </c>
      <c r="N70" s="15">
        <v>107.0</v>
      </c>
    </row>
    <row r="71">
      <c r="A71" s="10">
        <v>519203.0</v>
      </c>
      <c r="B71" s="11" t="s">
        <v>504</v>
      </c>
      <c r="C71" s="12">
        <v>2076.0</v>
      </c>
      <c r="D71" s="10">
        <v>948.0</v>
      </c>
      <c r="E71" s="13">
        <v>359.0</v>
      </c>
      <c r="F71" s="14">
        <v>0.001</v>
      </c>
      <c r="G71" s="15">
        <v>96.0</v>
      </c>
      <c r="H71" s="15">
        <v>97.0</v>
      </c>
      <c r="I71" s="15">
        <v>105.0</v>
      </c>
      <c r="J71" s="15">
        <v>96.0</v>
      </c>
      <c r="K71" s="15">
        <v>113.0</v>
      </c>
      <c r="L71" s="15">
        <v>110.0</v>
      </c>
      <c r="M71" s="15">
        <v>116.0</v>
      </c>
      <c r="N71" s="15">
        <v>114.0</v>
      </c>
    </row>
    <row r="72">
      <c r="A72" s="10">
        <v>543807.0</v>
      </c>
      <c r="B72" s="11" t="s">
        <v>24</v>
      </c>
      <c r="C72" s="12">
        <v>2155.0</v>
      </c>
      <c r="D72" s="10">
        <v>1094.0</v>
      </c>
      <c r="E72" s="13">
        <v>413.0</v>
      </c>
      <c r="F72" s="14">
        <v>0.027</v>
      </c>
      <c r="G72" s="15">
        <v>135.0</v>
      </c>
      <c r="H72" s="15">
        <v>123.0</v>
      </c>
      <c r="I72" s="15">
        <v>122.0</v>
      </c>
      <c r="J72" s="15">
        <v>113.0</v>
      </c>
      <c r="K72" s="15">
        <v>106.0</v>
      </c>
      <c r="L72" s="15">
        <v>101.0</v>
      </c>
      <c r="M72" s="15">
        <v>116.0</v>
      </c>
      <c r="N72" s="15">
        <v>116.0</v>
      </c>
    </row>
    <row r="73">
      <c r="A73" s="10">
        <v>592663.0</v>
      </c>
      <c r="B73" s="11" t="s">
        <v>193</v>
      </c>
      <c r="C73" s="12">
        <v>2173.0</v>
      </c>
      <c r="D73" s="10">
        <v>1067.0</v>
      </c>
      <c r="E73" s="13">
        <v>385.0</v>
      </c>
      <c r="F73" s="14">
        <v>0.001</v>
      </c>
      <c r="G73" s="15">
        <v>97.0</v>
      </c>
      <c r="H73" s="15">
        <v>103.0</v>
      </c>
      <c r="I73" s="15">
        <v>106.0</v>
      </c>
      <c r="J73" s="15">
        <v>101.0</v>
      </c>
      <c r="K73" s="15">
        <v>99.0</v>
      </c>
      <c r="L73" s="15">
        <v>114.0</v>
      </c>
      <c r="M73" s="15">
        <v>116.0</v>
      </c>
      <c r="N73" s="15">
        <v>118.0</v>
      </c>
    </row>
    <row r="74">
      <c r="A74" s="10">
        <v>575929.0</v>
      </c>
      <c r="B74" s="11" t="s">
        <v>45</v>
      </c>
      <c r="C74" s="12">
        <v>1771.0</v>
      </c>
      <c r="D74" s="10">
        <v>897.0</v>
      </c>
      <c r="E74" s="13">
        <v>305.0</v>
      </c>
      <c r="F74" s="14">
        <v>0.038</v>
      </c>
      <c r="G74" s="15">
        <v>107.0</v>
      </c>
      <c r="H74" s="15">
        <v>103.0</v>
      </c>
      <c r="I74" s="15">
        <v>106.0</v>
      </c>
      <c r="J74" s="15">
        <v>100.0</v>
      </c>
      <c r="K74" s="15">
        <v>96.0</v>
      </c>
      <c r="L74" s="15">
        <v>116.0</v>
      </c>
      <c r="M74" s="15">
        <v>116.0</v>
      </c>
      <c r="N74" s="15">
        <v>115.0</v>
      </c>
    </row>
    <row r="75">
      <c r="A75" s="10">
        <v>596146.0</v>
      </c>
      <c r="B75" s="11" t="s">
        <v>216</v>
      </c>
      <c r="C75" s="12">
        <v>1638.0</v>
      </c>
      <c r="D75" s="10">
        <v>757.0</v>
      </c>
      <c r="E75" s="13">
        <v>323.0</v>
      </c>
      <c r="F75" s="14">
        <v>0.0</v>
      </c>
      <c r="G75" s="15">
        <v>121.0</v>
      </c>
      <c r="H75" s="15">
        <v>113.0</v>
      </c>
      <c r="I75" s="15">
        <v>106.0</v>
      </c>
      <c r="J75" s="15">
        <v>109.0</v>
      </c>
      <c r="K75" s="15">
        <v>121.0</v>
      </c>
      <c r="L75" s="15">
        <v>98.0</v>
      </c>
      <c r="M75" s="15">
        <v>115.0</v>
      </c>
      <c r="N75" s="15">
        <v>96.0</v>
      </c>
    </row>
    <row r="76">
      <c r="A76" s="10">
        <v>542303.0</v>
      </c>
      <c r="B76" s="11" t="s">
        <v>57</v>
      </c>
      <c r="C76" s="12">
        <v>1999.0</v>
      </c>
      <c r="D76" s="10">
        <v>985.0</v>
      </c>
      <c r="E76" s="13">
        <v>350.0</v>
      </c>
      <c r="F76" s="14">
        <v>0.007</v>
      </c>
      <c r="G76" s="15">
        <v>92.0</v>
      </c>
      <c r="H76" s="15">
        <v>89.0</v>
      </c>
      <c r="I76" s="15">
        <v>101.0</v>
      </c>
      <c r="J76" s="15">
        <v>90.0</v>
      </c>
      <c r="K76" s="15">
        <v>105.0</v>
      </c>
      <c r="L76" s="15">
        <v>117.0</v>
      </c>
      <c r="M76" s="15">
        <v>115.0</v>
      </c>
      <c r="N76" s="15">
        <v>99.0</v>
      </c>
    </row>
    <row r="77">
      <c r="A77" s="10">
        <v>664761.0</v>
      </c>
      <c r="B77" s="11" t="s">
        <v>140</v>
      </c>
      <c r="C77" s="12">
        <v>2282.0</v>
      </c>
      <c r="D77" s="10">
        <v>1169.0</v>
      </c>
      <c r="E77" s="13">
        <v>481.0</v>
      </c>
      <c r="F77" s="14">
        <v>0.034</v>
      </c>
      <c r="G77" s="15">
        <v>104.0</v>
      </c>
      <c r="H77" s="15">
        <v>95.0</v>
      </c>
      <c r="I77" s="15">
        <v>106.0</v>
      </c>
      <c r="J77" s="15">
        <v>93.0</v>
      </c>
      <c r="K77" s="15">
        <v>115.0</v>
      </c>
      <c r="L77" s="15">
        <v>107.0</v>
      </c>
      <c r="M77" s="15">
        <v>115.0</v>
      </c>
      <c r="N77" s="15">
        <v>104.0</v>
      </c>
    </row>
    <row r="78">
      <c r="A78" s="10">
        <v>641933.0</v>
      </c>
      <c r="B78" s="11" t="s">
        <v>185</v>
      </c>
      <c r="C78" s="12">
        <v>1583.0</v>
      </c>
      <c r="D78" s="10">
        <v>732.0</v>
      </c>
      <c r="E78" s="13">
        <v>237.0</v>
      </c>
      <c r="F78" s="14">
        <v>-0.026</v>
      </c>
      <c r="G78" s="15">
        <v>112.0</v>
      </c>
      <c r="H78" s="15">
        <v>112.0</v>
      </c>
      <c r="I78" s="15">
        <v>96.0</v>
      </c>
      <c r="J78" s="15">
        <v>113.0</v>
      </c>
      <c r="K78" s="15">
        <v>86.0</v>
      </c>
      <c r="L78" s="15">
        <v>119.0</v>
      </c>
      <c r="M78" s="15">
        <v>115.0</v>
      </c>
      <c r="N78" s="15">
        <v>104.0</v>
      </c>
    </row>
    <row r="79">
      <c r="A79" s="10">
        <v>669742.0</v>
      </c>
      <c r="B79" s="11" t="s">
        <v>675</v>
      </c>
      <c r="C79" s="12">
        <v>537.0</v>
      </c>
      <c r="D79" s="10">
        <v>281.0</v>
      </c>
      <c r="E79" s="13">
        <v>90.0</v>
      </c>
      <c r="F79" s="14">
        <v>0.034</v>
      </c>
      <c r="G79" s="15">
        <v>106.0</v>
      </c>
      <c r="H79" s="15">
        <v>87.0</v>
      </c>
      <c r="I79" s="15">
        <v>97.0</v>
      </c>
      <c r="J79" s="15">
        <v>89.0</v>
      </c>
      <c r="K79" s="15">
        <v>95.0</v>
      </c>
      <c r="L79" s="15">
        <v>125.0</v>
      </c>
      <c r="M79" s="15">
        <v>115.0</v>
      </c>
      <c r="N79" s="15">
        <v>116.0</v>
      </c>
    </row>
    <row r="80">
      <c r="A80" s="10">
        <v>518934.0</v>
      </c>
      <c r="B80" s="11" t="s">
        <v>258</v>
      </c>
      <c r="C80" s="12">
        <v>2131.0</v>
      </c>
      <c r="D80" s="10">
        <v>841.0</v>
      </c>
      <c r="E80" s="13">
        <v>394.0</v>
      </c>
      <c r="F80" s="14">
        <v>-0.097</v>
      </c>
      <c r="G80" s="15">
        <v>75.0</v>
      </c>
      <c r="H80" s="15">
        <v>113.0</v>
      </c>
      <c r="I80" s="15">
        <v>90.0</v>
      </c>
      <c r="J80" s="15">
        <v>116.0</v>
      </c>
      <c r="K80" s="15">
        <v>127.0</v>
      </c>
      <c r="L80" s="15">
        <v>97.0</v>
      </c>
      <c r="M80" s="15">
        <v>115.0</v>
      </c>
      <c r="N80" s="15">
        <v>110.0</v>
      </c>
    </row>
    <row r="81">
      <c r="A81" s="10">
        <v>621566.0</v>
      </c>
      <c r="B81" s="11" t="s">
        <v>52</v>
      </c>
      <c r="C81" s="12">
        <v>2873.0</v>
      </c>
      <c r="D81" s="10">
        <v>1426.0</v>
      </c>
      <c r="E81" s="13">
        <v>447.0</v>
      </c>
      <c r="F81" s="14">
        <v>0.039</v>
      </c>
      <c r="G81" s="15">
        <v>118.0</v>
      </c>
      <c r="H81" s="15">
        <v>104.0</v>
      </c>
      <c r="I81" s="15">
        <v>114.0</v>
      </c>
      <c r="J81" s="15">
        <v>99.0</v>
      </c>
      <c r="K81" s="15">
        <v>91.0</v>
      </c>
      <c r="L81" s="15">
        <v>120.0</v>
      </c>
      <c r="M81" s="15">
        <v>115.0</v>
      </c>
      <c r="N81" s="15">
        <v>108.0</v>
      </c>
    </row>
    <row r="82">
      <c r="A82" s="10">
        <v>457759.0</v>
      </c>
      <c r="B82" s="11" t="s">
        <v>276</v>
      </c>
      <c r="C82" s="12">
        <v>2114.0</v>
      </c>
      <c r="D82" s="10">
        <v>1022.0</v>
      </c>
      <c r="E82" s="13">
        <v>383.0</v>
      </c>
      <c r="F82" s="14">
        <v>0.01</v>
      </c>
      <c r="G82" s="15">
        <v>112.0</v>
      </c>
      <c r="H82" s="15">
        <v>110.0</v>
      </c>
      <c r="I82" s="15">
        <v>113.0</v>
      </c>
      <c r="J82" s="15">
        <v>104.0</v>
      </c>
      <c r="K82" s="15">
        <v>105.0</v>
      </c>
      <c r="L82" s="15">
        <v>107.0</v>
      </c>
      <c r="M82" s="15">
        <v>115.0</v>
      </c>
      <c r="N82" s="15">
        <v>112.0</v>
      </c>
    </row>
    <row r="83">
      <c r="A83" s="10">
        <v>624585.0</v>
      </c>
      <c r="B83" s="11" t="s">
        <v>226</v>
      </c>
      <c r="C83" s="12">
        <v>1263.0</v>
      </c>
      <c r="D83" s="10">
        <v>582.0</v>
      </c>
      <c r="E83" s="13">
        <v>180.0</v>
      </c>
      <c r="F83" s="14">
        <v>-0.03</v>
      </c>
      <c r="G83" s="15">
        <v>116.0</v>
      </c>
      <c r="H83" s="15">
        <v>119.0</v>
      </c>
      <c r="I83" s="15">
        <v>102.0</v>
      </c>
      <c r="J83" s="15">
        <v>116.0</v>
      </c>
      <c r="K83" s="15">
        <v>87.0</v>
      </c>
      <c r="L83" s="15">
        <v>115.0</v>
      </c>
      <c r="M83" s="15">
        <v>115.0</v>
      </c>
      <c r="N83" s="15">
        <v>106.0</v>
      </c>
    </row>
    <row r="84">
      <c r="A84" s="10">
        <v>677594.0</v>
      </c>
      <c r="B84" s="11" t="s">
        <v>179</v>
      </c>
      <c r="C84" s="12">
        <v>2069.0</v>
      </c>
      <c r="D84" s="10">
        <v>1038.0</v>
      </c>
      <c r="E84" s="13">
        <v>364.0</v>
      </c>
      <c r="F84" s="14">
        <v>0.027</v>
      </c>
      <c r="G84" s="15">
        <v>98.0</v>
      </c>
      <c r="H84" s="15">
        <v>92.0</v>
      </c>
      <c r="I84" s="15">
        <v>89.0</v>
      </c>
      <c r="J84" s="15">
        <v>97.0</v>
      </c>
      <c r="K84" s="15">
        <v>95.0</v>
      </c>
      <c r="L84" s="15">
        <v>120.0</v>
      </c>
      <c r="M84" s="15">
        <v>114.0</v>
      </c>
      <c r="N84" s="15">
        <v>124.0</v>
      </c>
    </row>
    <row r="85">
      <c r="A85" s="10">
        <v>571745.0</v>
      </c>
      <c r="B85" s="11" t="s">
        <v>472</v>
      </c>
      <c r="C85" s="12">
        <v>985.0</v>
      </c>
      <c r="D85" s="10">
        <v>447.0</v>
      </c>
      <c r="E85" s="13">
        <v>158.0</v>
      </c>
      <c r="F85" s="14">
        <v>-0.037</v>
      </c>
      <c r="G85" s="15">
        <v>100.0</v>
      </c>
      <c r="H85" s="15">
        <v>105.0</v>
      </c>
      <c r="I85" s="15">
        <v>96.0</v>
      </c>
      <c r="J85" s="15">
        <v>105.0</v>
      </c>
      <c r="K85" s="15">
        <v>96.0</v>
      </c>
      <c r="L85" s="15">
        <v>115.0</v>
      </c>
      <c r="M85" s="15">
        <v>114.0</v>
      </c>
      <c r="N85" s="15">
        <v>110.0</v>
      </c>
    </row>
    <row r="86">
      <c r="A86" s="10">
        <v>642133.0</v>
      </c>
      <c r="B86" s="11" t="s">
        <v>85</v>
      </c>
      <c r="C86" s="12">
        <v>2371.0</v>
      </c>
      <c r="D86" s="10">
        <v>1026.0</v>
      </c>
      <c r="E86" s="13">
        <v>407.0</v>
      </c>
      <c r="F86" s="14">
        <v>-0.035</v>
      </c>
      <c r="G86" s="15">
        <v>80.0</v>
      </c>
      <c r="H86" s="15">
        <v>91.0</v>
      </c>
      <c r="I86" s="15">
        <v>85.0</v>
      </c>
      <c r="J86" s="15">
        <v>97.0</v>
      </c>
      <c r="K86" s="15">
        <v>113.0</v>
      </c>
      <c r="L86" s="15">
        <v>112.0</v>
      </c>
      <c r="M86" s="15">
        <v>114.0</v>
      </c>
      <c r="N86" s="15">
        <v>105.0</v>
      </c>
    </row>
    <row r="87">
      <c r="A87" s="10">
        <v>592626.0</v>
      </c>
      <c r="B87" s="11" t="s">
        <v>285</v>
      </c>
      <c r="C87" s="12">
        <v>1666.0</v>
      </c>
      <c r="D87" s="10">
        <v>764.0</v>
      </c>
      <c r="E87" s="13">
        <v>281.0</v>
      </c>
      <c r="F87" s="14">
        <v>0.008</v>
      </c>
      <c r="G87" s="15">
        <v>97.0</v>
      </c>
      <c r="H87" s="15">
        <v>89.0</v>
      </c>
      <c r="I87" s="15">
        <v>90.0</v>
      </c>
      <c r="J87" s="15">
        <v>93.0</v>
      </c>
      <c r="K87" s="15">
        <v>101.0</v>
      </c>
      <c r="L87" s="15">
        <v>119.0</v>
      </c>
      <c r="M87" s="15">
        <v>114.0</v>
      </c>
      <c r="N87" s="15">
        <v>118.0</v>
      </c>
    </row>
    <row r="88">
      <c r="A88" s="10">
        <v>623993.0</v>
      </c>
      <c r="B88" s="11" t="s">
        <v>309</v>
      </c>
      <c r="C88" s="12">
        <v>2597.0</v>
      </c>
      <c r="D88" s="10">
        <v>1239.0</v>
      </c>
      <c r="E88" s="13">
        <v>454.0</v>
      </c>
      <c r="F88" s="14">
        <v>0.009</v>
      </c>
      <c r="G88" s="15">
        <v>91.0</v>
      </c>
      <c r="H88" s="15">
        <v>91.0</v>
      </c>
      <c r="I88" s="15">
        <v>101.0</v>
      </c>
      <c r="J88" s="15">
        <v>92.0</v>
      </c>
      <c r="K88" s="15">
        <v>114.0</v>
      </c>
      <c r="L88" s="15">
        <v>110.0</v>
      </c>
      <c r="M88" s="15">
        <v>114.0</v>
      </c>
      <c r="N88" s="15">
        <v>107.0</v>
      </c>
    </row>
    <row r="89">
      <c r="A89" s="10">
        <v>596103.0</v>
      </c>
      <c r="B89" s="11" t="s">
        <v>51</v>
      </c>
      <c r="C89" s="12">
        <v>1322.0</v>
      </c>
      <c r="D89" s="10">
        <v>596.0</v>
      </c>
      <c r="E89" s="13">
        <v>189.0</v>
      </c>
      <c r="F89" s="14">
        <v>-0.023</v>
      </c>
      <c r="G89" s="15">
        <v>104.0</v>
      </c>
      <c r="H89" s="15">
        <v>107.0</v>
      </c>
      <c r="I89" s="15">
        <v>88.0</v>
      </c>
      <c r="J89" s="15">
        <v>110.0</v>
      </c>
      <c r="K89" s="15">
        <v>91.0</v>
      </c>
      <c r="L89" s="15">
        <v>118.0</v>
      </c>
      <c r="M89" s="15">
        <v>114.0</v>
      </c>
      <c r="N89" s="15">
        <v>107.0</v>
      </c>
    </row>
    <row r="90">
      <c r="A90" s="10">
        <v>666971.0</v>
      </c>
      <c r="B90" s="11" t="s">
        <v>213</v>
      </c>
      <c r="C90" s="12">
        <v>1840.0</v>
      </c>
      <c r="D90" s="10">
        <v>893.0</v>
      </c>
      <c r="E90" s="13">
        <v>367.0</v>
      </c>
      <c r="F90" s="14">
        <v>0.004</v>
      </c>
      <c r="G90" s="15">
        <v>98.0</v>
      </c>
      <c r="H90" s="15">
        <v>107.0</v>
      </c>
      <c r="I90" s="15">
        <v>110.0</v>
      </c>
      <c r="J90" s="15">
        <v>103.0</v>
      </c>
      <c r="K90" s="15">
        <v>114.0</v>
      </c>
      <c r="L90" s="15">
        <v>102.0</v>
      </c>
      <c r="M90" s="15">
        <v>114.0</v>
      </c>
      <c r="N90" s="15">
        <v>110.0</v>
      </c>
    </row>
    <row r="91">
      <c r="A91" s="10">
        <v>602104.0</v>
      </c>
      <c r="B91" s="11" t="s">
        <v>222</v>
      </c>
      <c r="C91" s="12">
        <v>1632.0</v>
      </c>
      <c r="D91" s="10">
        <v>815.0</v>
      </c>
      <c r="E91" s="13">
        <v>310.0</v>
      </c>
      <c r="F91" s="14">
        <v>0.006</v>
      </c>
      <c r="G91" s="15">
        <v>108.0</v>
      </c>
      <c r="H91" s="15">
        <v>114.0</v>
      </c>
      <c r="I91" s="15">
        <v>109.0</v>
      </c>
      <c r="J91" s="15">
        <v>110.0</v>
      </c>
      <c r="K91" s="15">
        <v>96.0</v>
      </c>
      <c r="L91" s="15">
        <v>108.0</v>
      </c>
      <c r="M91" s="15">
        <v>114.0</v>
      </c>
      <c r="N91" s="15">
        <v>107.0</v>
      </c>
    </row>
    <row r="92">
      <c r="A92" s="10">
        <v>663616.0</v>
      </c>
      <c r="B92" s="11" t="s">
        <v>234</v>
      </c>
      <c r="C92" s="12">
        <v>719.0</v>
      </c>
      <c r="D92" s="10">
        <v>299.0</v>
      </c>
      <c r="E92" s="13">
        <v>103.0</v>
      </c>
      <c r="F92" s="14">
        <v>-0.05</v>
      </c>
      <c r="G92" s="15">
        <v>94.0</v>
      </c>
      <c r="H92" s="15">
        <v>103.0</v>
      </c>
      <c r="I92" s="15">
        <v>76.0</v>
      </c>
      <c r="J92" s="15">
        <v>111.0</v>
      </c>
      <c r="K92" s="15">
        <v>86.0</v>
      </c>
      <c r="L92" s="15">
        <v>122.0</v>
      </c>
      <c r="M92" s="15">
        <v>114.0</v>
      </c>
      <c r="N92" s="15">
        <v>106.0</v>
      </c>
    </row>
    <row r="93">
      <c r="A93" s="10">
        <v>571448.0</v>
      </c>
      <c r="B93" s="11" t="s">
        <v>310</v>
      </c>
      <c r="C93" s="12">
        <v>2311.0</v>
      </c>
      <c r="D93" s="10">
        <v>1116.0</v>
      </c>
      <c r="E93" s="13">
        <v>485.0</v>
      </c>
      <c r="F93" s="14">
        <v>0.017</v>
      </c>
      <c r="G93" s="15">
        <v>91.0</v>
      </c>
      <c r="H93" s="15">
        <v>90.0</v>
      </c>
      <c r="I93" s="15">
        <v>97.0</v>
      </c>
      <c r="J93" s="15">
        <v>92.0</v>
      </c>
      <c r="K93" s="15">
        <v>130.0</v>
      </c>
      <c r="L93" s="15">
        <v>102.0</v>
      </c>
      <c r="M93" s="15">
        <v>114.0</v>
      </c>
      <c r="N93" s="15">
        <v>126.0</v>
      </c>
    </row>
    <row r="94">
      <c r="A94" s="10">
        <v>516782.0</v>
      </c>
      <c r="B94" s="11" t="s">
        <v>256</v>
      </c>
      <c r="C94" s="12">
        <v>1899.0</v>
      </c>
      <c r="D94" s="10">
        <v>947.0</v>
      </c>
      <c r="E94" s="13">
        <v>366.0</v>
      </c>
      <c r="F94" s="14">
        <v>0.007</v>
      </c>
      <c r="G94" s="15">
        <v>94.0</v>
      </c>
      <c r="H94" s="15">
        <v>99.0</v>
      </c>
      <c r="I94" s="15">
        <v>106.0</v>
      </c>
      <c r="J94" s="15">
        <v>97.0</v>
      </c>
      <c r="K94" s="15">
        <v>111.0</v>
      </c>
      <c r="L94" s="15">
        <v>107.0</v>
      </c>
      <c r="M94" s="15">
        <v>114.0</v>
      </c>
      <c r="N94" s="15">
        <v>121.0</v>
      </c>
    </row>
    <row r="95">
      <c r="A95" s="10">
        <v>642715.0</v>
      </c>
      <c r="B95" s="11" t="s">
        <v>181</v>
      </c>
      <c r="C95" s="12">
        <v>2443.0</v>
      </c>
      <c r="D95" s="10">
        <v>1202.0</v>
      </c>
      <c r="E95" s="13">
        <v>392.0</v>
      </c>
      <c r="F95" s="14">
        <v>0.001</v>
      </c>
      <c r="G95" s="15">
        <v>111.0</v>
      </c>
      <c r="H95" s="15">
        <v>107.0</v>
      </c>
      <c r="I95" s="15">
        <v>106.0</v>
      </c>
      <c r="J95" s="15">
        <v>104.0</v>
      </c>
      <c r="K95" s="15">
        <v>90.0</v>
      </c>
      <c r="L95" s="15">
        <v>117.0</v>
      </c>
      <c r="M95" s="15">
        <v>114.0</v>
      </c>
      <c r="N95" s="15">
        <v>106.0</v>
      </c>
    </row>
    <row r="96">
      <c r="A96" s="10">
        <v>543309.0</v>
      </c>
      <c r="B96" s="11" t="s">
        <v>299</v>
      </c>
      <c r="C96" s="12">
        <v>899.0</v>
      </c>
      <c r="D96" s="10">
        <v>453.0</v>
      </c>
      <c r="E96" s="13">
        <v>183.0</v>
      </c>
      <c r="F96" s="14">
        <v>0.024</v>
      </c>
      <c r="G96" s="15">
        <v>118.0</v>
      </c>
      <c r="H96" s="15">
        <v>101.0</v>
      </c>
      <c r="I96" s="15">
        <v>98.0</v>
      </c>
      <c r="J96" s="15">
        <v>101.0</v>
      </c>
      <c r="K96" s="15">
        <v>106.0</v>
      </c>
      <c r="L96" s="15">
        <v>108.0</v>
      </c>
      <c r="M96" s="15">
        <v>113.0</v>
      </c>
      <c r="N96" s="15">
        <v>92.0</v>
      </c>
    </row>
    <row r="97">
      <c r="A97" s="10">
        <v>607043.0</v>
      </c>
      <c r="B97" s="11" t="s">
        <v>124</v>
      </c>
      <c r="C97" s="12">
        <v>2751.0</v>
      </c>
      <c r="D97" s="10">
        <v>1206.0</v>
      </c>
      <c r="E97" s="13">
        <v>464.0</v>
      </c>
      <c r="F97" s="14">
        <v>-0.048</v>
      </c>
      <c r="G97" s="15">
        <v>115.0</v>
      </c>
      <c r="H97" s="15">
        <v>130.0</v>
      </c>
      <c r="I97" s="15">
        <v>108.0</v>
      </c>
      <c r="J97" s="15">
        <v>126.0</v>
      </c>
      <c r="K97" s="15">
        <v>110.0</v>
      </c>
      <c r="L97" s="15">
        <v>94.0</v>
      </c>
      <c r="M97" s="15">
        <v>113.0</v>
      </c>
      <c r="N97" s="15">
        <v>121.0</v>
      </c>
    </row>
    <row r="98">
      <c r="A98" s="10">
        <v>624503.0</v>
      </c>
      <c r="B98" s="11" t="s">
        <v>566</v>
      </c>
      <c r="C98" s="12">
        <v>1536.0</v>
      </c>
      <c r="D98" s="10">
        <v>915.0</v>
      </c>
      <c r="E98" s="13">
        <v>308.0</v>
      </c>
      <c r="F98" s="14">
        <v>0.126</v>
      </c>
      <c r="G98" s="15">
        <v>108.0</v>
      </c>
      <c r="H98" s="15">
        <v>89.0</v>
      </c>
      <c r="I98" s="15">
        <v>131.0</v>
      </c>
      <c r="J98" s="15">
        <v>77.0</v>
      </c>
      <c r="K98" s="15">
        <v>96.0</v>
      </c>
      <c r="L98" s="15">
        <v>118.0</v>
      </c>
      <c r="M98" s="15">
        <v>113.0</v>
      </c>
      <c r="N98" s="15">
        <v>106.0</v>
      </c>
    </row>
    <row r="99">
      <c r="A99" s="10">
        <v>650333.0</v>
      </c>
      <c r="B99" s="11" t="s">
        <v>293</v>
      </c>
      <c r="C99" s="12">
        <v>2395.0</v>
      </c>
      <c r="D99" s="10">
        <v>1026.0</v>
      </c>
      <c r="E99" s="13">
        <v>503.0</v>
      </c>
      <c r="F99" s="14">
        <v>-0.025</v>
      </c>
      <c r="G99" s="15">
        <v>104.0</v>
      </c>
      <c r="H99" s="15">
        <v>107.0</v>
      </c>
      <c r="I99" s="15">
        <v>111.0</v>
      </c>
      <c r="J99" s="15">
        <v>102.0</v>
      </c>
      <c r="K99" s="15">
        <v>132.0</v>
      </c>
      <c r="L99" s="15">
        <v>95.0</v>
      </c>
      <c r="M99" s="15">
        <v>113.0</v>
      </c>
      <c r="N99" s="15">
        <v>116.0</v>
      </c>
    </row>
    <row r="100">
      <c r="A100" s="10">
        <v>669394.0</v>
      </c>
      <c r="B100" s="11" t="s">
        <v>205</v>
      </c>
      <c r="C100" s="12">
        <v>674.0</v>
      </c>
      <c r="D100" s="10">
        <v>361.0</v>
      </c>
      <c r="E100" s="13">
        <v>114.0</v>
      </c>
      <c r="F100" s="14">
        <v>0.054</v>
      </c>
      <c r="G100" s="15">
        <v>92.0</v>
      </c>
      <c r="H100" s="15">
        <v>93.0</v>
      </c>
      <c r="I100" s="15">
        <v>108.0</v>
      </c>
      <c r="J100" s="15">
        <v>91.0</v>
      </c>
      <c r="K100" s="15">
        <v>82.0</v>
      </c>
      <c r="L100" s="15">
        <v>127.0</v>
      </c>
      <c r="M100" s="15">
        <v>113.0</v>
      </c>
      <c r="N100" s="15">
        <v>111.0</v>
      </c>
    </row>
    <row r="101">
      <c r="A101" s="10">
        <v>572228.0</v>
      </c>
      <c r="B101" s="11" t="s">
        <v>676</v>
      </c>
      <c r="C101" s="12">
        <v>2223.0</v>
      </c>
      <c r="D101" s="10">
        <v>1155.0</v>
      </c>
      <c r="E101" s="13">
        <v>325.0</v>
      </c>
      <c r="F101" s="14">
        <v>0.05</v>
      </c>
      <c r="G101" s="15">
        <v>127.0</v>
      </c>
      <c r="H101" s="15">
        <v>107.0</v>
      </c>
      <c r="I101" s="15">
        <v>107.0</v>
      </c>
      <c r="J101" s="15">
        <v>104.0</v>
      </c>
      <c r="K101" s="15">
        <v>79.0</v>
      </c>
      <c r="L101" s="15">
        <v>125.0</v>
      </c>
      <c r="M101" s="15">
        <v>112.0</v>
      </c>
      <c r="N101" s="15">
        <v>103.0</v>
      </c>
    </row>
    <row r="102">
      <c r="A102" s="10">
        <v>669357.0</v>
      </c>
      <c r="B102" s="11" t="s">
        <v>174</v>
      </c>
      <c r="C102" s="12">
        <v>1298.0</v>
      </c>
      <c r="D102" s="10">
        <v>662.0</v>
      </c>
      <c r="E102" s="13">
        <v>179.0</v>
      </c>
      <c r="F102" s="14">
        <v>0.041</v>
      </c>
      <c r="G102" s="15">
        <v>106.0</v>
      </c>
      <c r="H102" s="15">
        <v>96.0</v>
      </c>
      <c r="I102" s="15">
        <v>116.0</v>
      </c>
      <c r="J102" s="15">
        <v>91.0</v>
      </c>
      <c r="K102" s="15">
        <v>72.0</v>
      </c>
      <c r="L102" s="15">
        <v>137.0</v>
      </c>
      <c r="M102" s="15">
        <v>112.0</v>
      </c>
      <c r="N102" s="15">
        <v>100.0</v>
      </c>
    </row>
    <row r="103">
      <c r="A103" s="10">
        <v>457705.0</v>
      </c>
      <c r="B103" s="11" t="s">
        <v>120</v>
      </c>
      <c r="C103" s="12">
        <v>2336.0</v>
      </c>
      <c r="D103" s="10">
        <v>1050.0</v>
      </c>
      <c r="E103" s="13">
        <v>389.0</v>
      </c>
      <c r="F103" s="14">
        <v>-0.048</v>
      </c>
      <c r="G103" s="15">
        <v>123.0</v>
      </c>
      <c r="H103" s="15">
        <v>128.0</v>
      </c>
      <c r="I103" s="15">
        <v>108.0</v>
      </c>
      <c r="J103" s="15">
        <v>123.0</v>
      </c>
      <c r="K103" s="15">
        <v>96.0</v>
      </c>
      <c r="L103" s="15">
        <v>100.0</v>
      </c>
      <c r="M103" s="15">
        <v>112.0</v>
      </c>
      <c r="N103" s="15">
        <v>106.0</v>
      </c>
    </row>
    <row r="104">
      <c r="A104" s="10">
        <v>687093.0</v>
      </c>
      <c r="B104" s="11" t="s">
        <v>677</v>
      </c>
      <c r="C104" s="12">
        <v>583.0</v>
      </c>
      <c r="D104" s="10">
        <v>302.0</v>
      </c>
      <c r="E104" s="13">
        <v>105.0</v>
      </c>
      <c r="F104" s="14">
        <v>0.046</v>
      </c>
      <c r="G104" s="15">
        <v>96.0</v>
      </c>
      <c r="H104" s="15">
        <v>92.0</v>
      </c>
      <c r="I104" s="15">
        <v>104.0</v>
      </c>
      <c r="J104" s="15">
        <v>91.0</v>
      </c>
      <c r="K104" s="15">
        <v>115.0</v>
      </c>
      <c r="L104" s="15">
        <v>106.0</v>
      </c>
      <c r="M104" s="15">
        <v>112.0</v>
      </c>
      <c r="N104" s="15">
        <v>115.0</v>
      </c>
    </row>
    <row r="105">
      <c r="A105" s="10">
        <v>683002.0</v>
      </c>
      <c r="B105" s="11" t="s">
        <v>173</v>
      </c>
      <c r="C105" s="12">
        <v>536.0</v>
      </c>
      <c r="D105" s="10">
        <v>219.0</v>
      </c>
      <c r="E105" s="13">
        <v>81.0</v>
      </c>
      <c r="F105" s="14">
        <v>-0.041</v>
      </c>
      <c r="G105" s="15">
        <v>110.0</v>
      </c>
      <c r="H105" s="15">
        <v>110.0</v>
      </c>
      <c r="I105" s="15">
        <v>84.0</v>
      </c>
      <c r="J105" s="15">
        <v>114.0</v>
      </c>
      <c r="K105" s="15">
        <v>97.0</v>
      </c>
      <c r="L105" s="15">
        <v>109.0</v>
      </c>
      <c r="M105" s="15">
        <v>112.0</v>
      </c>
      <c r="N105" s="15">
        <v>111.0</v>
      </c>
    </row>
    <row r="106">
      <c r="A106" s="10">
        <v>671277.0</v>
      </c>
      <c r="B106" s="11" t="s">
        <v>115</v>
      </c>
      <c r="C106" s="12">
        <v>1314.0</v>
      </c>
      <c r="D106" s="10">
        <v>703.0</v>
      </c>
      <c r="E106" s="13">
        <v>280.0</v>
      </c>
      <c r="F106" s="14">
        <v>0.057</v>
      </c>
      <c r="G106" s="15">
        <v>72.0</v>
      </c>
      <c r="H106" s="15">
        <v>80.0</v>
      </c>
      <c r="I106" s="15">
        <v>102.0</v>
      </c>
      <c r="J106" s="15">
        <v>82.0</v>
      </c>
      <c r="K106" s="15">
        <v>104.0</v>
      </c>
      <c r="L106" s="15">
        <v>115.0</v>
      </c>
      <c r="M106" s="15">
        <v>111.0</v>
      </c>
      <c r="N106" s="15">
        <v>100.0</v>
      </c>
    </row>
    <row r="107">
      <c r="A107" s="10">
        <v>446334.0</v>
      </c>
      <c r="B107" s="11" t="s">
        <v>585</v>
      </c>
      <c r="C107" s="12">
        <v>1176.0</v>
      </c>
      <c r="D107" s="10">
        <v>522.0</v>
      </c>
      <c r="E107" s="13">
        <v>184.0</v>
      </c>
      <c r="F107" s="14">
        <v>-0.056</v>
      </c>
      <c r="G107" s="15">
        <v>102.0</v>
      </c>
      <c r="H107" s="15">
        <v>109.0</v>
      </c>
      <c r="I107" s="15">
        <v>81.0</v>
      </c>
      <c r="J107" s="15">
        <v>115.0</v>
      </c>
      <c r="K107" s="15">
        <v>83.0</v>
      </c>
      <c r="L107" s="15">
        <v>117.0</v>
      </c>
      <c r="M107" s="15">
        <v>111.0</v>
      </c>
      <c r="N107" s="15">
        <v>111.0</v>
      </c>
    </row>
    <row r="108">
      <c r="A108" s="10">
        <v>658668.0</v>
      </c>
      <c r="B108" s="11" t="s">
        <v>456</v>
      </c>
      <c r="C108" s="12">
        <v>678.0</v>
      </c>
      <c r="D108" s="10">
        <v>347.0</v>
      </c>
      <c r="E108" s="13">
        <v>126.0</v>
      </c>
      <c r="F108" s="14">
        <v>0.024</v>
      </c>
      <c r="G108" s="15">
        <v>106.0</v>
      </c>
      <c r="H108" s="15">
        <v>101.0</v>
      </c>
      <c r="I108" s="15">
        <v>116.0</v>
      </c>
      <c r="J108" s="15">
        <v>95.0</v>
      </c>
      <c r="K108" s="15">
        <v>109.0</v>
      </c>
      <c r="L108" s="15">
        <v>104.0</v>
      </c>
      <c r="M108" s="15">
        <v>111.0</v>
      </c>
      <c r="N108" s="15">
        <v>110.0</v>
      </c>
    </row>
    <row r="109">
      <c r="A109" s="10">
        <v>663898.0</v>
      </c>
      <c r="B109" s="11" t="s">
        <v>261</v>
      </c>
      <c r="C109" s="12">
        <v>2090.0</v>
      </c>
      <c r="D109" s="10">
        <v>1033.0</v>
      </c>
      <c r="E109" s="13">
        <v>423.0</v>
      </c>
      <c r="F109" s="14">
        <v>0.01</v>
      </c>
      <c r="G109" s="15">
        <v>117.0</v>
      </c>
      <c r="H109" s="15">
        <v>111.0</v>
      </c>
      <c r="I109" s="15">
        <v>114.0</v>
      </c>
      <c r="J109" s="15">
        <v>104.0</v>
      </c>
      <c r="K109" s="15">
        <v>107.0</v>
      </c>
      <c r="L109" s="15">
        <v>101.0</v>
      </c>
      <c r="M109" s="15">
        <v>111.0</v>
      </c>
      <c r="N109" s="15">
        <v>106.0</v>
      </c>
    </row>
    <row r="110">
      <c r="A110" s="10">
        <v>592567.0</v>
      </c>
      <c r="B110" s="11" t="s">
        <v>678</v>
      </c>
      <c r="C110" s="12">
        <v>527.0</v>
      </c>
      <c r="D110" s="10">
        <v>262.0</v>
      </c>
      <c r="E110" s="13">
        <v>81.0</v>
      </c>
      <c r="F110" s="14">
        <v>0.028</v>
      </c>
      <c r="G110" s="15">
        <v>112.0</v>
      </c>
      <c r="H110" s="15">
        <v>101.0</v>
      </c>
      <c r="I110" s="15">
        <v>100.0</v>
      </c>
      <c r="J110" s="15">
        <v>100.0</v>
      </c>
      <c r="K110" s="15">
        <v>100.0</v>
      </c>
      <c r="L110" s="15">
        <v>111.0</v>
      </c>
      <c r="M110" s="15">
        <v>110.0</v>
      </c>
      <c r="N110" s="15">
        <v>96.0</v>
      </c>
    </row>
    <row r="111">
      <c r="A111" s="10">
        <v>677551.0</v>
      </c>
      <c r="B111" s="11" t="s">
        <v>582</v>
      </c>
      <c r="C111" s="12">
        <v>1200.0</v>
      </c>
      <c r="D111" s="10">
        <v>619.0</v>
      </c>
      <c r="E111" s="13">
        <v>283.0</v>
      </c>
      <c r="F111" s="14">
        <v>0.061</v>
      </c>
      <c r="G111" s="15">
        <v>107.0</v>
      </c>
      <c r="H111" s="15">
        <v>99.0</v>
      </c>
      <c r="I111" s="15">
        <v>117.0</v>
      </c>
      <c r="J111" s="15">
        <v>93.0</v>
      </c>
      <c r="K111" s="15">
        <v>124.0</v>
      </c>
      <c r="L111" s="15">
        <v>98.0</v>
      </c>
      <c r="M111" s="15">
        <v>110.0</v>
      </c>
      <c r="N111" s="15">
        <v>107.0</v>
      </c>
    </row>
    <row r="112">
      <c r="A112" s="10">
        <v>502054.0</v>
      </c>
      <c r="B112" s="11" t="s">
        <v>274</v>
      </c>
      <c r="C112" s="12">
        <v>2477.0</v>
      </c>
      <c r="D112" s="10">
        <v>1041.0</v>
      </c>
      <c r="E112" s="13">
        <v>390.0</v>
      </c>
      <c r="F112" s="14">
        <v>-0.083</v>
      </c>
      <c r="G112" s="15">
        <v>102.0</v>
      </c>
      <c r="H112" s="15">
        <v>117.0</v>
      </c>
      <c r="I112" s="15">
        <v>91.0</v>
      </c>
      <c r="J112" s="15">
        <v>120.0</v>
      </c>
      <c r="K112" s="15">
        <v>95.0</v>
      </c>
      <c r="L112" s="15">
        <v>105.0</v>
      </c>
      <c r="M112" s="15">
        <v>110.0</v>
      </c>
      <c r="N112" s="15">
        <v>107.0</v>
      </c>
    </row>
    <row r="113">
      <c r="A113" s="10">
        <v>628450.0</v>
      </c>
      <c r="B113" s="11" t="s">
        <v>679</v>
      </c>
      <c r="C113" s="12">
        <v>1291.0</v>
      </c>
      <c r="D113" s="10">
        <v>665.0</v>
      </c>
      <c r="E113" s="13">
        <v>231.0</v>
      </c>
      <c r="F113" s="14">
        <v>0.047</v>
      </c>
      <c r="G113" s="15">
        <v>100.0</v>
      </c>
      <c r="H113" s="15">
        <v>96.0</v>
      </c>
      <c r="I113" s="15">
        <v>119.0</v>
      </c>
      <c r="J113" s="15">
        <v>89.0</v>
      </c>
      <c r="K113" s="15">
        <v>96.0</v>
      </c>
      <c r="L113" s="15">
        <v>113.0</v>
      </c>
      <c r="M113" s="15">
        <v>110.0</v>
      </c>
      <c r="N113" s="15">
        <v>106.0</v>
      </c>
    </row>
    <row r="114">
      <c r="A114" s="10">
        <v>456781.0</v>
      </c>
      <c r="B114" s="11" t="s">
        <v>270</v>
      </c>
      <c r="C114" s="12">
        <v>1125.0</v>
      </c>
      <c r="D114" s="10">
        <v>566.0</v>
      </c>
      <c r="E114" s="13">
        <v>211.0</v>
      </c>
      <c r="F114" s="14">
        <v>0.006</v>
      </c>
      <c r="G114" s="15">
        <v>83.0</v>
      </c>
      <c r="H114" s="15">
        <v>99.0</v>
      </c>
      <c r="I114" s="15">
        <v>108.0</v>
      </c>
      <c r="J114" s="15">
        <v>95.0</v>
      </c>
      <c r="K114" s="15">
        <v>99.0</v>
      </c>
      <c r="L114" s="15">
        <v>110.0</v>
      </c>
      <c r="M114" s="15">
        <v>110.0</v>
      </c>
      <c r="N114" s="15">
        <v>105.0</v>
      </c>
    </row>
    <row r="115">
      <c r="A115" s="10">
        <v>608385.0</v>
      </c>
      <c r="B115" s="11" t="s">
        <v>451</v>
      </c>
      <c r="C115" s="12">
        <v>2212.0</v>
      </c>
      <c r="D115" s="10">
        <v>957.0</v>
      </c>
      <c r="E115" s="13">
        <v>353.0</v>
      </c>
      <c r="F115" s="14">
        <v>-0.024</v>
      </c>
      <c r="G115" s="15">
        <v>128.0</v>
      </c>
      <c r="H115" s="15">
        <v>123.0</v>
      </c>
      <c r="I115" s="15">
        <v>104.0</v>
      </c>
      <c r="J115" s="15">
        <v>120.0</v>
      </c>
      <c r="K115" s="15">
        <v>102.0</v>
      </c>
      <c r="L115" s="15">
        <v>97.0</v>
      </c>
      <c r="M115" s="15">
        <v>110.0</v>
      </c>
      <c r="N115" s="15">
        <v>103.0</v>
      </c>
    </row>
    <row r="116">
      <c r="A116" s="10">
        <v>641598.0</v>
      </c>
      <c r="B116" s="11" t="s">
        <v>259</v>
      </c>
      <c r="C116" s="12">
        <v>934.0</v>
      </c>
      <c r="D116" s="10">
        <v>395.0</v>
      </c>
      <c r="E116" s="13">
        <v>135.0</v>
      </c>
      <c r="F116" s="14">
        <v>-0.086</v>
      </c>
      <c r="G116" s="15">
        <v>98.0</v>
      </c>
      <c r="H116" s="15">
        <v>121.0</v>
      </c>
      <c r="I116" s="15">
        <v>88.0</v>
      </c>
      <c r="J116" s="15">
        <v>125.0</v>
      </c>
      <c r="K116" s="15">
        <v>90.0</v>
      </c>
      <c r="L116" s="15">
        <v>105.0</v>
      </c>
      <c r="M116" s="15">
        <v>109.0</v>
      </c>
      <c r="N116" s="15">
        <v>109.0</v>
      </c>
    </row>
    <row r="117">
      <c r="A117" s="10">
        <v>467793.0</v>
      </c>
      <c r="B117" s="11" t="s">
        <v>264</v>
      </c>
      <c r="C117" s="12">
        <v>2045.0</v>
      </c>
      <c r="D117" s="10">
        <v>876.0</v>
      </c>
      <c r="E117" s="13">
        <v>342.0</v>
      </c>
      <c r="F117" s="14">
        <v>-0.044</v>
      </c>
      <c r="G117" s="15">
        <v>112.0</v>
      </c>
      <c r="H117" s="15">
        <v>109.0</v>
      </c>
      <c r="I117" s="15">
        <v>98.0</v>
      </c>
      <c r="J117" s="15">
        <v>109.0</v>
      </c>
      <c r="K117" s="15">
        <v>112.0</v>
      </c>
      <c r="L117" s="15">
        <v>99.0</v>
      </c>
      <c r="M117" s="15">
        <v>109.0</v>
      </c>
      <c r="N117" s="15">
        <v>94.0</v>
      </c>
    </row>
    <row r="118">
      <c r="A118" s="10">
        <v>669374.0</v>
      </c>
      <c r="B118" s="11" t="s">
        <v>680</v>
      </c>
      <c r="C118" s="12">
        <v>1136.0</v>
      </c>
      <c r="D118" s="10">
        <v>556.0</v>
      </c>
      <c r="E118" s="13">
        <v>124.0</v>
      </c>
      <c r="F118" s="14">
        <v>-0.009</v>
      </c>
      <c r="G118" s="15">
        <v>101.0</v>
      </c>
      <c r="H118" s="15">
        <v>105.0</v>
      </c>
      <c r="I118" s="15">
        <v>101.0</v>
      </c>
      <c r="J118" s="15">
        <v>104.0</v>
      </c>
      <c r="K118" s="15">
        <v>58.0</v>
      </c>
      <c r="L118" s="15">
        <v>147.0</v>
      </c>
      <c r="M118" s="15">
        <v>109.0</v>
      </c>
      <c r="N118" s="15">
        <v>113.0</v>
      </c>
    </row>
    <row r="119">
      <c r="A119" s="10">
        <v>596142.0</v>
      </c>
      <c r="B119" s="11" t="s">
        <v>143</v>
      </c>
      <c r="C119" s="12">
        <v>1862.0</v>
      </c>
      <c r="D119" s="10">
        <v>820.0</v>
      </c>
      <c r="E119" s="13">
        <v>284.0</v>
      </c>
      <c r="F119" s="14">
        <v>-0.041</v>
      </c>
      <c r="G119" s="15">
        <v>81.0</v>
      </c>
      <c r="H119" s="15">
        <v>94.0</v>
      </c>
      <c r="I119" s="15">
        <v>78.0</v>
      </c>
      <c r="J119" s="15">
        <v>102.0</v>
      </c>
      <c r="K119" s="15">
        <v>91.0</v>
      </c>
      <c r="L119" s="15">
        <v>118.0</v>
      </c>
      <c r="M119" s="15">
        <v>109.0</v>
      </c>
      <c r="N119" s="15">
        <v>98.0</v>
      </c>
    </row>
    <row r="120">
      <c r="A120" s="10">
        <v>647304.0</v>
      </c>
      <c r="B120" s="11" t="s">
        <v>177</v>
      </c>
      <c r="C120" s="12">
        <v>1735.0</v>
      </c>
      <c r="D120" s="10">
        <v>881.0</v>
      </c>
      <c r="E120" s="13">
        <v>367.0</v>
      </c>
      <c r="F120" s="14">
        <v>0.078</v>
      </c>
      <c r="G120" s="15">
        <v>100.0</v>
      </c>
      <c r="H120" s="15">
        <v>84.0</v>
      </c>
      <c r="I120" s="15">
        <v>110.0</v>
      </c>
      <c r="J120" s="15">
        <v>84.0</v>
      </c>
      <c r="K120" s="15">
        <v>108.0</v>
      </c>
      <c r="L120" s="15">
        <v>110.0</v>
      </c>
      <c r="M120" s="15">
        <v>109.0</v>
      </c>
      <c r="N120" s="15">
        <v>103.0</v>
      </c>
    </row>
    <row r="121">
      <c r="A121" s="10">
        <v>570482.0</v>
      </c>
      <c r="B121" s="11" t="s">
        <v>230</v>
      </c>
      <c r="C121" s="12">
        <v>2002.0</v>
      </c>
      <c r="D121" s="10">
        <v>1062.0</v>
      </c>
      <c r="E121" s="13">
        <v>409.0</v>
      </c>
      <c r="F121" s="14">
        <v>0.046</v>
      </c>
      <c r="G121" s="15">
        <v>94.0</v>
      </c>
      <c r="H121" s="15">
        <v>95.0</v>
      </c>
      <c r="I121" s="15">
        <v>111.0</v>
      </c>
      <c r="J121" s="15">
        <v>92.0</v>
      </c>
      <c r="K121" s="15">
        <v>109.0</v>
      </c>
      <c r="L121" s="15">
        <v>105.0</v>
      </c>
      <c r="M121" s="15">
        <v>109.0</v>
      </c>
      <c r="N121" s="15">
        <v>109.0</v>
      </c>
    </row>
    <row r="122">
      <c r="A122" s="10">
        <v>676801.0</v>
      </c>
      <c r="B122" s="11" t="s">
        <v>510</v>
      </c>
      <c r="C122" s="12">
        <v>1568.0</v>
      </c>
      <c r="D122" s="10">
        <v>755.0</v>
      </c>
      <c r="E122" s="13">
        <v>252.0</v>
      </c>
      <c r="F122" s="14">
        <v>0.004</v>
      </c>
      <c r="G122" s="15">
        <v>103.0</v>
      </c>
      <c r="H122" s="15">
        <v>109.0</v>
      </c>
      <c r="I122" s="15">
        <v>114.0</v>
      </c>
      <c r="J122" s="15">
        <v>104.0</v>
      </c>
      <c r="K122" s="15">
        <v>86.0</v>
      </c>
      <c r="L122" s="15">
        <v>113.0</v>
      </c>
      <c r="M122" s="15">
        <v>109.0</v>
      </c>
      <c r="N122" s="15">
        <v>109.0</v>
      </c>
    </row>
    <row r="123">
      <c r="A123" s="10">
        <v>592669.0</v>
      </c>
      <c r="B123" s="11" t="s">
        <v>495</v>
      </c>
      <c r="C123" s="12">
        <v>2005.0</v>
      </c>
      <c r="D123" s="10">
        <v>961.0</v>
      </c>
      <c r="E123" s="13">
        <v>356.0</v>
      </c>
      <c r="F123" s="14">
        <v>0.012</v>
      </c>
      <c r="G123" s="15">
        <v>91.0</v>
      </c>
      <c r="H123" s="15">
        <v>85.0</v>
      </c>
      <c r="I123" s="15">
        <v>92.0</v>
      </c>
      <c r="J123" s="15">
        <v>89.0</v>
      </c>
      <c r="K123" s="15">
        <v>109.0</v>
      </c>
      <c r="L123" s="15">
        <v>111.0</v>
      </c>
      <c r="M123" s="15">
        <v>109.0</v>
      </c>
      <c r="N123" s="15">
        <v>114.0</v>
      </c>
    </row>
    <row r="124">
      <c r="A124" s="10">
        <v>656811.0</v>
      </c>
      <c r="B124" s="11" t="s">
        <v>94</v>
      </c>
      <c r="C124" s="12">
        <v>546.0</v>
      </c>
      <c r="D124" s="10">
        <v>270.0</v>
      </c>
      <c r="E124" s="13">
        <v>99.0</v>
      </c>
      <c r="F124" s="14">
        <v>0.026</v>
      </c>
      <c r="G124" s="15">
        <v>98.0</v>
      </c>
      <c r="H124" s="15">
        <v>80.0</v>
      </c>
      <c r="I124" s="15">
        <v>77.0</v>
      </c>
      <c r="J124" s="15">
        <v>89.0</v>
      </c>
      <c r="K124" s="15">
        <v>105.0</v>
      </c>
      <c r="L124" s="15">
        <v>115.0</v>
      </c>
      <c r="M124" s="15">
        <v>109.0</v>
      </c>
      <c r="N124" s="15">
        <v>86.0</v>
      </c>
    </row>
    <row r="125">
      <c r="A125" s="10">
        <v>641313.0</v>
      </c>
      <c r="B125" s="11" t="s">
        <v>568</v>
      </c>
      <c r="C125" s="12">
        <v>1121.0</v>
      </c>
      <c r="D125" s="10">
        <v>645.0</v>
      </c>
      <c r="E125" s="13">
        <v>266.0</v>
      </c>
      <c r="F125" s="14">
        <v>0.118</v>
      </c>
      <c r="G125" s="15">
        <v>94.0</v>
      </c>
      <c r="H125" s="15">
        <v>79.0</v>
      </c>
      <c r="I125" s="15">
        <v>123.0</v>
      </c>
      <c r="J125" s="15">
        <v>73.0</v>
      </c>
      <c r="K125" s="15">
        <v>116.0</v>
      </c>
      <c r="L125" s="15">
        <v>106.0</v>
      </c>
      <c r="M125" s="15">
        <v>109.0</v>
      </c>
      <c r="N125" s="15">
        <v>102.0</v>
      </c>
    </row>
    <row r="126">
      <c r="A126" s="10">
        <v>671213.0</v>
      </c>
      <c r="B126" s="11" t="s">
        <v>170</v>
      </c>
      <c r="C126" s="12">
        <v>406.0</v>
      </c>
      <c r="D126" s="10">
        <v>154.0</v>
      </c>
      <c r="E126" s="13">
        <v>53.0</v>
      </c>
      <c r="F126" s="14">
        <v>-0.069</v>
      </c>
      <c r="G126" s="15">
        <v>112.0</v>
      </c>
      <c r="H126" s="15">
        <v>118.0</v>
      </c>
      <c r="I126" s="15">
        <v>67.0</v>
      </c>
      <c r="J126" s="15">
        <v>126.0</v>
      </c>
      <c r="K126" s="15">
        <v>99.0</v>
      </c>
      <c r="L126" s="15">
        <v>101.0</v>
      </c>
      <c r="M126" s="15">
        <v>109.0</v>
      </c>
      <c r="N126" s="15">
        <v>111.0</v>
      </c>
    </row>
    <row r="127">
      <c r="A127" s="10">
        <v>664034.0</v>
      </c>
      <c r="B127" s="11" t="s">
        <v>97</v>
      </c>
      <c r="C127" s="12">
        <v>2187.0</v>
      </c>
      <c r="D127" s="10">
        <v>1149.0</v>
      </c>
      <c r="E127" s="13">
        <v>457.0</v>
      </c>
      <c r="F127" s="14">
        <v>0.057</v>
      </c>
      <c r="G127" s="15">
        <v>111.0</v>
      </c>
      <c r="H127" s="15">
        <v>100.0</v>
      </c>
      <c r="I127" s="15">
        <v>121.0</v>
      </c>
      <c r="J127" s="15">
        <v>92.0</v>
      </c>
      <c r="K127" s="15">
        <v>110.0</v>
      </c>
      <c r="L127" s="15">
        <v>102.0</v>
      </c>
      <c r="M127" s="15">
        <v>109.0</v>
      </c>
      <c r="N127" s="15">
        <v>111.0</v>
      </c>
    </row>
    <row r="128">
      <c r="A128" s="10">
        <v>669004.0</v>
      </c>
      <c r="B128" s="11" t="s">
        <v>454</v>
      </c>
      <c r="C128" s="12">
        <v>2175.0</v>
      </c>
      <c r="D128" s="10">
        <v>972.0</v>
      </c>
      <c r="E128" s="13">
        <v>334.0</v>
      </c>
      <c r="F128" s="14">
        <v>-0.016</v>
      </c>
      <c r="G128" s="15">
        <v>111.0</v>
      </c>
      <c r="H128" s="15">
        <v>109.0</v>
      </c>
      <c r="I128" s="15">
        <v>96.0</v>
      </c>
      <c r="J128" s="15">
        <v>110.0</v>
      </c>
      <c r="K128" s="15">
        <v>94.0</v>
      </c>
      <c r="L128" s="15">
        <v>107.0</v>
      </c>
      <c r="M128" s="15">
        <v>109.0</v>
      </c>
      <c r="N128" s="15">
        <v>101.0</v>
      </c>
    </row>
    <row r="129">
      <c r="A129" s="10">
        <v>664029.0</v>
      </c>
      <c r="B129" s="11" t="s">
        <v>681</v>
      </c>
      <c r="C129" s="12">
        <v>403.0</v>
      </c>
      <c r="D129" s="10">
        <v>158.0</v>
      </c>
      <c r="E129" s="13">
        <v>52.0</v>
      </c>
      <c r="F129" s="14">
        <v>-0.103</v>
      </c>
      <c r="G129" s="15">
        <v>91.0</v>
      </c>
      <c r="H129" s="15">
        <v>105.0</v>
      </c>
      <c r="I129" s="15">
        <v>58.0</v>
      </c>
      <c r="J129" s="15">
        <v>118.0</v>
      </c>
      <c r="K129" s="15">
        <v>80.0</v>
      </c>
      <c r="L129" s="15">
        <v>119.0</v>
      </c>
      <c r="M129" s="15">
        <v>109.0</v>
      </c>
      <c r="N129" s="15">
        <v>124.0</v>
      </c>
    </row>
    <row r="130">
      <c r="A130" s="10">
        <v>666969.0</v>
      </c>
      <c r="B130" s="11" t="s">
        <v>203</v>
      </c>
      <c r="C130" s="12">
        <v>2516.0</v>
      </c>
      <c r="D130" s="10">
        <v>1348.0</v>
      </c>
      <c r="E130" s="13">
        <v>425.0</v>
      </c>
      <c r="F130" s="14">
        <v>0.056</v>
      </c>
      <c r="G130" s="15">
        <v>95.0</v>
      </c>
      <c r="H130" s="15">
        <v>84.0</v>
      </c>
      <c r="I130" s="15">
        <v>110.0</v>
      </c>
      <c r="J130" s="15">
        <v>83.0</v>
      </c>
      <c r="K130" s="15">
        <v>90.0</v>
      </c>
      <c r="L130" s="15">
        <v>122.0</v>
      </c>
      <c r="M130" s="15">
        <v>108.0</v>
      </c>
      <c r="N130" s="15">
        <v>105.0</v>
      </c>
    </row>
    <row r="131">
      <c r="A131" s="10">
        <v>643217.0</v>
      </c>
      <c r="B131" s="11" t="s">
        <v>144</v>
      </c>
      <c r="C131" s="12">
        <v>1909.0</v>
      </c>
      <c r="D131" s="10">
        <v>922.0</v>
      </c>
      <c r="E131" s="13">
        <v>389.0</v>
      </c>
      <c r="F131" s="14">
        <v>0.035</v>
      </c>
      <c r="G131" s="15">
        <v>127.0</v>
      </c>
      <c r="H131" s="15">
        <v>111.0</v>
      </c>
      <c r="I131" s="15">
        <v>118.0</v>
      </c>
      <c r="J131" s="15">
        <v>103.0</v>
      </c>
      <c r="K131" s="15">
        <v>105.0</v>
      </c>
      <c r="L131" s="15">
        <v>100.0</v>
      </c>
      <c r="M131" s="15">
        <v>108.0</v>
      </c>
      <c r="N131" s="15">
        <v>111.0</v>
      </c>
    </row>
    <row r="132">
      <c r="A132" s="10">
        <v>474832.0</v>
      </c>
      <c r="B132" s="11" t="s">
        <v>584</v>
      </c>
      <c r="C132" s="12">
        <v>1178.0</v>
      </c>
      <c r="D132" s="10">
        <v>555.0</v>
      </c>
      <c r="E132" s="13">
        <v>173.0</v>
      </c>
      <c r="F132" s="14">
        <v>0.007</v>
      </c>
      <c r="G132" s="15">
        <v>139.0</v>
      </c>
      <c r="H132" s="15">
        <v>125.0</v>
      </c>
      <c r="I132" s="15">
        <v>119.0</v>
      </c>
      <c r="J132" s="15">
        <v>116.0</v>
      </c>
      <c r="K132" s="15">
        <v>75.0</v>
      </c>
      <c r="L132" s="15">
        <v>110.0</v>
      </c>
      <c r="M132" s="15">
        <v>108.0</v>
      </c>
      <c r="N132" s="15">
        <v>97.0</v>
      </c>
    </row>
    <row r="133">
      <c r="A133" s="10">
        <v>592885.0</v>
      </c>
      <c r="B133" s="11" t="s">
        <v>139</v>
      </c>
      <c r="C133" s="12">
        <v>2713.0</v>
      </c>
      <c r="D133" s="10">
        <v>1170.0</v>
      </c>
      <c r="E133" s="13">
        <v>410.0</v>
      </c>
      <c r="F133" s="14">
        <v>-0.031</v>
      </c>
      <c r="G133" s="15">
        <v>113.0</v>
      </c>
      <c r="H133" s="15">
        <v>119.0</v>
      </c>
      <c r="I133" s="15">
        <v>107.0</v>
      </c>
      <c r="J133" s="15">
        <v>114.0</v>
      </c>
      <c r="K133" s="15">
        <v>92.0</v>
      </c>
      <c r="L133" s="15">
        <v>103.0</v>
      </c>
      <c r="M133" s="15">
        <v>108.0</v>
      </c>
      <c r="N133" s="15">
        <v>107.0</v>
      </c>
    </row>
    <row r="134">
      <c r="A134" s="10">
        <v>668804.0</v>
      </c>
      <c r="B134" s="11" t="s">
        <v>88</v>
      </c>
      <c r="C134" s="12">
        <v>2284.0</v>
      </c>
      <c r="D134" s="10">
        <v>1148.0</v>
      </c>
      <c r="E134" s="13">
        <v>399.0</v>
      </c>
      <c r="F134" s="14">
        <v>0.044</v>
      </c>
      <c r="G134" s="15">
        <v>114.0</v>
      </c>
      <c r="H134" s="15">
        <v>105.0</v>
      </c>
      <c r="I134" s="15">
        <v>111.0</v>
      </c>
      <c r="J134" s="15">
        <v>101.0</v>
      </c>
      <c r="K134" s="15">
        <v>92.0</v>
      </c>
      <c r="L134" s="15">
        <v>110.0</v>
      </c>
      <c r="M134" s="15">
        <v>108.0</v>
      </c>
      <c r="N134" s="15">
        <v>113.0</v>
      </c>
    </row>
    <row r="135">
      <c r="A135" s="10">
        <v>664913.0</v>
      </c>
      <c r="B135" s="11" t="s">
        <v>491</v>
      </c>
      <c r="C135" s="12">
        <v>2179.0</v>
      </c>
      <c r="D135" s="10">
        <v>1054.0</v>
      </c>
      <c r="E135" s="13">
        <v>352.0</v>
      </c>
      <c r="F135" s="14">
        <v>0.016</v>
      </c>
      <c r="G135" s="15">
        <v>105.0</v>
      </c>
      <c r="H135" s="15">
        <v>92.0</v>
      </c>
      <c r="I135" s="15">
        <v>96.0</v>
      </c>
      <c r="J135" s="15">
        <v>94.0</v>
      </c>
      <c r="K135" s="15">
        <v>96.0</v>
      </c>
      <c r="L135" s="15">
        <v>114.0</v>
      </c>
      <c r="M135" s="15">
        <v>108.0</v>
      </c>
      <c r="N135" s="15">
        <v>103.0</v>
      </c>
    </row>
    <row r="136">
      <c r="A136" s="10">
        <v>607208.0</v>
      </c>
      <c r="B136" s="11" t="s">
        <v>224</v>
      </c>
      <c r="C136" s="12">
        <v>2684.0</v>
      </c>
      <c r="D136" s="10">
        <v>1372.0</v>
      </c>
      <c r="E136" s="13">
        <v>521.0</v>
      </c>
      <c r="F136" s="14">
        <v>0.042</v>
      </c>
      <c r="G136" s="15">
        <v>106.0</v>
      </c>
      <c r="H136" s="15">
        <v>97.0</v>
      </c>
      <c r="I136" s="15">
        <v>116.0</v>
      </c>
      <c r="J136" s="15">
        <v>92.0</v>
      </c>
      <c r="K136" s="15">
        <v>112.0</v>
      </c>
      <c r="L136" s="15">
        <v>102.0</v>
      </c>
      <c r="M136" s="15">
        <v>108.0</v>
      </c>
      <c r="N136" s="15">
        <v>117.0</v>
      </c>
    </row>
    <row r="137">
      <c r="A137" s="10">
        <v>614173.0</v>
      </c>
      <c r="B137" s="11" t="s">
        <v>682</v>
      </c>
      <c r="C137" s="12">
        <v>1083.0</v>
      </c>
      <c r="D137" s="10">
        <v>531.0</v>
      </c>
      <c r="E137" s="13">
        <v>154.0</v>
      </c>
      <c r="F137" s="14">
        <v>0.01</v>
      </c>
      <c r="G137" s="15">
        <v>106.0</v>
      </c>
      <c r="H137" s="15">
        <v>101.0</v>
      </c>
      <c r="I137" s="15">
        <v>95.0</v>
      </c>
      <c r="J137" s="15">
        <v>102.0</v>
      </c>
      <c r="K137" s="15">
        <v>81.0</v>
      </c>
      <c r="L137" s="15">
        <v>121.0</v>
      </c>
      <c r="M137" s="15">
        <v>108.0</v>
      </c>
      <c r="N137" s="15">
        <v>100.0</v>
      </c>
    </row>
    <row r="138">
      <c r="A138" s="10">
        <v>670623.0</v>
      </c>
      <c r="B138" s="11" t="s">
        <v>133</v>
      </c>
      <c r="C138" s="12">
        <v>1597.0</v>
      </c>
      <c r="D138" s="10">
        <v>635.0</v>
      </c>
      <c r="E138" s="13">
        <v>261.0</v>
      </c>
      <c r="F138" s="14">
        <v>-0.072</v>
      </c>
      <c r="G138" s="15">
        <v>105.0</v>
      </c>
      <c r="H138" s="15">
        <v>120.0</v>
      </c>
      <c r="I138" s="15">
        <v>95.0</v>
      </c>
      <c r="J138" s="15">
        <v>119.0</v>
      </c>
      <c r="K138" s="15">
        <v>120.0</v>
      </c>
      <c r="L138" s="15">
        <v>88.0</v>
      </c>
      <c r="M138" s="15">
        <v>108.0</v>
      </c>
      <c r="N138" s="15">
        <v>110.0</v>
      </c>
    </row>
    <row r="139">
      <c r="A139" s="10">
        <v>593428.0</v>
      </c>
      <c r="B139" s="11" t="s">
        <v>134</v>
      </c>
      <c r="C139" s="12">
        <v>2477.0</v>
      </c>
      <c r="D139" s="10">
        <v>1127.0</v>
      </c>
      <c r="E139" s="13">
        <v>442.0</v>
      </c>
      <c r="F139" s="14">
        <v>-0.029</v>
      </c>
      <c r="G139" s="15">
        <v>91.0</v>
      </c>
      <c r="H139" s="15">
        <v>110.0</v>
      </c>
      <c r="I139" s="15">
        <v>101.0</v>
      </c>
      <c r="J139" s="15">
        <v>109.0</v>
      </c>
      <c r="K139" s="15">
        <v>111.0</v>
      </c>
      <c r="L139" s="15">
        <v>97.0</v>
      </c>
      <c r="M139" s="15">
        <v>108.0</v>
      </c>
      <c r="N139" s="15">
        <v>121.0</v>
      </c>
    </row>
    <row r="140">
      <c r="A140" s="10">
        <v>573262.0</v>
      </c>
      <c r="B140" s="11" t="s">
        <v>267</v>
      </c>
      <c r="C140" s="12">
        <v>2338.0</v>
      </c>
      <c r="D140" s="10">
        <v>1001.0</v>
      </c>
      <c r="E140" s="13">
        <v>347.0</v>
      </c>
      <c r="F140" s="14">
        <v>-0.046</v>
      </c>
      <c r="G140" s="15">
        <v>108.0</v>
      </c>
      <c r="H140" s="15">
        <v>115.0</v>
      </c>
      <c r="I140" s="15">
        <v>93.0</v>
      </c>
      <c r="J140" s="15">
        <v>116.0</v>
      </c>
      <c r="K140" s="15">
        <v>94.0</v>
      </c>
      <c r="L140" s="15">
        <v>104.0</v>
      </c>
      <c r="M140" s="15">
        <v>108.0</v>
      </c>
      <c r="N140" s="15">
        <v>102.0</v>
      </c>
    </row>
    <row r="141">
      <c r="A141" s="10">
        <v>606115.0</v>
      </c>
      <c r="B141" s="11" t="s">
        <v>380</v>
      </c>
      <c r="C141" s="12">
        <v>911.0</v>
      </c>
      <c r="D141" s="10">
        <v>406.0</v>
      </c>
      <c r="E141" s="13">
        <v>158.0</v>
      </c>
      <c r="F141" s="14">
        <v>-0.027</v>
      </c>
      <c r="G141" s="15">
        <v>97.0</v>
      </c>
      <c r="H141" s="15">
        <v>106.0</v>
      </c>
      <c r="I141" s="15">
        <v>108.0</v>
      </c>
      <c r="J141" s="15">
        <v>103.0</v>
      </c>
      <c r="K141" s="15">
        <v>102.0</v>
      </c>
      <c r="L141" s="15">
        <v>103.0</v>
      </c>
      <c r="M141" s="15">
        <v>108.0</v>
      </c>
      <c r="N141" s="15">
        <v>105.0</v>
      </c>
    </row>
    <row r="142">
      <c r="A142" s="10">
        <v>641857.0</v>
      </c>
      <c r="B142" s="11" t="s">
        <v>201</v>
      </c>
      <c r="C142" s="12">
        <v>2532.0</v>
      </c>
      <c r="D142" s="10">
        <v>1144.0</v>
      </c>
      <c r="E142" s="13">
        <v>371.0</v>
      </c>
      <c r="F142" s="14">
        <v>-0.035</v>
      </c>
      <c r="G142" s="15">
        <v>101.0</v>
      </c>
      <c r="H142" s="15">
        <v>100.0</v>
      </c>
      <c r="I142" s="15">
        <v>85.0</v>
      </c>
      <c r="J142" s="15">
        <v>105.0</v>
      </c>
      <c r="K142" s="15">
        <v>89.0</v>
      </c>
      <c r="L142" s="15">
        <v>115.0</v>
      </c>
      <c r="M142" s="15">
        <v>108.0</v>
      </c>
      <c r="N142" s="15">
        <v>107.0</v>
      </c>
    </row>
    <row r="143">
      <c r="A143" s="10">
        <v>641645.0</v>
      </c>
      <c r="B143" s="11" t="s">
        <v>519</v>
      </c>
      <c r="C143" s="12">
        <v>1354.0</v>
      </c>
      <c r="D143" s="10">
        <v>550.0</v>
      </c>
      <c r="E143" s="13">
        <v>252.0</v>
      </c>
      <c r="F143" s="14">
        <v>-0.078</v>
      </c>
      <c r="G143" s="15">
        <v>92.0</v>
      </c>
      <c r="H143" s="15">
        <v>115.0</v>
      </c>
      <c r="I143" s="15">
        <v>100.0</v>
      </c>
      <c r="J143" s="15">
        <v>115.0</v>
      </c>
      <c r="K143" s="15">
        <v>118.0</v>
      </c>
      <c r="L143" s="15">
        <v>92.0</v>
      </c>
      <c r="M143" s="15">
        <v>108.0</v>
      </c>
      <c r="N143" s="15">
        <v>107.0</v>
      </c>
    </row>
    <row r="144">
      <c r="A144" s="10">
        <v>660688.0</v>
      </c>
      <c r="B144" s="11" t="s">
        <v>352</v>
      </c>
      <c r="C144" s="12">
        <v>1527.0</v>
      </c>
      <c r="D144" s="10">
        <v>779.0</v>
      </c>
      <c r="E144" s="13">
        <v>346.0</v>
      </c>
      <c r="F144" s="14">
        <v>0.055</v>
      </c>
      <c r="G144" s="15">
        <v>101.0</v>
      </c>
      <c r="H144" s="15">
        <v>93.0</v>
      </c>
      <c r="I144" s="15">
        <v>111.0</v>
      </c>
      <c r="J144" s="15">
        <v>90.0</v>
      </c>
      <c r="K144" s="15">
        <v>125.0</v>
      </c>
      <c r="L144" s="15">
        <v>97.0</v>
      </c>
      <c r="M144" s="15">
        <v>107.0</v>
      </c>
      <c r="N144" s="15">
        <v>95.0</v>
      </c>
    </row>
    <row r="145">
      <c r="A145" s="10">
        <v>680977.0</v>
      </c>
      <c r="B145" s="11" t="s">
        <v>58</v>
      </c>
      <c r="C145" s="12">
        <v>1949.0</v>
      </c>
      <c r="D145" s="10">
        <v>743.0</v>
      </c>
      <c r="E145" s="13">
        <v>322.0</v>
      </c>
      <c r="F145" s="14">
        <v>-0.086</v>
      </c>
      <c r="G145" s="15">
        <v>94.0</v>
      </c>
      <c r="H145" s="15">
        <v>108.0</v>
      </c>
      <c r="I145" s="15">
        <v>82.0</v>
      </c>
      <c r="J145" s="15">
        <v>114.0</v>
      </c>
      <c r="K145" s="15">
        <v>124.0</v>
      </c>
      <c r="L145" s="15">
        <v>93.0</v>
      </c>
      <c r="M145" s="15">
        <v>107.0</v>
      </c>
      <c r="N145" s="15">
        <v>114.0</v>
      </c>
    </row>
    <row r="146">
      <c r="A146" s="10">
        <v>458015.0</v>
      </c>
      <c r="B146" s="11" t="s">
        <v>611</v>
      </c>
      <c r="C146" s="12">
        <v>1409.0</v>
      </c>
      <c r="D146" s="10">
        <v>656.0</v>
      </c>
      <c r="E146" s="13">
        <v>214.0</v>
      </c>
      <c r="F146" s="14">
        <v>-0.004</v>
      </c>
      <c r="G146" s="15">
        <v>119.0</v>
      </c>
      <c r="H146" s="15">
        <v>114.0</v>
      </c>
      <c r="I146" s="15">
        <v>102.0</v>
      </c>
      <c r="J146" s="15">
        <v>112.0</v>
      </c>
      <c r="K146" s="15">
        <v>83.0</v>
      </c>
      <c r="L146" s="15">
        <v>110.0</v>
      </c>
      <c r="M146" s="15">
        <v>107.0</v>
      </c>
      <c r="N146" s="15">
        <v>104.0</v>
      </c>
    </row>
    <row r="147">
      <c r="A147" s="10">
        <v>663886.0</v>
      </c>
      <c r="B147" s="11" t="s">
        <v>231</v>
      </c>
      <c r="C147" s="12">
        <v>726.0</v>
      </c>
      <c r="D147" s="10">
        <v>316.0</v>
      </c>
      <c r="E147" s="13">
        <v>121.0</v>
      </c>
      <c r="F147" s="14">
        <v>-0.06</v>
      </c>
      <c r="G147" s="15">
        <v>105.0</v>
      </c>
      <c r="H147" s="15">
        <v>94.0</v>
      </c>
      <c r="I147" s="15">
        <v>57.0</v>
      </c>
      <c r="J147" s="15">
        <v>110.0</v>
      </c>
      <c r="K147" s="15">
        <v>96.0</v>
      </c>
      <c r="L147" s="15">
        <v>112.0</v>
      </c>
      <c r="M147" s="15">
        <v>107.0</v>
      </c>
      <c r="N147" s="15">
        <v>125.0</v>
      </c>
    </row>
    <row r="148">
      <c r="A148" s="10">
        <v>605137.0</v>
      </c>
      <c r="B148" s="11" t="s">
        <v>165</v>
      </c>
      <c r="C148" s="12">
        <v>2481.0</v>
      </c>
      <c r="D148" s="10">
        <v>1128.0</v>
      </c>
      <c r="E148" s="13">
        <v>455.0</v>
      </c>
      <c r="F148" s="14">
        <v>-0.009</v>
      </c>
      <c r="G148" s="15">
        <v>113.0</v>
      </c>
      <c r="H148" s="15">
        <v>111.0</v>
      </c>
      <c r="I148" s="15">
        <v>103.0</v>
      </c>
      <c r="J148" s="15">
        <v>108.0</v>
      </c>
      <c r="K148" s="15">
        <v>109.0</v>
      </c>
      <c r="L148" s="15">
        <v>97.0</v>
      </c>
      <c r="M148" s="15">
        <v>107.0</v>
      </c>
      <c r="N148" s="15">
        <v>109.0</v>
      </c>
    </row>
    <row r="149">
      <c r="A149" s="10">
        <v>649966.0</v>
      </c>
      <c r="B149" s="11" t="s">
        <v>221</v>
      </c>
      <c r="C149" s="12">
        <v>1958.0</v>
      </c>
      <c r="D149" s="10">
        <v>845.0</v>
      </c>
      <c r="E149" s="13">
        <v>310.0</v>
      </c>
      <c r="F149" s="14">
        <v>-0.049</v>
      </c>
      <c r="G149" s="15">
        <v>105.0</v>
      </c>
      <c r="H149" s="15">
        <v>115.0</v>
      </c>
      <c r="I149" s="15">
        <v>96.0</v>
      </c>
      <c r="J149" s="15">
        <v>116.0</v>
      </c>
      <c r="K149" s="15">
        <v>101.0</v>
      </c>
      <c r="L149" s="15">
        <v>99.0</v>
      </c>
      <c r="M149" s="15">
        <v>107.0</v>
      </c>
      <c r="N149" s="15">
        <v>109.0</v>
      </c>
    </row>
    <row r="150">
      <c r="A150" s="10">
        <v>679529.0</v>
      </c>
      <c r="B150" s="11" t="s">
        <v>50</v>
      </c>
      <c r="C150" s="12">
        <v>1599.0</v>
      </c>
      <c r="D150" s="10">
        <v>734.0</v>
      </c>
      <c r="E150" s="13">
        <v>260.0</v>
      </c>
      <c r="F150" s="14">
        <v>-0.037</v>
      </c>
      <c r="G150" s="15">
        <v>111.0</v>
      </c>
      <c r="H150" s="15">
        <v>112.0</v>
      </c>
      <c r="I150" s="15">
        <v>100.0</v>
      </c>
      <c r="J150" s="15">
        <v>111.0</v>
      </c>
      <c r="K150" s="15">
        <v>98.0</v>
      </c>
      <c r="L150" s="15">
        <v>102.0</v>
      </c>
      <c r="M150" s="15">
        <v>107.0</v>
      </c>
      <c r="N150" s="15">
        <v>92.0</v>
      </c>
    </row>
    <row r="151">
      <c r="A151" s="10">
        <v>592178.0</v>
      </c>
      <c r="B151" s="11" t="s">
        <v>531</v>
      </c>
      <c r="C151" s="12">
        <v>687.0</v>
      </c>
      <c r="D151" s="10">
        <v>326.0</v>
      </c>
      <c r="E151" s="13">
        <v>133.0</v>
      </c>
      <c r="F151" s="14">
        <v>-0.013</v>
      </c>
      <c r="G151" s="15">
        <v>133.0</v>
      </c>
      <c r="H151" s="15">
        <v>125.0</v>
      </c>
      <c r="I151" s="15">
        <v>104.0</v>
      </c>
      <c r="J151" s="15">
        <v>121.0</v>
      </c>
      <c r="K151" s="15">
        <v>104.0</v>
      </c>
      <c r="L151" s="15">
        <v>93.0</v>
      </c>
      <c r="M151" s="15">
        <v>107.0</v>
      </c>
      <c r="N151" s="15">
        <v>123.0</v>
      </c>
    </row>
    <row r="152">
      <c r="A152" s="10">
        <v>543068.0</v>
      </c>
      <c r="B152" s="11" t="s">
        <v>586</v>
      </c>
      <c r="C152" s="12">
        <v>2482.0</v>
      </c>
      <c r="D152" s="10">
        <v>1187.0</v>
      </c>
      <c r="E152" s="13">
        <v>414.0</v>
      </c>
      <c r="F152" s="14">
        <v>-0.021</v>
      </c>
      <c r="G152" s="15">
        <v>75.0</v>
      </c>
      <c r="H152" s="15">
        <v>82.0</v>
      </c>
      <c r="I152" s="15">
        <v>77.0</v>
      </c>
      <c r="J152" s="15">
        <v>91.0</v>
      </c>
      <c r="K152" s="15">
        <v>106.0</v>
      </c>
      <c r="L152" s="15">
        <v>112.0</v>
      </c>
      <c r="M152" s="15">
        <v>107.0</v>
      </c>
      <c r="N152" s="15">
        <v>112.0</v>
      </c>
    </row>
    <row r="153">
      <c r="A153" s="10">
        <v>641820.0</v>
      </c>
      <c r="B153" s="11" t="s">
        <v>636</v>
      </c>
      <c r="C153" s="12">
        <v>2345.0</v>
      </c>
      <c r="D153" s="10">
        <v>1128.0</v>
      </c>
      <c r="E153" s="13">
        <v>385.0</v>
      </c>
      <c r="F153" s="14">
        <v>-0.013</v>
      </c>
      <c r="G153" s="15">
        <v>97.0</v>
      </c>
      <c r="H153" s="15">
        <v>97.0</v>
      </c>
      <c r="I153" s="15">
        <v>96.0</v>
      </c>
      <c r="J153" s="15">
        <v>98.0</v>
      </c>
      <c r="K153" s="15">
        <v>102.0</v>
      </c>
      <c r="L153" s="15">
        <v>107.0</v>
      </c>
      <c r="M153" s="15">
        <v>107.0</v>
      </c>
      <c r="N153" s="15">
        <v>101.0</v>
      </c>
    </row>
    <row r="154">
      <c r="A154" s="10">
        <v>543510.0</v>
      </c>
      <c r="B154" s="11" t="s">
        <v>459</v>
      </c>
      <c r="C154" s="12">
        <v>706.0</v>
      </c>
      <c r="D154" s="10">
        <v>364.0</v>
      </c>
      <c r="E154" s="13">
        <v>129.0</v>
      </c>
      <c r="F154" s="14">
        <v>0.045</v>
      </c>
      <c r="G154" s="15">
        <v>89.0</v>
      </c>
      <c r="H154" s="15">
        <v>86.0</v>
      </c>
      <c r="I154" s="15">
        <v>113.0</v>
      </c>
      <c r="J154" s="15">
        <v>82.0</v>
      </c>
      <c r="K154" s="15">
        <v>105.0</v>
      </c>
      <c r="L154" s="15">
        <v>109.0</v>
      </c>
      <c r="M154" s="15">
        <v>106.0</v>
      </c>
      <c r="N154" s="15">
        <v>78.0</v>
      </c>
    </row>
    <row r="155">
      <c r="A155" s="10">
        <v>673490.0</v>
      </c>
      <c r="B155" s="11" t="s">
        <v>457</v>
      </c>
      <c r="C155" s="12">
        <v>2334.0</v>
      </c>
      <c r="D155" s="10">
        <v>1013.0</v>
      </c>
      <c r="E155" s="13">
        <v>423.0</v>
      </c>
      <c r="F155" s="14">
        <v>-0.07</v>
      </c>
      <c r="G155" s="15">
        <v>92.0</v>
      </c>
      <c r="H155" s="15">
        <v>108.0</v>
      </c>
      <c r="I155" s="15">
        <v>92.0</v>
      </c>
      <c r="J155" s="15">
        <v>111.0</v>
      </c>
      <c r="K155" s="15">
        <v>120.0</v>
      </c>
      <c r="L155" s="15">
        <v>93.0</v>
      </c>
      <c r="M155" s="15">
        <v>106.0</v>
      </c>
      <c r="N155" s="15">
        <v>108.0</v>
      </c>
    </row>
    <row r="156">
      <c r="A156" s="10">
        <v>518595.0</v>
      </c>
      <c r="B156" s="11" t="s">
        <v>223</v>
      </c>
      <c r="C156" s="12">
        <v>1620.0</v>
      </c>
      <c r="D156" s="10">
        <v>854.0</v>
      </c>
      <c r="E156" s="13">
        <v>305.0</v>
      </c>
      <c r="F156" s="14">
        <v>0.027</v>
      </c>
      <c r="G156" s="15">
        <v>92.0</v>
      </c>
      <c r="H156" s="15">
        <v>89.0</v>
      </c>
      <c r="I156" s="15">
        <v>93.0</v>
      </c>
      <c r="J156" s="15">
        <v>92.0</v>
      </c>
      <c r="K156" s="15">
        <v>105.0</v>
      </c>
      <c r="L156" s="15">
        <v>107.0</v>
      </c>
      <c r="M156" s="15">
        <v>106.0</v>
      </c>
      <c r="N156" s="15">
        <v>115.0</v>
      </c>
    </row>
    <row r="157">
      <c r="A157" s="10">
        <v>671739.0</v>
      </c>
      <c r="B157" s="11" t="s">
        <v>322</v>
      </c>
      <c r="C157" s="12">
        <v>1634.0</v>
      </c>
      <c r="D157" s="10">
        <v>859.0</v>
      </c>
      <c r="E157" s="13">
        <v>306.0</v>
      </c>
      <c r="F157" s="14">
        <v>0.069</v>
      </c>
      <c r="G157" s="15">
        <v>72.0</v>
      </c>
      <c r="H157" s="15">
        <v>73.0</v>
      </c>
      <c r="I157" s="15">
        <v>116.0</v>
      </c>
      <c r="J157" s="15">
        <v>70.0</v>
      </c>
      <c r="K157" s="15">
        <v>101.0</v>
      </c>
      <c r="L157" s="15">
        <v>116.0</v>
      </c>
      <c r="M157" s="15">
        <v>106.0</v>
      </c>
      <c r="N157" s="15">
        <v>120.0</v>
      </c>
    </row>
    <row r="158">
      <c r="A158" s="10">
        <v>664247.0</v>
      </c>
      <c r="B158" s="11" t="s">
        <v>683</v>
      </c>
      <c r="C158" s="12">
        <v>599.0</v>
      </c>
      <c r="D158" s="10">
        <v>291.0</v>
      </c>
      <c r="E158" s="13">
        <v>101.0</v>
      </c>
      <c r="F158" s="14">
        <v>-0.02</v>
      </c>
      <c r="G158" s="15">
        <v>88.0</v>
      </c>
      <c r="H158" s="15">
        <v>96.0</v>
      </c>
      <c r="I158" s="15">
        <v>88.0</v>
      </c>
      <c r="J158" s="15">
        <v>101.0</v>
      </c>
      <c r="K158" s="15">
        <v>83.0</v>
      </c>
      <c r="L158" s="15">
        <v>117.0</v>
      </c>
      <c r="M158" s="15">
        <v>106.0</v>
      </c>
      <c r="N158" s="15">
        <v>103.0</v>
      </c>
    </row>
    <row r="159">
      <c r="A159" s="10">
        <v>657656.0</v>
      </c>
      <c r="B159" s="11" t="s">
        <v>81</v>
      </c>
      <c r="C159" s="12">
        <v>1493.0</v>
      </c>
      <c r="D159" s="10">
        <v>695.0</v>
      </c>
      <c r="E159" s="13">
        <v>241.0</v>
      </c>
      <c r="F159" s="14">
        <v>-0.022</v>
      </c>
      <c r="G159" s="15">
        <v>96.0</v>
      </c>
      <c r="H159" s="15">
        <v>104.0</v>
      </c>
      <c r="I159" s="15">
        <v>97.0</v>
      </c>
      <c r="J159" s="15">
        <v>105.0</v>
      </c>
      <c r="K159" s="15">
        <v>89.0</v>
      </c>
      <c r="L159" s="15">
        <v>110.0</v>
      </c>
      <c r="M159" s="15">
        <v>106.0</v>
      </c>
      <c r="N159" s="15">
        <v>101.0</v>
      </c>
    </row>
    <row r="160">
      <c r="A160" s="10">
        <v>606992.0</v>
      </c>
      <c r="B160" s="11" t="s">
        <v>656</v>
      </c>
      <c r="C160" s="12">
        <v>1369.0</v>
      </c>
      <c r="D160" s="10">
        <v>705.0</v>
      </c>
      <c r="E160" s="13">
        <v>229.0</v>
      </c>
      <c r="F160" s="14">
        <v>0.038</v>
      </c>
      <c r="G160" s="15">
        <v>90.0</v>
      </c>
      <c r="H160" s="15">
        <v>90.0</v>
      </c>
      <c r="I160" s="15">
        <v>107.0</v>
      </c>
      <c r="J160" s="15">
        <v>89.0</v>
      </c>
      <c r="K160" s="15">
        <v>93.0</v>
      </c>
      <c r="L160" s="15">
        <v>114.0</v>
      </c>
      <c r="M160" s="15">
        <v>106.0</v>
      </c>
      <c r="N160" s="15">
        <v>105.0</v>
      </c>
    </row>
    <row r="161">
      <c r="A161" s="10">
        <v>605612.0</v>
      </c>
      <c r="B161" s="11" t="s">
        <v>659</v>
      </c>
      <c r="C161" s="12">
        <v>1640.0</v>
      </c>
      <c r="D161" s="10">
        <v>879.0</v>
      </c>
      <c r="E161" s="13">
        <v>338.0</v>
      </c>
      <c r="F161" s="14">
        <v>0.071</v>
      </c>
      <c r="G161" s="15">
        <v>79.0</v>
      </c>
      <c r="H161" s="15">
        <v>73.0</v>
      </c>
      <c r="I161" s="15">
        <v>103.0</v>
      </c>
      <c r="J161" s="15">
        <v>74.0</v>
      </c>
      <c r="K161" s="15">
        <v>111.0</v>
      </c>
      <c r="L161" s="15">
        <v>110.0</v>
      </c>
      <c r="M161" s="15">
        <v>106.0</v>
      </c>
      <c r="N161" s="15">
        <v>92.0</v>
      </c>
    </row>
    <row r="162">
      <c r="A162" s="10">
        <v>663728.0</v>
      </c>
      <c r="B162" s="11" t="s">
        <v>79</v>
      </c>
      <c r="C162" s="12">
        <v>1629.0</v>
      </c>
      <c r="D162" s="10">
        <v>855.0</v>
      </c>
      <c r="E162" s="13">
        <v>251.0</v>
      </c>
      <c r="F162" s="14">
        <v>0.058</v>
      </c>
      <c r="G162" s="15">
        <v>113.0</v>
      </c>
      <c r="H162" s="15">
        <v>91.0</v>
      </c>
      <c r="I162" s="15">
        <v>101.0</v>
      </c>
      <c r="J162" s="15">
        <v>91.0</v>
      </c>
      <c r="K162" s="15">
        <v>88.0</v>
      </c>
      <c r="L162" s="15">
        <v>119.0</v>
      </c>
      <c r="M162" s="15">
        <v>106.0</v>
      </c>
      <c r="N162" s="15">
        <v>104.0</v>
      </c>
    </row>
    <row r="163">
      <c r="A163" s="10">
        <v>682985.0</v>
      </c>
      <c r="B163" s="11" t="s">
        <v>66</v>
      </c>
      <c r="C163" s="12">
        <v>1688.0</v>
      </c>
      <c r="D163" s="10">
        <v>763.0</v>
      </c>
      <c r="E163" s="13">
        <v>253.0</v>
      </c>
      <c r="F163" s="14">
        <v>-0.011</v>
      </c>
      <c r="G163" s="15">
        <v>94.0</v>
      </c>
      <c r="H163" s="15">
        <v>88.0</v>
      </c>
      <c r="I163" s="15">
        <v>86.0</v>
      </c>
      <c r="J163" s="15">
        <v>93.0</v>
      </c>
      <c r="K163" s="15">
        <v>95.0</v>
      </c>
      <c r="L163" s="15">
        <v>116.0</v>
      </c>
      <c r="M163" s="15">
        <v>106.0</v>
      </c>
      <c r="N163" s="15">
        <v>96.0</v>
      </c>
    </row>
    <row r="164">
      <c r="A164" s="10">
        <v>592192.0</v>
      </c>
      <c r="B164" s="11" t="s">
        <v>324</v>
      </c>
      <c r="C164" s="12">
        <v>2190.0</v>
      </c>
      <c r="D164" s="10">
        <v>940.0</v>
      </c>
      <c r="E164" s="13">
        <v>366.0</v>
      </c>
      <c r="F164" s="14">
        <v>-0.063</v>
      </c>
      <c r="G164" s="15">
        <v>96.0</v>
      </c>
      <c r="H164" s="15">
        <v>114.0</v>
      </c>
      <c r="I164" s="15">
        <v>98.0</v>
      </c>
      <c r="J164" s="15">
        <v>114.0</v>
      </c>
      <c r="K164" s="15">
        <v>113.0</v>
      </c>
      <c r="L164" s="15">
        <v>92.0</v>
      </c>
      <c r="M164" s="15">
        <v>106.0</v>
      </c>
      <c r="N164" s="15">
        <v>116.0</v>
      </c>
    </row>
    <row r="165">
      <c r="A165" s="10">
        <v>669304.0</v>
      </c>
      <c r="B165" s="11" t="s">
        <v>464</v>
      </c>
      <c r="C165" s="12">
        <v>1784.0</v>
      </c>
      <c r="D165" s="10">
        <v>921.0</v>
      </c>
      <c r="E165" s="13">
        <v>349.0</v>
      </c>
      <c r="F165" s="14">
        <v>0.042</v>
      </c>
      <c r="G165" s="15">
        <v>102.0</v>
      </c>
      <c r="H165" s="15">
        <v>99.0</v>
      </c>
      <c r="I165" s="15">
        <v>111.0</v>
      </c>
      <c r="J165" s="15">
        <v>95.0</v>
      </c>
      <c r="K165" s="15">
        <v>108.0</v>
      </c>
      <c r="L165" s="15">
        <v>101.0</v>
      </c>
      <c r="M165" s="15">
        <v>106.0</v>
      </c>
      <c r="N165" s="15">
        <v>108.0</v>
      </c>
    </row>
    <row r="166">
      <c r="A166" s="10">
        <v>666624.0</v>
      </c>
      <c r="B166" s="11" t="s">
        <v>228</v>
      </c>
      <c r="C166" s="12">
        <v>1606.0</v>
      </c>
      <c r="D166" s="10">
        <v>807.0</v>
      </c>
      <c r="E166" s="13">
        <v>243.0</v>
      </c>
      <c r="F166" s="14">
        <v>0.006</v>
      </c>
      <c r="G166" s="15">
        <v>111.0</v>
      </c>
      <c r="H166" s="15">
        <v>104.0</v>
      </c>
      <c r="I166" s="15">
        <v>88.0</v>
      </c>
      <c r="J166" s="15">
        <v>108.0</v>
      </c>
      <c r="K166" s="15">
        <v>75.0</v>
      </c>
      <c r="L166" s="15">
        <v>119.0</v>
      </c>
      <c r="M166" s="15">
        <v>105.0</v>
      </c>
      <c r="N166" s="15">
        <v>106.0</v>
      </c>
    </row>
    <row r="167">
      <c r="A167" s="10">
        <v>543592.0</v>
      </c>
      <c r="B167" s="11" t="s">
        <v>651</v>
      </c>
      <c r="C167" s="12">
        <v>1505.0</v>
      </c>
      <c r="D167" s="10">
        <v>648.0</v>
      </c>
      <c r="E167" s="13">
        <v>294.0</v>
      </c>
      <c r="F167" s="14">
        <v>-0.078</v>
      </c>
      <c r="G167" s="15">
        <v>107.0</v>
      </c>
      <c r="H167" s="15">
        <v>123.0</v>
      </c>
      <c r="I167" s="15">
        <v>83.0</v>
      </c>
      <c r="J167" s="15">
        <v>130.0</v>
      </c>
      <c r="K167" s="15">
        <v>117.0</v>
      </c>
      <c r="L167" s="15">
        <v>87.0</v>
      </c>
      <c r="M167" s="15">
        <v>105.0</v>
      </c>
      <c r="N167" s="15">
        <v>100.0</v>
      </c>
    </row>
    <row r="168">
      <c r="A168" s="10">
        <v>518626.0</v>
      </c>
      <c r="B168" s="11" t="s">
        <v>583</v>
      </c>
      <c r="C168" s="12">
        <v>2155.0</v>
      </c>
      <c r="D168" s="10">
        <v>1018.0</v>
      </c>
      <c r="E168" s="13">
        <v>332.0</v>
      </c>
      <c r="F168" s="14">
        <v>-0.02</v>
      </c>
      <c r="G168" s="15">
        <v>101.0</v>
      </c>
      <c r="H168" s="15">
        <v>106.0</v>
      </c>
      <c r="I168" s="15">
        <v>87.0</v>
      </c>
      <c r="J168" s="15">
        <v>110.0</v>
      </c>
      <c r="K168" s="15">
        <v>93.0</v>
      </c>
      <c r="L168" s="15">
        <v>106.0</v>
      </c>
      <c r="M168" s="15">
        <v>105.0</v>
      </c>
      <c r="N168" s="15">
        <v>101.0</v>
      </c>
    </row>
    <row r="169">
      <c r="A169" s="10">
        <v>605119.0</v>
      </c>
      <c r="B169" s="11" t="s">
        <v>592</v>
      </c>
      <c r="C169" s="12">
        <v>1527.0</v>
      </c>
      <c r="D169" s="10">
        <v>772.0</v>
      </c>
      <c r="E169" s="13">
        <v>236.0</v>
      </c>
      <c r="F169" s="14">
        <v>0.012</v>
      </c>
      <c r="G169" s="15">
        <v>120.0</v>
      </c>
      <c r="H169" s="15">
        <v>118.0</v>
      </c>
      <c r="I169" s="15">
        <v>117.0</v>
      </c>
      <c r="J169" s="15">
        <v>110.0</v>
      </c>
      <c r="K169" s="15">
        <v>84.0</v>
      </c>
      <c r="L169" s="15">
        <v>105.0</v>
      </c>
      <c r="M169" s="15">
        <v>105.0</v>
      </c>
      <c r="N169" s="15">
        <v>98.0</v>
      </c>
    </row>
    <row r="170">
      <c r="A170" s="10">
        <v>656976.0</v>
      </c>
      <c r="B170" s="11" t="s">
        <v>199</v>
      </c>
      <c r="C170" s="12">
        <v>1102.0</v>
      </c>
      <c r="D170" s="10">
        <v>437.0</v>
      </c>
      <c r="E170" s="13">
        <v>181.0</v>
      </c>
      <c r="F170" s="14">
        <v>-0.07</v>
      </c>
      <c r="G170" s="15">
        <v>91.0</v>
      </c>
      <c r="H170" s="15">
        <v>103.0</v>
      </c>
      <c r="I170" s="15">
        <v>74.0</v>
      </c>
      <c r="J170" s="15">
        <v>112.0</v>
      </c>
      <c r="K170" s="15">
        <v>111.0</v>
      </c>
      <c r="L170" s="15">
        <v>97.0</v>
      </c>
      <c r="M170" s="15">
        <v>105.0</v>
      </c>
      <c r="N170" s="15">
        <v>99.0</v>
      </c>
    </row>
    <row r="171">
      <c r="A171" s="10">
        <v>521692.0</v>
      </c>
      <c r="B171" s="11" t="s">
        <v>82</v>
      </c>
      <c r="C171" s="12">
        <v>1679.0</v>
      </c>
      <c r="D171" s="10">
        <v>966.0</v>
      </c>
      <c r="E171" s="13">
        <v>337.0</v>
      </c>
      <c r="F171" s="14">
        <v>0.126</v>
      </c>
      <c r="G171" s="15">
        <v>87.0</v>
      </c>
      <c r="H171" s="15">
        <v>62.0</v>
      </c>
      <c r="I171" s="15">
        <v>113.0</v>
      </c>
      <c r="J171" s="15">
        <v>65.0</v>
      </c>
      <c r="K171" s="15">
        <v>99.0</v>
      </c>
      <c r="L171" s="15">
        <v>119.0</v>
      </c>
      <c r="M171" s="15">
        <v>105.0</v>
      </c>
      <c r="N171" s="15">
        <v>100.0</v>
      </c>
    </row>
    <row r="172">
      <c r="A172" s="10">
        <v>664238.0</v>
      </c>
      <c r="B172" s="11" t="s">
        <v>314</v>
      </c>
      <c r="C172" s="12">
        <v>1120.0</v>
      </c>
      <c r="D172" s="10">
        <v>433.0</v>
      </c>
      <c r="E172" s="13">
        <v>131.0</v>
      </c>
      <c r="F172" s="14">
        <v>-0.113</v>
      </c>
      <c r="G172" s="15">
        <v>108.0</v>
      </c>
      <c r="H172" s="15">
        <v>121.0</v>
      </c>
      <c r="I172" s="15">
        <v>67.0</v>
      </c>
      <c r="J172" s="15">
        <v>131.0</v>
      </c>
      <c r="K172" s="15">
        <v>81.0</v>
      </c>
      <c r="L172" s="15">
        <v>103.0</v>
      </c>
      <c r="M172" s="15">
        <v>105.0</v>
      </c>
      <c r="N172" s="15">
        <v>110.0</v>
      </c>
    </row>
    <row r="173">
      <c r="A173" s="10">
        <v>527038.0</v>
      </c>
      <c r="B173" s="11" t="s">
        <v>288</v>
      </c>
      <c r="C173" s="12">
        <v>2404.0</v>
      </c>
      <c r="D173" s="10">
        <v>1098.0</v>
      </c>
      <c r="E173" s="13">
        <v>427.0</v>
      </c>
      <c r="F173" s="14">
        <v>-0.017</v>
      </c>
      <c r="G173" s="15">
        <v>104.0</v>
      </c>
      <c r="H173" s="15">
        <v>114.0</v>
      </c>
      <c r="I173" s="15">
        <v>107.0</v>
      </c>
      <c r="J173" s="15">
        <v>110.0</v>
      </c>
      <c r="K173" s="15">
        <v>111.0</v>
      </c>
      <c r="L173" s="15">
        <v>92.0</v>
      </c>
      <c r="M173" s="15">
        <v>105.0</v>
      </c>
      <c r="N173" s="15">
        <v>103.0</v>
      </c>
    </row>
    <row r="174">
      <c r="A174" s="10">
        <v>666915.0</v>
      </c>
      <c r="B174" s="11" t="s">
        <v>574</v>
      </c>
      <c r="C174" s="12">
        <v>1457.0</v>
      </c>
      <c r="D174" s="10">
        <v>681.0</v>
      </c>
      <c r="E174" s="13">
        <v>200.0</v>
      </c>
      <c r="F174" s="14">
        <v>-0.013</v>
      </c>
      <c r="G174" s="15">
        <v>94.0</v>
      </c>
      <c r="H174" s="15">
        <v>93.0</v>
      </c>
      <c r="I174" s="15">
        <v>86.0</v>
      </c>
      <c r="J174" s="15">
        <v>98.0</v>
      </c>
      <c r="K174" s="15">
        <v>97.0</v>
      </c>
      <c r="L174" s="15">
        <v>111.0</v>
      </c>
      <c r="M174" s="15">
        <v>105.0</v>
      </c>
      <c r="N174" s="15">
        <v>100.0</v>
      </c>
    </row>
    <row r="175">
      <c r="A175" s="10">
        <v>572041.0</v>
      </c>
      <c r="B175" s="11" t="s">
        <v>625</v>
      </c>
      <c r="C175" s="12">
        <v>1798.0</v>
      </c>
      <c r="D175" s="10">
        <v>968.0</v>
      </c>
      <c r="E175" s="13">
        <v>392.0</v>
      </c>
      <c r="F175" s="14">
        <v>0.058</v>
      </c>
      <c r="G175" s="15">
        <v>106.0</v>
      </c>
      <c r="H175" s="15">
        <v>99.0</v>
      </c>
      <c r="I175" s="15">
        <v>117.0</v>
      </c>
      <c r="J175" s="15">
        <v>92.0</v>
      </c>
      <c r="K175" s="15">
        <v>107.0</v>
      </c>
      <c r="L175" s="15">
        <v>100.0</v>
      </c>
      <c r="M175" s="15">
        <v>105.0</v>
      </c>
      <c r="N175" s="15">
        <v>96.0</v>
      </c>
    </row>
    <row r="176">
      <c r="A176" s="10">
        <v>664774.0</v>
      </c>
      <c r="B176" s="11" t="s">
        <v>295</v>
      </c>
      <c r="C176" s="12">
        <v>987.0</v>
      </c>
      <c r="D176" s="10">
        <v>440.0</v>
      </c>
      <c r="E176" s="13">
        <v>168.0</v>
      </c>
      <c r="F176" s="14">
        <v>-0.018</v>
      </c>
      <c r="G176" s="15">
        <v>112.0</v>
      </c>
      <c r="H176" s="15">
        <v>110.0</v>
      </c>
      <c r="I176" s="15">
        <v>104.0</v>
      </c>
      <c r="J176" s="15">
        <v>107.0</v>
      </c>
      <c r="K176" s="15">
        <v>104.0</v>
      </c>
      <c r="L176" s="15">
        <v>97.0</v>
      </c>
      <c r="M176" s="15">
        <v>104.0</v>
      </c>
      <c r="N176" s="15">
        <v>95.0</v>
      </c>
    </row>
    <row r="177">
      <c r="A177" s="10">
        <v>573131.0</v>
      </c>
      <c r="B177" s="11" t="s">
        <v>684</v>
      </c>
      <c r="C177" s="12">
        <v>1605.0</v>
      </c>
      <c r="D177" s="10">
        <v>647.0</v>
      </c>
      <c r="E177" s="13">
        <v>227.0</v>
      </c>
      <c r="F177" s="14">
        <v>-0.098</v>
      </c>
      <c r="G177" s="15">
        <v>84.0</v>
      </c>
      <c r="H177" s="15">
        <v>113.0</v>
      </c>
      <c r="I177" s="15">
        <v>84.0</v>
      </c>
      <c r="J177" s="15">
        <v>118.0</v>
      </c>
      <c r="K177" s="15">
        <v>91.0</v>
      </c>
      <c r="L177" s="15">
        <v>102.0</v>
      </c>
      <c r="M177" s="15">
        <v>104.0</v>
      </c>
      <c r="N177" s="15">
        <v>95.0</v>
      </c>
    </row>
    <row r="178">
      <c r="A178" s="10">
        <v>660636.0</v>
      </c>
      <c r="B178" s="11" t="s">
        <v>685</v>
      </c>
      <c r="C178" s="12">
        <v>1133.0</v>
      </c>
      <c r="D178" s="10">
        <v>495.0</v>
      </c>
      <c r="E178" s="13">
        <v>190.0</v>
      </c>
      <c r="F178" s="14">
        <v>-0.05</v>
      </c>
      <c r="G178" s="15">
        <v>70.0</v>
      </c>
      <c r="H178" s="15">
        <v>95.0</v>
      </c>
      <c r="I178" s="15">
        <v>85.0</v>
      </c>
      <c r="J178" s="15">
        <v>100.0</v>
      </c>
      <c r="K178" s="15">
        <v>102.0</v>
      </c>
      <c r="L178" s="15">
        <v>105.0</v>
      </c>
      <c r="M178" s="15">
        <v>104.0</v>
      </c>
      <c r="N178" s="15">
        <v>92.0</v>
      </c>
    </row>
    <row r="179">
      <c r="A179" s="10">
        <v>443558.0</v>
      </c>
      <c r="B179" s="11" t="s">
        <v>590</v>
      </c>
      <c r="C179" s="12">
        <v>1976.0</v>
      </c>
      <c r="D179" s="10">
        <v>1004.0</v>
      </c>
      <c r="E179" s="13">
        <v>331.0</v>
      </c>
      <c r="F179" s="14">
        <v>0.026</v>
      </c>
      <c r="G179" s="15">
        <v>110.0</v>
      </c>
      <c r="H179" s="15">
        <v>106.0</v>
      </c>
      <c r="I179" s="15">
        <v>116.0</v>
      </c>
      <c r="J179" s="15">
        <v>99.0</v>
      </c>
      <c r="K179" s="15">
        <v>92.0</v>
      </c>
      <c r="L179" s="15">
        <v>106.0</v>
      </c>
      <c r="M179" s="15">
        <v>104.0</v>
      </c>
      <c r="N179" s="15">
        <v>94.0</v>
      </c>
    </row>
    <row r="180">
      <c r="A180" s="10">
        <v>595777.0</v>
      </c>
      <c r="B180" s="11" t="s">
        <v>448</v>
      </c>
      <c r="C180" s="12">
        <v>2760.0</v>
      </c>
      <c r="D180" s="10">
        <v>1201.0</v>
      </c>
      <c r="E180" s="13">
        <v>470.0</v>
      </c>
      <c r="F180" s="14">
        <v>-0.042</v>
      </c>
      <c r="G180" s="15">
        <v>104.0</v>
      </c>
      <c r="H180" s="15">
        <v>113.0</v>
      </c>
      <c r="I180" s="15">
        <v>108.0</v>
      </c>
      <c r="J180" s="15">
        <v>109.0</v>
      </c>
      <c r="K180" s="15">
        <v>115.0</v>
      </c>
      <c r="L180" s="15">
        <v>90.0</v>
      </c>
      <c r="M180" s="15">
        <v>104.0</v>
      </c>
      <c r="N180" s="15">
        <v>106.0</v>
      </c>
    </row>
    <row r="181">
      <c r="A181" s="10">
        <v>643446.0</v>
      </c>
      <c r="B181" s="11" t="s">
        <v>211</v>
      </c>
      <c r="C181" s="12">
        <v>2049.0</v>
      </c>
      <c r="D181" s="10">
        <v>1098.0</v>
      </c>
      <c r="E181" s="13">
        <v>474.0</v>
      </c>
      <c r="F181" s="14">
        <v>0.06</v>
      </c>
      <c r="G181" s="15">
        <v>126.0</v>
      </c>
      <c r="H181" s="15">
        <v>113.0</v>
      </c>
      <c r="I181" s="15">
        <v>128.0</v>
      </c>
      <c r="J181" s="15">
        <v>101.0</v>
      </c>
      <c r="K181" s="15">
        <v>115.0</v>
      </c>
      <c r="L181" s="15">
        <v>91.0</v>
      </c>
      <c r="M181" s="15">
        <v>104.0</v>
      </c>
      <c r="N181" s="15">
        <v>121.0</v>
      </c>
    </row>
    <row r="182">
      <c r="A182" s="10">
        <v>596115.0</v>
      </c>
      <c r="B182" s="11" t="s">
        <v>237</v>
      </c>
      <c r="C182" s="12">
        <v>1560.0</v>
      </c>
      <c r="D182" s="10">
        <v>777.0</v>
      </c>
      <c r="E182" s="13">
        <v>237.0</v>
      </c>
      <c r="F182" s="14">
        <v>0.015</v>
      </c>
      <c r="G182" s="15">
        <v>92.0</v>
      </c>
      <c r="H182" s="15">
        <v>89.0</v>
      </c>
      <c r="I182" s="15">
        <v>96.0</v>
      </c>
      <c r="J182" s="15">
        <v>91.0</v>
      </c>
      <c r="K182" s="15">
        <v>89.0</v>
      </c>
      <c r="L182" s="15">
        <v>117.0</v>
      </c>
      <c r="M182" s="15">
        <v>104.0</v>
      </c>
      <c r="N182" s="15">
        <v>106.0</v>
      </c>
    </row>
    <row r="183">
      <c r="A183" s="10">
        <v>656896.0</v>
      </c>
      <c r="B183" s="11" t="s">
        <v>471</v>
      </c>
      <c r="C183" s="12">
        <v>1306.0</v>
      </c>
      <c r="D183" s="10">
        <v>656.0</v>
      </c>
      <c r="E183" s="13">
        <v>244.0</v>
      </c>
      <c r="F183" s="14">
        <v>0.02</v>
      </c>
      <c r="G183" s="15">
        <v>112.0</v>
      </c>
      <c r="H183" s="15">
        <v>108.0</v>
      </c>
      <c r="I183" s="15">
        <v>115.0</v>
      </c>
      <c r="J183" s="15">
        <v>101.0</v>
      </c>
      <c r="K183" s="15">
        <v>96.0</v>
      </c>
      <c r="L183" s="15">
        <v>102.0</v>
      </c>
      <c r="M183" s="15">
        <v>104.0</v>
      </c>
      <c r="N183" s="15">
        <v>99.0</v>
      </c>
    </row>
    <row r="184">
      <c r="A184" s="10">
        <v>666158.0</v>
      </c>
      <c r="B184" s="11" t="s">
        <v>284</v>
      </c>
      <c r="C184" s="12">
        <v>1820.0</v>
      </c>
      <c r="D184" s="10">
        <v>774.0</v>
      </c>
      <c r="E184" s="13">
        <v>322.0</v>
      </c>
      <c r="F184" s="14">
        <v>-0.038</v>
      </c>
      <c r="G184" s="15">
        <v>105.0</v>
      </c>
      <c r="H184" s="15">
        <v>106.0</v>
      </c>
      <c r="I184" s="15">
        <v>91.0</v>
      </c>
      <c r="J184" s="15">
        <v>108.0</v>
      </c>
      <c r="K184" s="15">
        <v>107.0</v>
      </c>
      <c r="L184" s="15">
        <v>97.0</v>
      </c>
      <c r="M184" s="15">
        <v>104.0</v>
      </c>
      <c r="N184" s="15">
        <v>109.0</v>
      </c>
    </row>
    <row r="185">
      <c r="A185" s="10">
        <v>543760.0</v>
      </c>
      <c r="B185" s="11" t="s">
        <v>152</v>
      </c>
      <c r="C185" s="12">
        <v>2751.0</v>
      </c>
      <c r="D185" s="10">
        <v>1299.0</v>
      </c>
      <c r="E185" s="13">
        <v>544.0</v>
      </c>
      <c r="F185" s="14">
        <v>-0.007</v>
      </c>
      <c r="G185" s="15">
        <v>120.0</v>
      </c>
      <c r="H185" s="15">
        <v>121.0</v>
      </c>
      <c r="I185" s="15">
        <v>117.0</v>
      </c>
      <c r="J185" s="15">
        <v>113.0</v>
      </c>
      <c r="K185" s="15">
        <v>107.0</v>
      </c>
      <c r="L185" s="15">
        <v>91.0</v>
      </c>
      <c r="M185" s="15">
        <v>104.0</v>
      </c>
      <c r="N185" s="15">
        <v>107.0</v>
      </c>
    </row>
    <row r="186">
      <c r="A186" s="10">
        <v>500871.0</v>
      </c>
      <c r="B186" s="11" t="s">
        <v>661</v>
      </c>
      <c r="C186" s="12">
        <v>2063.0</v>
      </c>
      <c r="D186" s="10">
        <v>1082.0</v>
      </c>
      <c r="E186" s="13">
        <v>367.0</v>
      </c>
      <c r="F186" s="14">
        <v>0.059</v>
      </c>
      <c r="G186" s="15">
        <v>98.0</v>
      </c>
      <c r="H186" s="15">
        <v>88.0</v>
      </c>
      <c r="I186" s="15">
        <v>109.0</v>
      </c>
      <c r="J186" s="15">
        <v>86.0</v>
      </c>
      <c r="K186" s="15">
        <v>94.0</v>
      </c>
      <c r="L186" s="15">
        <v>112.0</v>
      </c>
      <c r="M186" s="15">
        <v>104.0</v>
      </c>
      <c r="N186" s="15">
        <v>99.0</v>
      </c>
    </row>
    <row r="187">
      <c r="A187" s="10">
        <v>543877.0</v>
      </c>
      <c r="B187" s="11" t="s">
        <v>366</v>
      </c>
      <c r="C187" s="12">
        <v>1615.0</v>
      </c>
      <c r="D187" s="10">
        <v>793.0</v>
      </c>
      <c r="E187" s="13">
        <v>328.0</v>
      </c>
      <c r="F187" s="14">
        <v>0.006</v>
      </c>
      <c r="G187" s="15">
        <v>90.0</v>
      </c>
      <c r="H187" s="15">
        <v>100.0</v>
      </c>
      <c r="I187" s="15">
        <v>109.0</v>
      </c>
      <c r="J187" s="15">
        <v>96.0</v>
      </c>
      <c r="K187" s="15">
        <v>113.0</v>
      </c>
      <c r="L187" s="15">
        <v>97.0</v>
      </c>
      <c r="M187" s="15">
        <v>104.0</v>
      </c>
      <c r="N187" s="15">
        <v>107.0</v>
      </c>
    </row>
    <row r="188">
      <c r="A188" s="10">
        <v>607054.0</v>
      </c>
      <c r="B188" s="11" t="s">
        <v>610</v>
      </c>
      <c r="C188" s="12">
        <v>1404.0</v>
      </c>
      <c r="D188" s="10">
        <v>573.0</v>
      </c>
      <c r="E188" s="13">
        <v>204.0</v>
      </c>
      <c r="F188" s="14">
        <v>-0.073</v>
      </c>
      <c r="G188" s="15">
        <v>83.0</v>
      </c>
      <c r="H188" s="15">
        <v>106.0</v>
      </c>
      <c r="I188" s="15">
        <v>97.0</v>
      </c>
      <c r="J188" s="15">
        <v>107.0</v>
      </c>
      <c r="K188" s="15">
        <v>96.0</v>
      </c>
      <c r="L188" s="15">
        <v>102.0</v>
      </c>
      <c r="M188" s="15">
        <v>103.0</v>
      </c>
      <c r="N188" s="15">
        <v>103.0</v>
      </c>
    </row>
    <row r="189">
      <c r="A189" s="10">
        <v>592273.0</v>
      </c>
      <c r="B189" s="11" t="s">
        <v>536</v>
      </c>
      <c r="C189" s="12">
        <v>2221.0</v>
      </c>
      <c r="D189" s="10">
        <v>1022.0</v>
      </c>
      <c r="E189" s="13">
        <v>394.0</v>
      </c>
      <c r="F189" s="14">
        <v>-0.032</v>
      </c>
      <c r="G189" s="15">
        <v>86.0</v>
      </c>
      <c r="H189" s="15">
        <v>85.0</v>
      </c>
      <c r="I189" s="15">
        <v>79.0</v>
      </c>
      <c r="J189" s="15">
        <v>93.0</v>
      </c>
      <c r="K189" s="15">
        <v>110.0</v>
      </c>
      <c r="L189" s="15">
        <v>104.0</v>
      </c>
      <c r="M189" s="15">
        <v>103.0</v>
      </c>
      <c r="N189" s="15">
        <v>116.0</v>
      </c>
    </row>
    <row r="190">
      <c r="A190" s="10">
        <v>664023.0</v>
      </c>
      <c r="B190" s="11" t="s">
        <v>187</v>
      </c>
      <c r="C190" s="12">
        <v>2491.0</v>
      </c>
      <c r="D190" s="10">
        <v>1217.0</v>
      </c>
      <c r="E190" s="13">
        <v>410.0</v>
      </c>
      <c r="F190" s="14">
        <v>0.0</v>
      </c>
      <c r="G190" s="15">
        <v>114.0</v>
      </c>
      <c r="H190" s="15">
        <v>117.0</v>
      </c>
      <c r="I190" s="15">
        <v>107.0</v>
      </c>
      <c r="J190" s="15">
        <v>113.0</v>
      </c>
      <c r="K190" s="15">
        <v>94.0</v>
      </c>
      <c r="L190" s="15">
        <v>97.0</v>
      </c>
      <c r="M190" s="15">
        <v>103.0</v>
      </c>
      <c r="N190" s="15">
        <v>113.0</v>
      </c>
    </row>
    <row r="191">
      <c r="A191" s="10">
        <v>671221.0</v>
      </c>
      <c r="B191" s="11" t="s">
        <v>364</v>
      </c>
      <c r="C191" s="12">
        <v>423.0</v>
      </c>
      <c r="D191" s="10">
        <v>198.0</v>
      </c>
      <c r="E191" s="13">
        <v>56.0</v>
      </c>
      <c r="F191" s="14">
        <v>0.008</v>
      </c>
      <c r="G191" s="15">
        <v>117.0</v>
      </c>
      <c r="H191" s="15">
        <v>103.0</v>
      </c>
      <c r="I191" s="15">
        <v>92.0</v>
      </c>
      <c r="J191" s="15">
        <v>105.0</v>
      </c>
      <c r="K191" s="15">
        <v>81.0</v>
      </c>
      <c r="L191" s="15">
        <v>113.0</v>
      </c>
      <c r="M191" s="15">
        <v>103.0</v>
      </c>
      <c r="N191" s="15">
        <v>116.0</v>
      </c>
    </row>
    <row r="192">
      <c r="A192" s="10">
        <v>606466.0</v>
      </c>
      <c r="B192" s="11" t="s">
        <v>38</v>
      </c>
      <c r="C192" s="12">
        <v>2121.0</v>
      </c>
      <c r="D192" s="10">
        <v>982.0</v>
      </c>
      <c r="E192" s="13">
        <v>392.0</v>
      </c>
      <c r="F192" s="14">
        <v>-0.021</v>
      </c>
      <c r="G192" s="15">
        <v>104.0</v>
      </c>
      <c r="H192" s="15">
        <v>105.0</v>
      </c>
      <c r="I192" s="15">
        <v>97.0</v>
      </c>
      <c r="J192" s="15">
        <v>105.0</v>
      </c>
      <c r="K192" s="15">
        <v>115.0</v>
      </c>
      <c r="L192" s="15">
        <v>93.0</v>
      </c>
      <c r="M192" s="15">
        <v>103.0</v>
      </c>
      <c r="N192" s="15">
        <v>105.0</v>
      </c>
    </row>
    <row r="193">
      <c r="A193" s="10">
        <v>668942.0</v>
      </c>
      <c r="B193" s="11" t="s">
        <v>373</v>
      </c>
      <c r="C193" s="12">
        <v>2020.0</v>
      </c>
      <c r="D193" s="10">
        <v>831.0</v>
      </c>
      <c r="E193" s="13">
        <v>354.0</v>
      </c>
      <c r="F193" s="14">
        <v>-0.055</v>
      </c>
      <c r="G193" s="15">
        <v>111.0</v>
      </c>
      <c r="H193" s="15">
        <v>118.0</v>
      </c>
      <c r="I193" s="15">
        <v>105.0</v>
      </c>
      <c r="J193" s="15">
        <v>114.0</v>
      </c>
      <c r="K193" s="15">
        <v>109.0</v>
      </c>
      <c r="L193" s="15">
        <v>90.0</v>
      </c>
      <c r="M193" s="15">
        <v>103.0</v>
      </c>
      <c r="N193" s="15">
        <v>107.0</v>
      </c>
    </row>
    <row r="194">
      <c r="A194" s="10">
        <v>641487.0</v>
      </c>
      <c r="B194" s="11" t="s">
        <v>188</v>
      </c>
      <c r="C194" s="12">
        <v>2446.0</v>
      </c>
      <c r="D194" s="10">
        <v>1010.0</v>
      </c>
      <c r="E194" s="13">
        <v>439.0</v>
      </c>
      <c r="F194" s="14">
        <v>-0.055</v>
      </c>
      <c r="G194" s="15">
        <v>111.0</v>
      </c>
      <c r="H194" s="15">
        <v>119.0</v>
      </c>
      <c r="I194" s="15">
        <v>102.0</v>
      </c>
      <c r="J194" s="15">
        <v>117.0</v>
      </c>
      <c r="K194" s="15">
        <v>124.0</v>
      </c>
      <c r="L194" s="15">
        <v>83.0</v>
      </c>
      <c r="M194" s="15">
        <v>102.0</v>
      </c>
      <c r="N194" s="15">
        <v>103.0</v>
      </c>
    </row>
    <row r="195">
      <c r="A195" s="10">
        <v>592325.0</v>
      </c>
      <c r="B195" s="11" t="s">
        <v>686</v>
      </c>
      <c r="C195" s="12">
        <v>1694.0</v>
      </c>
      <c r="D195" s="10">
        <v>726.0</v>
      </c>
      <c r="E195" s="13">
        <v>269.0</v>
      </c>
      <c r="F195" s="14">
        <v>-0.026</v>
      </c>
      <c r="G195" s="15">
        <v>109.0</v>
      </c>
      <c r="H195" s="15">
        <v>105.0</v>
      </c>
      <c r="I195" s="15">
        <v>88.0</v>
      </c>
      <c r="J195" s="15">
        <v>108.0</v>
      </c>
      <c r="K195" s="15">
        <v>102.0</v>
      </c>
      <c r="L195" s="15">
        <v>98.0</v>
      </c>
      <c r="M195" s="15">
        <v>102.0</v>
      </c>
      <c r="N195" s="15">
        <v>98.0</v>
      </c>
    </row>
    <row r="196">
      <c r="A196" s="10">
        <v>686681.0</v>
      </c>
      <c r="B196" s="11" t="s">
        <v>368</v>
      </c>
      <c r="C196" s="12">
        <v>703.0</v>
      </c>
      <c r="D196" s="10">
        <v>382.0</v>
      </c>
      <c r="E196" s="13">
        <v>129.0</v>
      </c>
      <c r="F196" s="14">
        <v>0.086</v>
      </c>
      <c r="G196" s="15">
        <v>97.0</v>
      </c>
      <c r="H196" s="15">
        <v>84.0</v>
      </c>
      <c r="I196" s="15">
        <v>116.0</v>
      </c>
      <c r="J196" s="15">
        <v>79.0</v>
      </c>
      <c r="K196" s="15">
        <v>99.0</v>
      </c>
      <c r="L196" s="15">
        <v>109.0</v>
      </c>
      <c r="M196" s="15">
        <v>102.0</v>
      </c>
      <c r="N196" s="15">
        <v>95.0</v>
      </c>
    </row>
    <row r="197">
      <c r="A197" s="10">
        <v>596019.0</v>
      </c>
      <c r="B197" s="11" t="s">
        <v>167</v>
      </c>
      <c r="C197" s="12">
        <v>2805.0</v>
      </c>
      <c r="D197" s="10">
        <v>1342.0</v>
      </c>
      <c r="E197" s="13">
        <v>497.0</v>
      </c>
      <c r="F197" s="14">
        <v>0.024</v>
      </c>
      <c r="G197" s="15">
        <v>101.0</v>
      </c>
      <c r="H197" s="15">
        <v>98.0</v>
      </c>
      <c r="I197" s="15">
        <v>110.0</v>
      </c>
      <c r="J197" s="15">
        <v>95.0</v>
      </c>
      <c r="K197" s="15">
        <v>104.0</v>
      </c>
      <c r="L197" s="15">
        <v>100.0</v>
      </c>
      <c r="M197" s="15">
        <v>102.0</v>
      </c>
      <c r="N197" s="15">
        <v>110.0</v>
      </c>
    </row>
    <row r="198">
      <c r="A198" s="10">
        <v>649557.0</v>
      </c>
      <c r="B198" s="11" t="s">
        <v>640</v>
      </c>
      <c r="C198" s="12">
        <v>1165.0</v>
      </c>
      <c r="D198" s="10">
        <v>608.0</v>
      </c>
      <c r="E198" s="13">
        <v>251.0</v>
      </c>
      <c r="F198" s="14">
        <v>0.043</v>
      </c>
      <c r="G198" s="15">
        <v>112.0</v>
      </c>
      <c r="H198" s="15">
        <v>102.0</v>
      </c>
      <c r="I198" s="15">
        <v>99.0</v>
      </c>
      <c r="J198" s="15">
        <v>102.0</v>
      </c>
      <c r="K198" s="15">
        <v>109.0</v>
      </c>
      <c r="L198" s="15">
        <v>96.0</v>
      </c>
      <c r="M198" s="15">
        <v>102.0</v>
      </c>
      <c r="N198" s="15">
        <v>99.0</v>
      </c>
    </row>
    <row r="199">
      <c r="A199" s="10">
        <v>662139.0</v>
      </c>
      <c r="B199" s="11" t="s">
        <v>548</v>
      </c>
      <c r="C199" s="12">
        <v>2289.0</v>
      </c>
      <c r="D199" s="10">
        <v>1162.0</v>
      </c>
      <c r="E199" s="13">
        <v>391.0</v>
      </c>
      <c r="F199" s="14">
        <v>0.023</v>
      </c>
      <c r="G199" s="15">
        <v>96.0</v>
      </c>
      <c r="H199" s="15">
        <v>97.0</v>
      </c>
      <c r="I199" s="15">
        <v>99.0</v>
      </c>
      <c r="J199" s="15">
        <v>97.0</v>
      </c>
      <c r="K199" s="15">
        <v>94.0</v>
      </c>
      <c r="L199" s="15">
        <v>106.0</v>
      </c>
      <c r="M199" s="15">
        <v>102.0</v>
      </c>
      <c r="N199" s="15">
        <v>108.0</v>
      </c>
    </row>
    <row r="200">
      <c r="A200" s="10">
        <v>641584.0</v>
      </c>
      <c r="B200" s="11" t="s">
        <v>298</v>
      </c>
      <c r="C200" s="12">
        <v>923.0</v>
      </c>
      <c r="D200" s="10">
        <v>434.0</v>
      </c>
      <c r="E200" s="13">
        <v>154.0</v>
      </c>
      <c r="F200" s="14">
        <v>0.009</v>
      </c>
      <c r="G200" s="15">
        <v>112.0</v>
      </c>
      <c r="H200" s="15">
        <v>101.0</v>
      </c>
      <c r="I200" s="15">
        <v>111.0</v>
      </c>
      <c r="J200" s="15">
        <v>97.0</v>
      </c>
      <c r="K200" s="15">
        <v>93.0</v>
      </c>
      <c r="L200" s="15">
        <v>105.0</v>
      </c>
      <c r="M200" s="15">
        <v>102.0</v>
      </c>
      <c r="N200" s="15">
        <v>109.0</v>
      </c>
    </row>
    <row r="201">
      <c r="A201" s="10">
        <v>621550.0</v>
      </c>
      <c r="B201" s="11" t="s">
        <v>516</v>
      </c>
      <c r="C201" s="12">
        <v>2164.0</v>
      </c>
      <c r="D201" s="10">
        <v>1035.0</v>
      </c>
      <c r="E201" s="13">
        <v>279.0</v>
      </c>
      <c r="F201" s="14">
        <v>-0.023</v>
      </c>
      <c r="G201" s="15">
        <v>119.0</v>
      </c>
      <c r="H201" s="15">
        <v>114.0</v>
      </c>
      <c r="I201" s="15">
        <v>92.0</v>
      </c>
      <c r="J201" s="15">
        <v>115.0</v>
      </c>
      <c r="K201" s="15">
        <v>72.0</v>
      </c>
      <c r="L201" s="15">
        <v>113.0</v>
      </c>
      <c r="M201" s="15">
        <v>102.0</v>
      </c>
      <c r="N201" s="15">
        <v>104.0</v>
      </c>
    </row>
    <row r="202">
      <c r="A202" s="10">
        <v>542583.0</v>
      </c>
      <c r="B202" s="11" t="s">
        <v>645</v>
      </c>
      <c r="C202" s="12">
        <v>2055.0</v>
      </c>
      <c r="D202" s="10">
        <v>1011.0</v>
      </c>
      <c r="E202" s="13">
        <v>344.0</v>
      </c>
      <c r="F202" s="14">
        <v>0.003</v>
      </c>
      <c r="G202" s="15">
        <v>74.0</v>
      </c>
      <c r="H202" s="15">
        <v>91.0</v>
      </c>
      <c r="I202" s="15">
        <v>108.0</v>
      </c>
      <c r="J202" s="15">
        <v>89.0</v>
      </c>
      <c r="K202" s="15">
        <v>108.0</v>
      </c>
      <c r="L202" s="15">
        <v>101.0</v>
      </c>
      <c r="M202" s="15">
        <v>102.0</v>
      </c>
      <c r="N202" s="15">
        <v>97.0</v>
      </c>
    </row>
    <row r="203">
      <c r="A203" s="10">
        <v>444482.0</v>
      </c>
      <c r="B203" s="11" t="s">
        <v>463</v>
      </c>
      <c r="C203" s="12">
        <v>1811.0</v>
      </c>
      <c r="D203" s="10">
        <v>909.0</v>
      </c>
      <c r="E203" s="13">
        <v>327.0</v>
      </c>
      <c r="F203" s="14">
        <v>0.034</v>
      </c>
      <c r="G203" s="15">
        <v>92.0</v>
      </c>
      <c r="H203" s="15">
        <v>90.0</v>
      </c>
      <c r="I203" s="15">
        <v>101.0</v>
      </c>
      <c r="J203" s="15">
        <v>90.0</v>
      </c>
      <c r="K203" s="15">
        <v>104.0</v>
      </c>
      <c r="L203" s="15">
        <v>103.0</v>
      </c>
      <c r="M203" s="15">
        <v>102.0</v>
      </c>
      <c r="N203" s="15">
        <v>101.0</v>
      </c>
    </row>
    <row r="204">
      <c r="A204" s="10">
        <v>669289.0</v>
      </c>
      <c r="B204" s="11" t="s">
        <v>339</v>
      </c>
      <c r="C204" s="12">
        <v>1893.0</v>
      </c>
      <c r="D204" s="10">
        <v>875.0</v>
      </c>
      <c r="E204" s="13">
        <v>383.0</v>
      </c>
      <c r="F204" s="14">
        <v>-0.03</v>
      </c>
      <c r="G204" s="15">
        <v>105.0</v>
      </c>
      <c r="H204" s="15">
        <v>112.0</v>
      </c>
      <c r="I204" s="15">
        <v>106.0</v>
      </c>
      <c r="J204" s="15">
        <v>109.0</v>
      </c>
      <c r="K204" s="15">
        <v>125.0</v>
      </c>
      <c r="L204" s="15">
        <v>85.0</v>
      </c>
      <c r="M204" s="15">
        <v>102.0</v>
      </c>
      <c r="N204" s="15">
        <v>104.0</v>
      </c>
    </row>
    <row r="205">
      <c r="A205" s="10">
        <v>663837.0</v>
      </c>
      <c r="B205" s="11" t="s">
        <v>461</v>
      </c>
      <c r="C205" s="12">
        <v>1388.0</v>
      </c>
      <c r="D205" s="10">
        <v>618.0</v>
      </c>
      <c r="E205" s="13">
        <v>257.0</v>
      </c>
      <c r="F205" s="14">
        <v>-0.042</v>
      </c>
      <c r="G205" s="15">
        <v>81.0</v>
      </c>
      <c r="H205" s="15">
        <v>94.0</v>
      </c>
      <c r="I205" s="15">
        <v>90.0</v>
      </c>
      <c r="J205" s="15">
        <v>98.0</v>
      </c>
      <c r="K205" s="15">
        <v>117.0</v>
      </c>
      <c r="L205" s="15">
        <v>96.0</v>
      </c>
      <c r="M205" s="15">
        <v>102.0</v>
      </c>
      <c r="N205" s="15">
        <v>92.0</v>
      </c>
    </row>
    <row r="206">
      <c r="A206" s="10">
        <v>664040.0</v>
      </c>
      <c r="B206" s="11" t="s">
        <v>91</v>
      </c>
      <c r="C206" s="12">
        <v>997.0</v>
      </c>
      <c r="D206" s="10">
        <v>533.0</v>
      </c>
      <c r="E206" s="13">
        <v>174.0</v>
      </c>
      <c r="F206" s="14">
        <v>0.082</v>
      </c>
      <c r="G206" s="15">
        <v>119.0</v>
      </c>
      <c r="H206" s="15">
        <v>104.0</v>
      </c>
      <c r="I206" s="15">
        <v>120.0</v>
      </c>
      <c r="J206" s="15">
        <v>96.0</v>
      </c>
      <c r="K206" s="15">
        <v>95.0</v>
      </c>
      <c r="L206" s="15">
        <v>102.0</v>
      </c>
      <c r="M206" s="15">
        <v>102.0</v>
      </c>
      <c r="N206" s="15">
        <v>102.0</v>
      </c>
    </row>
    <row r="207">
      <c r="A207" s="10">
        <v>621512.0</v>
      </c>
      <c r="B207" s="11" t="s">
        <v>517</v>
      </c>
      <c r="C207" s="12">
        <v>1055.0</v>
      </c>
      <c r="D207" s="10">
        <v>640.0</v>
      </c>
      <c r="E207" s="13">
        <v>219.0</v>
      </c>
      <c r="F207" s="14">
        <v>0.134</v>
      </c>
      <c r="G207" s="15">
        <v>109.0</v>
      </c>
      <c r="H207" s="15">
        <v>91.0</v>
      </c>
      <c r="I207" s="15">
        <v>132.0</v>
      </c>
      <c r="J207" s="15">
        <v>82.0</v>
      </c>
      <c r="K207" s="15">
        <v>85.0</v>
      </c>
      <c r="L207" s="15">
        <v>113.0</v>
      </c>
      <c r="M207" s="15">
        <v>102.0</v>
      </c>
      <c r="N207" s="15">
        <v>75.0</v>
      </c>
    </row>
    <row r="208">
      <c r="A208" s="10">
        <v>660757.0</v>
      </c>
      <c r="B208" s="11" t="s">
        <v>638</v>
      </c>
      <c r="C208" s="12">
        <v>1397.0</v>
      </c>
      <c r="D208" s="10">
        <v>826.0</v>
      </c>
      <c r="E208" s="13">
        <v>284.0</v>
      </c>
      <c r="F208" s="14">
        <v>0.111</v>
      </c>
      <c r="G208" s="15">
        <v>68.0</v>
      </c>
      <c r="H208" s="15">
        <v>59.0</v>
      </c>
      <c r="I208" s="15">
        <v>109.0</v>
      </c>
      <c r="J208" s="15">
        <v>60.0</v>
      </c>
      <c r="K208" s="15">
        <v>116.0</v>
      </c>
      <c r="L208" s="15">
        <v>108.0</v>
      </c>
      <c r="M208" s="15">
        <v>102.0</v>
      </c>
      <c r="N208" s="15">
        <v>114.0</v>
      </c>
    </row>
    <row r="209">
      <c r="A209" s="10">
        <v>663757.0</v>
      </c>
      <c r="B209" s="11" t="s">
        <v>54</v>
      </c>
      <c r="C209" s="12">
        <v>2199.0</v>
      </c>
      <c r="D209" s="10">
        <v>851.0</v>
      </c>
      <c r="E209" s="13">
        <v>309.0</v>
      </c>
      <c r="F209" s="14">
        <v>-0.098</v>
      </c>
      <c r="G209" s="15">
        <v>104.0</v>
      </c>
      <c r="H209" s="15">
        <v>116.0</v>
      </c>
      <c r="I209" s="15">
        <v>77.0</v>
      </c>
      <c r="J209" s="15">
        <v>123.0</v>
      </c>
      <c r="K209" s="15">
        <v>95.0</v>
      </c>
      <c r="L209" s="15">
        <v>94.0</v>
      </c>
      <c r="M209" s="15">
        <v>102.0</v>
      </c>
      <c r="N209" s="15">
        <v>95.0</v>
      </c>
    </row>
    <row r="210">
      <c r="A210" s="10">
        <v>594777.0</v>
      </c>
      <c r="B210" s="11" t="s">
        <v>599</v>
      </c>
      <c r="C210" s="12">
        <v>1694.0</v>
      </c>
      <c r="D210" s="10">
        <v>899.0</v>
      </c>
      <c r="E210" s="13">
        <v>254.0</v>
      </c>
      <c r="F210" s="14">
        <v>0.06</v>
      </c>
      <c r="G210" s="15">
        <v>119.0</v>
      </c>
      <c r="H210" s="15">
        <v>96.0</v>
      </c>
      <c r="I210" s="15">
        <v>110.0</v>
      </c>
      <c r="J210" s="15">
        <v>93.0</v>
      </c>
      <c r="K210" s="15">
        <v>77.0</v>
      </c>
      <c r="L210" s="15">
        <v>119.0</v>
      </c>
      <c r="M210" s="15">
        <v>102.0</v>
      </c>
      <c r="N210" s="15">
        <v>84.0</v>
      </c>
    </row>
    <row r="211">
      <c r="A211" s="10">
        <v>571657.0</v>
      </c>
      <c r="B211" s="11" t="s">
        <v>340</v>
      </c>
      <c r="C211" s="12">
        <v>2065.0</v>
      </c>
      <c r="D211" s="10">
        <v>1035.0</v>
      </c>
      <c r="E211" s="13">
        <v>423.0</v>
      </c>
      <c r="F211" s="14">
        <v>0.035</v>
      </c>
      <c r="G211" s="15">
        <v>77.0</v>
      </c>
      <c r="H211" s="15">
        <v>84.0</v>
      </c>
      <c r="I211" s="15">
        <v>104.0</v>
      </c>
      <c r="J211" s="15">
        <v>84.0</v>
      </c>
      <c r="K211" s="15">
        <v>112.0</v>
      </c>
      <c r="L211" s="15">
        <v>101.0</v>
      </c>
      <c r="M211" s="15">
        <v>102.0</v>
      </c>
      <c r="N211" s="15">
        <v>100.0</v>
      </c>
    </row>
    <row r="212">
      <c r="A212" s="10">
        <v>642165.0</v>
      </c>
      <c r="B212" s="11" t="s">
        <v>687</v>
      </c>
      <c r="C212" s="12">
        <v>801.0</v>
      </c>
      <c r="D212" s="10">
        <v>289.0</v>
      </c>
      <c r="E212" s="13">
        <v>126.0</v>
      </c>
      <c r="F212" s="14">
        <v>-0.137</v>
      </c>
      <c r="G212" s="15">
        <v>97.0</v>
      </c>
      <c r="H212" s="15">
        <v>121.0</v>
      </c>
      <c r="I212" s="15">
        <v>81.0</v>
      </c>
      <c r="J212" s="15">
        <v>130.0</v>
      </c>
      <c r="K212" s="15">
        <v>98.0</v>
      </c>
      <c r="L212" s="15">
        <v>91.0</v>
      </c>
      <c r="M212" s="15">
        <v>101.0</v>
      </c>
      <c r="N212" s="15">
        <v>82.0</v>
      </c>
    </row>
    <row r="213">
      <c r="A213" s="10">
        <v>571980.0</v>
      </c>
      <c r="B213" s="11" t="s">
        <v>688</v>
      </c>
      <c r="C213" s="12">
        <v>1240.0</v>
      </c>
      <c r="D213" s="10">
        <v>720.0</v>
      </c>
      <c r="E213" s="13">
        <v>217.0</v>
      </c>
      <c r="F213" s="14">
        <v>0.101</v>
      </c>
      <c r="G213" s="15">
        <v>106.0</v>
      </c>
      <c r="H213" s="15">
        <v>81.0</v>
      </c>
      <c r="I213" s="15">
        <v>118.0</v>
      </c>
      <c r="J213" s="15">
        <v>76.0</v>
      </c>
      <c r="K213" s="15">
        <v>85.0</v>
      </c>
      <c r="L213" s="15">
        <v>119.0</v>
      </c>
      <c r="M213" s="15">
        <v>101.0</v>
      </c>
      <c r="N213" s="15">
        <v>97.0</v>
      </c>
    </row>
    <row r="214">
      <c r="A214" s="10">
        <v>542932.0</v>
      </c>
      <c r="B214" s="11" t="s">
        <v>596</v>
      </c>
      <c r="C214" s="12">
        <v>1554.0</v>
      </c>
      <c r="D214" s="10">
        <v>695.0</v>
      </c>
      <c r="E214" s="13">
        <v>270.0</v>
      </c>
      <c r="F214" s="14">
        <v>-0.048</v>
      </c>
      <c r="G214" s="15">
        <v>112.0</v>
      </c>
      <c r="H214" s="15">
        <v>127.0</v>
      </c>
      <c r="I214" s="15">
        <v>99.0</v>
      </c>
      <c r="J214" s="15">
        <v>126.0</v>
      </c>
      <c r="K214" s="15">
        <v>90.0</v>
      </c>
      <c r="L214" s="15">
        <v>93.0</v>
      </c>
      <c r="M214" s="15">
        <v>101.0</v>
      </c>
      <c r="N214" s="15">
        <v>101.0</v>
      </c>
    </row>
    <row r="215">
      <c r="A215" s="10">
        <v>624428.0</v>
      </c>
      <c r="B215" s="11" t="s">
        <v>307</v>
      </c>
      <c r="C215" s="12">
        <v>2171.0</v>
      </c>
      <c r="D215" s="10">
        <v>1058.0</v>
      </c>
      <c r="E215" s="13">
        <v>474.0</v>
      </c>
      <c r="F215" s="14">
        <v>0.029</v>
      </c>
      <c r="G215" s="15">
        <v>103.0</v>
      </c>
      <c r="H215" s="15">
        <v>105.0</v>
      </c>
      <c r="I215" s="15">
        <v>119.0</v>
      </c>
      <c r="J215" s="15">
        <v>97.0</v>
      </c>
      <c r="K215" s="15">
        <v>123.0</v>
      </c>
      <c r="L215" s="15">
        <v>89.0</v>
      </c>
      <c r="M215" s="15">
        <v>101.0</v>
      </c>
      <c r="N215" s="15">
        <v>89.0</v>
      </c>
    </row>
    <row r="216">
      <c r="A216" s="10">
        <v>681146.0</v>
      </c>
      <c r="B216" s="11" t="s">
        <v>356</v>
      </c>
      <c r="C216" s="12">
        <v>789.0</v>
      </c>
      <c r="D216" s="10">
        <v>281.0</v>
      </c>
      <c r="E216" s="13">
        <v>129.0</v>
      </c>
      <c r="F216" s="14">
        <v>-0.128</v>
      </c>
      <c r="G216" s="15">
        <v>63.0</v>
      </c>
      <c r="H216" s="15">
        <v>99.0</v>
      </c>
      <c r="I216" s="15">
        <v>68.0</v>
      </c>
      <c r="J216" s="15">
        <v>111.0</v>
      </c>
      <c r="K216" s="15">
        <v>126.0</v>
      </c>
      <c r="L216" s="15">
        <v>90.0</v>
      </c>
      <c r="M216" s="15">
        <v>101.0</v>
      </c>
      <c r="N216" s="15">
        <v>90.0</v>
      </c>
    </row>
    <row r="217">
      <c r="A217" s="10">
        <v>630105.0</v>
      </c>
      <c r="B217" s="11" t="s">
        <v>253</v>
      </c>
      <c r="C217" s="12">
        <v>2643.0</v>
      </c>
      <c r="D217" s="10">
        <v>1104.0</v>
      </c>
      <c r="E217" s="13">
        <v>464.0</v>
      </c>
      <c r="F217" s="14">
        <v>-0.061</v>
      </c>
      <c r="G217" s="15">
        <v>96.0</v>
      </c>
      <c r="H217" s="15">
        <v>110.0</v>
      </c>
      <c r="I217" s="15">
        <v>88.0</v>
      </c>
      <c r="J217" s="15">
        <v>114.0</v>
      </c>
      <c r="K217" s="15">
        <v>114.0</v>
      </c>
      <c r="L217" s="15">
        <v>89.0</v>
      </c>
      <c r="M217" s="15">
        <v>101.0</v>
      </c>
      <c r="N217" s="15">
        <v>107.0</v>
      </c>
    </row>
    <row r="218">
      <c r="A218" s="10">
        <v>542194.0</v>
      </c>
      <c r="B218" s="11" t="s">
        <v>571</v>
      </c>
      <c r="C218" s="12">
        <v>1092.0</v>
      </c>
      <c r="D218" s="10">
        <v>686.0</v>
      </c>
      <c r="E218" s="13">
        <v>237.0</v>
      </c>
      <c r="F218" s="14">
        <v>0.135</v>
      </c>
      <c r="G218" s="15">
        <v>92.0</v>
      </c>
      <c r="H218" s="15">
        <v>76.0</v>
      </c>
      <c r="I218" s="15">
        <v>126.0</v>
      </c>
      <c r="J218" s="15">
        <v>67.0</v>
      </c>
      <c r="K218" s="15">
        <v>101.0</v>
      </c>
      <c r="L218" s="15">
        <v>108.0</v>
      </c>
      <c r="M218" s="15">
        <v>101.0</v>
      </c>
      <c r="N218" s="15">
        <v>96.0</v>
      </c>
    </row>
    <row r="219">
      <c r="A219" s="10">
        <v>624415.0</v>
      </c>
      <c r="B219" s="11" t="s">
        <v>533</v>
      </c>
      <c r="C219" s="12">
        <v>1264.0</v>
      </c>
      <c r="D219" s="10">
        <v>510.0</v>
      </c>
      <c r="E219" s="13">
        <v>173.0</v>
      </c>
      <c r="F219" s="14">
        <v>-0.096</v>
      </c>
      <c r="G219" s="15">
        <v>116.0</v>
      </c>
      <c r="H219" s="15">
        <v>134.0</v>
      </c>
      <c r="I219" s="15">
        <v>92.0</v>
      </c>
      <c r="J219" s="15">
        <v>135.0</v>
      </c>
      <c r="K219" s="15">
        <v>83.0</v>
      </c>
      <c r="L219" s="15">
        <v>89.0</v>
      </c>
      <c r="M219" s="15">
        <v>101.0</v>
      </c>
      <c r="N219" s="15">
        <v>105.0</v>
      </c>
    </row>
    <row r="220">
      <c r="A220" s="10">
        <v>670712.0</v>
      </c>
      <c r="B220" s="11" t="s">
        <v>689</v>
      </c>
      <c r="C220" s="12">
        <v>681.0</v>
      </c>
      <c r="D220" s="10">
        <v>320.0</v>
      </c>
      <c r="E220" s="13">
        <v>93.0</v>
      </c>
      <c r="F220" s="14">
        <v>-0.028</v>
      </c>
      <c r="G220" s="15">
        <v>97.0</v>
      </c>
      <c r="H220" s="15">
        <v>107.0</v>
      </c>
      <c r="I220" s="15">
        <v>90.0</v>
      </c>
      <c r="J220" s="15">
        <v>110.0</v>
      </c>
      <c r="K220" s="15">
        <v>89.0</v>
      </c>
      <c r="L220" s="15">
        <v>102.0</v>
      </c>
      <c r="M220" s="15">
        <v>100.0</v>
      </c>
      <c r="N220" s="15">
        <v>115.0</v>
      </c>
    </row>
    <row r="221">
      <c r="A221" s="10">
        <v>663697.0</v>
      </c>
      <c r="B221" s="11" t="s">
        <v>146</v>
      </c>
      <c r="C221" s="12">
        <v>1718.0</v>
      </c>
      <c r="D221" s="10">
        <v>707.0</v>
      </c>
      <c r="E221" s="13">
        <v>290.0</v>
      </c>
      <c r="F221" s="14">
        <v>-0.085</v>
      </c>
      <c r="G221" s="15">
        <v>81.0</v>
      </c>
      <c r="H221" s="15">
        <v>107.0</v>
      </c>
      <c r="I221" s="15">
        <v>87.0</v>
      </c>
      <c r="J221" s="15">
        <v>111.0</v>
      </c>
      <c r="K221" s="15">
        <v>103.0</v>
      </c>
      <c r="L221" s="15">
        <v>95.0</v>
      </c>
      <c r="M221" s="15">
        <v>100.0</v>
      </c>
      <c r="N221" s="15">
        <v>110.0</v>
      </c>
    </row>
    <row r="222">
      <c r="A222" s="10">
        <v>621438.0</v>
      </c>
      <c r="B222" s="11" t="s">
        <v>315</v>
      </c>
      <c r="C222" s="12">
        <v>1513.0</v>
      </c>
      <c r="D222" s="10">
        <v>770.0</v>
      </c>
      <c r="E222" s="13">
        <v>273.0</v>
      </c>
      <c r="F222" s="14">
        <v>0.02</v>
      </c>
      <c r="G222" s="15">
        <v>98.0</v>
      </c>
      <c r="H222" s="15">
        <v>94.0</v>
      </c>
      <c r="I222" s="15">
        <v>104.0</v>
      </c>
      <c r="J222" s="15">
        <v>93.0</v>
      </c>
      <c r="K222" s="15">
        <v>93.0</v>
      </c>
      <c r="L222" s="15">
        <v>106.0</v>
      </c>
      <c r="M222" s="15">
        <v>100.0</v>
      </c>
      <c r="N222" s="15">
        <v>105.0</v>
      </c>
    </row>
    <row r="223">
      <c r="A223" s="10">
        <v>605353.0</v>
      </c>
      <c r="B223" s="11" t="s">
        <v>690</v>
      </c>
      <c r="C223" s="12">
        <v>992.0</v>
      </c>
      <c r="D223" s="10">
        <v>444.0</v>
      </c>
      <c r="E223" s="13">
        <v>178.0</v>
      </c>
      <c r="F223" s="14">
        <v>-0.008</v>
      </c>
      <c r="G223" s="15">
        <v>102.0</v>
      </c>
      <c r="H223" s="15">
        <v>102.0</v>
      </c>
      <c r="I223" s="15">
        <v>105.0</v>
      </c>
      <c r="J223" s="15">
        <v>100.0</v>
      </c>
      <c r="K223" s="15">
        <v>120.0</v>
      </c>
      <c r="L223" s="15">
        <v>89.0</v>
      </c>
      <c r="M223" s="15">
        <v>100.0</v>
      </c>
      <c r="N223" s="15">
        <v>86.0</v>
      </c>
    </row>
    <row r="224">
      <c r="A224" s="10">
        <v>665161.0</v>
      </c>
      <c r="B224" s="11" t="s">
        <v>157</v>
      </c>
      <c r="C224" s="12">
        <v>1983.0</v>
      </c>
      <c r="D224" s="10">
        <v>1098.0</v>
      </c>
      <c r="E224" s="13">
        <v>391.0</v>
      </c>
      <c r="F224" s="14">
        <v>0.065</v>
      </c>
      <c r="G224" s="15">
        <v>99.0</v>
      </c>
      <c r="H224" s="15">
        <v>89.0</v>
      </c>
      <c r="I224" s="15">
        <v>110.0</v>
      </c>
      <c r="J224" s="15">
        <v>87.0</v>
      </c>
      <c r="K224" s="15">
        <v>106.0</v>
      </c>
      <c r="L224" s="15">
        <v>101.0</v>
      </c>
      <c r="M224" s="15">
        <v>100.0</v>
      </c>
      <c r="N224" s="15">
        <v>101.0</v>
      </c>
    </row>
    <row r="225">
      <c r="A225" s="10">
        <v>663538.0</v>
      </c>
      <c r="B225" s="11" t="s">
        <v>290</v>
      </c>
      <c r="C225" s="12">
        <v>1757.0</v>
      </c>
      <c r="D225" s="10">
        <v>871.0</v>
      </c>
      <c r="E225" s="13">
        <v>412.0</v>
      </c>
      <c r="F225" s="14">
        <v>0.021</v>
      </c>
      <c r="G225" s="15">
        <v>84.0</v>
      </c>
      <c r="H225" s="15">
        <v>94.0</v>
      </c>
      <c r="I225" s="15">
        <v>105.0</v>
      </c>
      <c r="J225" s="15">
        <v>92.0</v>
      </c>
      <c r="K225" s="15">
        <v>132.0</v>
      </c>
      <c r="L225" s="15">
        <v>89.0</v>
      </c>
      <c r="M225" s="15">
        <v>100.0</v>
      </c>
      <c r="N225" s="15">
        <v>108.0</v>
      </c>
    </row>
    <row r="226">
      <c r="A226" s="10">
        <v>663743.0</v>
      </c>
      <c r="B226" s="11" t="s">
        <v>296</v>
      </c>
      <c r="C226" s="12">
        <v>843.0</v>
      </c>
      <c r="D226" s="10">
        <v>379.0</v>
      </c>
      <c r="E226" s="13">
        <v>171.0</v>
      </c>
      <c r="F226" s="14">
        <v>-0.012</v>
      </c>
      <c r="G226" s="15">
        <v>106.0</v>
      </c>
      <c r="H226" s="15">
        <v>106.0</v>
      </c>
      <c r="I226" s="15">
        <v>93.0</v>
      </c>
      <c r="J226" s="15">
        <v>108.0</v>
      </c>
      <c r="K226" s="15">
        <v>101.0</v>
      </c>
      <c r="L226" s="15">
        <v>97.0</v>
      </c>
      <c r="M226" s="15">
        <v>100.0</v>
      </c>
      <c r="N226" s="15">
        <v>99.0</v>
      </c>
    </row>
    <row r="227">
      <c r="A227" s="10">
        <v>665833.0</v>
      </c>
      <c r="B227" s="11" t="s">
        <v>86</v>
      </c>
      <c r="C227" s="12">
        <v>1446.0</v>
      </c>
      <c r="D227" s="10">
        <v>586.0</v>
      </c>
      <c r="E227" s="13">
        <v>204.0</v>
      </c>
      <c r="F227" s="14">
        <v>-0.055</v>
      </c>
      <c r="G227" s="15">
        <v>63.0</v>
      </c>
      <c r="H227" s="15">
        <v>72.0</v>
      </c>
      <c r="I227" s="15">
        <v>56.0</v>
      </c>
      <c r="J227" s="15">
        <v>89.0</v>
      </c>
      <c r="K227" s="15">
        <v>95.0</v>
      </c>
      <c r="L227" s="15">
        <v>118.0</v>
      </c>
      <c r="M227" s="15">
        <v>100.0</v>
      </c>
      <c r="N227" s="15">
        <v>108.0</v>
      </c>
    </row>
    <row r="228">
      <c r="A228" s="10">
        <v>663647.0</v>
      </c>
      <c r="B228" s="11" t="s">
        <v>273</v>
      </c>
      <c r="C228" s="12">
        <v>2215.0</v>
      </c>
      <c r="D228" s="10">
        <v>959.0</v>
      </c>
      <c r="E228" s="13">
        <v>383.0</v>
      </c>
      <c r="F228" s="14">
        <v>-0.034</v>
      </c>
      <c r="G228" s="15">
        <v>94.0</v>
      </c>
      <c r="H228" s="15">
        <v>94.0</v>
      </c>
      <c r="I228" s="15">
        <v>78.0</v>
      </c>
      <c r="J228" s="15">
        <v>102.0</v>
      </c>
      <c r="K228" s="15">
        <v>111.0</v>
      </c>
      <c r="L228" s="15">
        <v>97.0</v>
      </c>
      <c r="M228" s="15">
        <v>100.0</v>
      </c>
      <c r="N228" s="15">
        <v>99.0</v>
      </c>
    </row>
    <row r="229">
      <c r="A229" s="10">
        <v>676369.0</v>
      </c>
      <c r="B229" s="11" t="s">
        <v>473</v>
      </c>
      <c r="C229" s="12">
        <v>754.0</v>
      </c>
      <c r="D229" s="10">
        <v>353.0</v>
      </c>
      <c r="E229" s="13">
        <v>107.0</v>
      </c>
      <c r="F229" s="14">
        <v>-0.03</v>
      </c>
      <c r="G229" s="15">
        <v>125.0</v>
      </c>
      <c r="H229" s="15">
        <v>116.0</v>
      </c>
      <c r="I229" s="15">
        <v>78.0</v>
      </c>
      <c r="J229" s="15">
        <v>122.0</v>
      </c>
      <c r="K229" s="15">
        <v>69.0</v>
      </c>
      <c r="L229" s="15">
        <v>110.0</v>
      </c>
      <c r="M229" s="15">
        <v>100.0</v>
      </c>
      <c r="N229" s="15">
        <v>93.0</v>
      </c>
    </row>
    <row r="230">
      <c r="A230" s="10">
        <v>668227.0</v>
      </c>
      <c r="B230" s="11" t="s">
        <v>96</v>
      </c>
      <c r="C230" s="12">
        <v>2498.0</v>
      </c>
      <c r="D230" s="10">
        <v>1152.0</v>
      </c>
      <c r="E230" s="13">
        <v>426.0</v>
      </c>
      <c r="F230" s="14">
        <v>-0.016</v>
      </c>
      <c r="G230" s="15">
        <v>89.0</v>
      </c>
      <c r="H230" s="15">
        <v>92.0</v>
      </c>
      <c r="I230" s="15">
        <v>90.0</v>
      </c>
      <c r="J230" s="15">
        <v>96.0</v>
      </c>
      <c r="K230" s="15">
        <v>102.0</v>
      </c>
      <c r="L230" s="15">
        <v>102.0</v>
      </c>
      <c r="M230" s="15">
        <v>100.0</v>
      </c>
      <c r="N230" s="15">
        <v>113.0</v>
      </c>
    </row>
    <row r="231">
      <c r="A231" s="10">
        <v>656716.0</v>
      </c>
      <c r="B231" s="11" t="s">
        <v>189</v>
      </c>
      <c r="C231" s="12">
        <v>760.0</v>
      </c>
      <c r="D231" s="10">
        <v>350.0</v>
      </c>
      <c r="E231" s="13">
        <v>109.0</v>
      </c>
      <c r="F231" s="14">
        <v>-0.016</v>
      </c>
      <c r="G231" s="15">
        <v>93.0</v>
      </c>
      <c r="H231" s="15">
        <v>89.0</v>
      </c>
      <c r="I231" s="15">
        <v>85.0</v>
      </c>
      <c r="J231" s="15">
        <v>95.0</v>
      </c>
      <c r="K231" s="15">
        <v>96.0</v>
      </c>
      <c r="L231" s="15">
        <v>107.0</v>
      </c>
      <c r="M231" s="15">
        <v>100.0</v>
      </c>
      <c r="N231" s="15">
        <v>92.0</v>
      </c>
    </row>
    <row r="232">
      <c r="A232" s="10">
        <v>543333.0</v>
      </c>
      <c r="B232" s="11" t="s">
        <v>621</v>
      </c>
      <c r="C232" s="12">
        <v>1599.0</v>
      </c>
      <c r="D232" s="10">
        <v>786.0</v>
      </c>
      <c r="E232" s="13">
        <v>315.0</v>
      </c>
      <c r="F232" s="14">
        <v>0.03</v>
      </c>
      <c r="G232" s="15">
        <v>88.0</v>
      </c>
      <c r="H232" s="15">
        <v>91.0</v>
      </c>
      <c r="I232" s="15">
        <v>112.0</v>
      </c>
      <c r="J232" s="15">
        <v>88.0</v>
      </c>
      <c r="K232" s="15">
        <v>123.0</v>
      </c>
      <c r="L232" s="15">
        <v>92.0</v>
      </c>
      <c r="M232" s="15">
        <v>100.0</v>
      </c>
      <c r="N232" s="15">
        <v>99.0</v>
      </c>
    </row>
    <row r="233">
      <c r="A233" s="10">
        <v>680757.0</v>
      </c>
      <c r="B233" s="11" t="s">
        <v>198</v>
      </c>
      <c r="C233" s="12">
        <v>2588.0</v>
      </c>
      <c r="D233" s="10">
        <v>986.0</v>
      </c>
      <c r="E233" s="13">
        <v>498.0</v>
      </c>
      <c r="F233" s="14">
        <v>-0.086</v>
      </c>
      <c r="G233" s="15">
        <v>88.0</v>
      </c>
      <c r="H233" s="15">
        <v>107.0</v>
      </c>
      <c r="I233" s="15">
        <v>91.0</v>
      </c>
      <c r="J233" s="15">
        <v>110.0</v>
      </c>
      <c r="K233" s="15">
        <v>141.0</v>
      </c>
      <c r="L233" s="15">
        <v>80.0</v>
      </c>
      <c r="M233" s="15">
        <v>100.0</v>
      </c>
      <c r="N233" s="15">
        <v>113.0</v>
      </c>
    </row>
    <row r="234">
      <c r="A234" s="10">
        <v>608070.0</v>
      </c>
      <c r="B234" s="11" t="s">
        <v>171</v>
      </c>
      <c r="C234" s="12">
        <v>2698.0</v>
      </c>
      <c r="D234" s="10">
        <v>1244.0</v>
      </c>
      <c r="E234" s="13">
        <v>515.0</v>
      </c>
      <c r="F234" s="14">
        <v>0.009</v>
      </c>
      <c r="G234" s="15">
        <v>98.0</v>
      </c>
      <c r="H234" s="15">
        <v>92.0</v>
      </c>
      <c r="I234" s="15">
        <v>113.0</v>
      </c>
      <c r="J234" s="15">
        <v>89.0</v>
      </c>
      <c r="K234" s="15">
        <v>126.0</v>
      </c>
      <c r="L234" s="15">
        <v>90.0</v>
      </c>
      <c r="M234" s="15">
        <v>99.0</v>
      </c>
      <c r="N234" s="15">
        <v>115.0</v>
      </c>
    </row>
    <row r="235">
      <c r="A235" s="10">
        <v>500743.0</v>
      </c>
      <c r="B235" s="11" t="s">
        <v>336</v>
      </c>
      <c r="C235" s="12">
        <v>1796.0</v>
      </c>
      <c r="D235" s="10">
        <v>856.0</v>
      </c>
      <c r="E235" s="13">
        <v>409.0</v>
      </c>
      <c r="F235" s="14">
        <v>-0.001</v>
      </c>
      <c r="G235" s="15">
        <v>90.0</v>
      </c>
      <c r="H235" s="15">
        <v>101.0</v>
      </c>
      <c r="I235" s="15">
        <v>102.0</v>
      </c>
      <c r="J235" s="15">
        <v>100.0</v>
      </c>
      <c r="K235" s="15">
        <v>136.0</v>
      </c>
      <c r="L235" s="15">
        <v>84.0</v>
      </c>
      <c r="M235" s="15">
        <v>99.0</v>
      </c>
      <c r="N235" s="15">
        <v>90.0</v>
      </c>
    </row>
    <row r="236">
      <c r="A236" s="10">
        <v>645801.0</v>
      </c>
      <c r="B236" s="11" t="s">
        <v>601</v>
      </c>
      <c r="C236" s="12">
        <v>611.0</v>
      </c>
      <c r="D236" s="10">
        <v>215.0</v>
      </c>
      <c r="E236" s="13">
        <v>90.0</v>
      </c>
      <c r="F236" s="14">
        <v>-0.096</v>
      </c>
      <c r="G236" s="15">
        <v>98.0</v>
      </c>
      <c r="H236" s="15">
        <v>107.0</v>
      </c>
      <c r="I236" s="15">
        <v>55.0</v>
      </c>
      <c r="J236" s="15">
        <v>119.0</v>
      </c>
      <c r="K236" s="15">
        <v>107.0</v>
      </c>
      <c r="L236" s="15">
        <v>91.0</v>
      </c>
      <c r="M236" s="15">
        <v>99.0</v>
      </c>
      <c r="N236" s="15">
        <v>93.0</v>
      </c>
    </row>
    <row r="237">
      <c r="A237" s="10">
        <v>543939.0</v>
      </c>
      <c r="B237" s="11" t="s">
        <v>649</v>
      </c>
      <c r="C237" s="12">
        <v>2040.0</v>
      </c>
      <c r="D237" s="10">
        <v>880.0</v>
      </c>
      <c r="E237" s="13">
        <v>348.0</v>
      </c>
      <c r="F237" s="14">
        <v>-0.027</v>
      </c>
      <c r="G237" s="15">
        <v>114.0</v>
      </c>
      <c r="H237" s="15">
        <v>115.0</v>
      </c>
      <c r="I237" s="15">
        <v>109.0</v>
      </c>
      <c r="J237" s="15">
        <v>110.0</v>
      </c>
      <c r="K237" s="15">
        <v>101.0</v>
      </c>
      <c r="L237" s="15">
        <v>91.0</v>
      </c>
      <c r="M237" s="15">
        <v>99.0</v>
      </c>
      <c r="N237" s="15">
        <v>110.0</v>
      </c>
    </row>
    <row r="238">
      <c r="A238" s="10">
        <v>623520.0</v>
      </c>
      <c r="B238" s="11" t="s">
        <v>691</v>
      </c>
      <c r="C238" s="12">
        <v>489.0</v>
      </c>
      <c r="D238" s="10">
        <v>218.0</v>
      </c>
      <c r="E238" s="13">
        <v>70.0</v>
      </c>
      <c r="F238" s="14">
        <v>-0.058</v>
      </c>
      <c r="G238" s="15">
        <v>84.0</v>
      </c>
      <c r="H238" s="15">
        <v>94.0</v>
      </c>
      <c r="I238" s="15">
        <v>91.0</v>
      </c>
      <c r="J238" s="15">
        <v>98.0</v>
      </c>
      <c r="K238" s="15">
        <v>92.0</v>
      </c>
      <c r="L238" s="15">
        <v>106.0</v>
      </c>
      <c r="M238" s="15">
        <v>99.0</v>
      </c>
      <c r="N238" s="15">
        <v>114.0</v>
      </c>
    </row>
    <row r="239">
      <c r="A239" s="10">
        <v>656541.0</v>
      </c>
      <c r="B239" s="11" t="s">
        <v>489</v>
      </c>
      <c r="C239" s="12">
        <v>861.0</v>
      </c>
      <c r="D239" s="10">
        <v>379.0</v>
      </c>
      <c r="E239" s="13">
        <v>118.0</v>
      </c>
      <c r="F239" s="14">
        <v>-0.054</v>
      </c>
      <c r="G239" s="15">
        <v>121.0</v>
      </c>
      <c r="H239" s="15">
        <v>119.0</v>
      </c>
      <c r="I239" s="15">
        <v>94.0</v>
      </c>
      <c r="J239" s="15">
        <v>120.0</v>
      </c>
      <c r="K239" s="15">
        <v>82.0</v>
      </c>
      <c r="L239" s="15">
        <v>97.0</v>
      </c>
      <c r="M239" s="15">
        <v>99.0</v>
      </c>
      <c r="N239" s="15">
        <v>82.0</v>
      </c>
    </row>
    <row r="240">
      <c r="A240" s="10">
        <v>657041.0</v>
      </c>
      <c r="B240" s="11" t="s">
        <v>367</v>
      </c>
      <c r="C240" s="12">
        <v>2172.0</v>
      </c>
      <c r="D240" s="10">
        <v>953.0</v>
      </c>
      <c r="E240" s="13">
        <v>368.0</v>
      </c>
      <c r="F240" s="14">
        <v>-0.056</v>
      </c>
      <c r="G240" s="15">
        <v>94.0</v>
      </c>
      <c r="H240" s="15">
        <v>105.0</v>
      </c>
      <c r="I240" s="15">
        <v>82.0</v>
      </c>
      <c r="J240" s="15">
        <v>111.0</v>
      </c>
      <c r="K240" s="15">
        <v>99.0</v>
      </c>
      <c r="L240" s="15">
        <v>96.0</v>
      </c>
      <c r="M240" s="15">
        <v>99.0</v>
      </c>
      <c r="N240" s="15">
        <v>106.0</v>
      </c>
    </row>
    <row r="241">
      <c r="A241" s="10">
        <v>669222.0</v>
      </c>
      <c r="B241" s="11" t="s">
        <v>478</v>
      </c>
      <c r="C241" s="12">
        <v>1398.0</v>
      </c>
      <c r="D241" s="10">
        <v>658.0</v>
      </c>
      <c r="E241" s="13">
        <v>290.0</v>
      </c>
      <c r="F241" s="14">
        <v>0.011</v>
      </c>
      <c r="G241" s="15">
        <v>110.0</v>
      </c>
      <c r="H241" s="15">
        <v>108.0</v>
      </c>
      <c r="I241" s="15">
        <v>99.0</v>
      </c>
      <c r="J241" s="15">
        <v>108.0</v>
      </c>
      <c r="K241" s="15">
        <v>108.0</v>
      </c>
      <c r="L241" s="15">
        <v>92.0</v>
      </c>
      <c r="M241" s="15">
        <v>99.0</v>
      </c>
      <c r="N241" s="15">
        <v>86.0</v>
      </c>
    </row>
    <row r="242">
      <c r="A242" s="10">
        <v>677951.0</v>
      </c>
      <c r="B242" s="11" t="s">
        <v>44</v>
      </c>
      <c r="C242" s="12">
        <v>2304.0</v>
      </c>
      <c r="D242" s="10">
        <v>1192.0</v>
      </c>
      <c r="E242" s="13">
        <v>449.0</v>
      </c>
      <c r="F242" s="14">
        <v>0.042</v>
      </c>
      <c r="G242" s="15">
        <v>91.0</v>
      </c>
      <c r="H242" s="15">
        <v>84.0</v>
      </c>
      <c r="I242" s="15">
        <v>108.0</v>
      </c>
      <c r="J242" s="15">
        <v>82.0</v>
      </c>
      <c r="K242" s="15">
        <v>109.0</v>
      </c>
      <c r="L242" s="15">
        <v>100.0</v>
      </c>
      <c r="M242" s="15">
        <v>99.0</v>
      </c>
      <c r="N242" s="15">
        <v>100.0</v>
      </c>
    </row>
    <row r="243">
      <c r="A243" s="10">
        <v>669261.0</v>
      </c>
      <c r="B243" s="11" t="s">
        <v>497</v>
      </c>
      <c r="C243" s="12">
        <v>1551.0</v>
      </c>
      <c r="D243" s="10">
        <v>669.0</v>
      </c>
      <c r="E243" s="13">
        <v>211.0</v>
      </c>
      <c r="F243" s="14">
        <v>-0.047</v>
      </c>
      <c r="G243" s="15">
        <v>95.0</v>
      </c>
      <c r="H243" s="15">
        <v>101.0</v>
      </c>
      <c r="I243" s="15">
        <v>84.0</v>
      </c>
      <c r="J243" s="15">
        <v>107.0</v>
      </c>
      <c r="K243" s="15">
        <v>85.0</v>
      </c>
      <c r="L243" s="15">
        <v>106.0</v>
      </c>
      <c r="M243" s="15">
        <v>99.0</v>
      </c>
      <c r="N243" s="15">
        <v>102.0</v>
      </c>
    </row>
    <row r="244">
      <c r="A244" s="10">
        <v>571875.0</v>
      </c>
      <c r="B244" s="11" t="s">
        <v>692</v>
      </c>
      <c r="C244" s="12">
        <v>450.0</v>
      </c>
      <c r="D244" s="10">
        <v>196.0</v>
      </c>
      <c r="E244" s="13">
        <v>59.0</v>
      </c>
      <c r="F244" s="14">
        <v>-0.022</v>
      </c>
      <c r="G244" s="15">
        <v>102.0</v>
      </c>
      <c r="H244" s="15">
        <v>97.0</v>
      </c>
      <c r="I244" s="15">
        <v>81.0</v>
      </c>
      <c r="J244" s="15">
        <v>104.0</v>
      </c>
      <c r="K244" s="15">
        <v>84.0</v>
      </c>
      <c r="L244" s="15">
        <v>109.0</v>
      </c>
      <c r="M244" s="15">
        <v>99.0</v>
      </c>
      <c r="N244" s="15">
        <v>99.0</v>
      </c>
    </row>
    <row r="245">
      <c r="A245" s="10">
        <v>660821.0</v>
      </c>
      <c r="B245" s="11" t="s">
        <v>128</v>
      </c>
      <c r="C245" s="12">
        <v>1366.0</v>
      </c>
      <c r="D245" s="10">
        <v>653.0</v>
      </c>
      <c r="E245" s="13">
        <v>220.0</v>
      </c>
      <c r="F245" s="14">
        <v>0.024</v>
      </c>
      <c r="G245" s="15">
        <v>88.0</v>
      </c>
      <c r="H245" s="15">
        <v>80.0</v>
      </c>
      <c r="I245" s="15">
        <v>96.0</v>
      </c>
      <c r="J245" s="15">
        <v>84.0</v>
      </c>
      <c r="K245" s="15">
        <v>101.0</v>
      </c>
      <c r="L245" s="15">
        <v>107.0</v>
      </c>
      <c r="M245" s="15">
        <v>99.0</v>
      </c>
      <c r="N245" s="15">
        <v>96.0</v>
      </c>
    </row>
    <row r="246">
      <c r="A246" s="10">
        <v>641531.0</v>
      </c>
      <c r="B246" s="11" t="s">
        <v>693</v>
      </c>
      <c r="C246" s="12">
        <v>1921.0</v>
      </c>
      <c r="D246" s="10">
        <v>969.0</v>
      </c>
      <c r="E246" s="13">
        <v>334.0</v>
      </c>
      <c r="F246" s="14">
        <v>0.028</v>
      </c>
      <c r="G246" s="15">
        <v>99.0</v>
      </c>
      <c r="H246" s="15">
        <v>90.0</v>
      </c>
      <c r="I246" s="15">
        <v>96.0</v>
      </c>
      <c r="J246" s="15">
        <v>93.0</v>
      </c>
      <c r="K246" s="15">
        <v>99.0</v>
      </c>
      <c r="L246" s="15">
        <v>103.0</v>
      </c>
      <c r="M246" s="15">
        <v>99.0</v>
      </c>
      <c r="N246" s="15">
        <v>98.0</v>
      </c>
    </row>
    <row r="247">
      <c r="A247" s="10">
        <v>681481.0</v>
      </c>
      <c r="B247" s="11" t="s">
        <v>114</v>
      </c>
      <c r="C247" s="12">
        <v>425.0</v>
      </c>
      <c r="D247" s="10">
        <v>222.0</v>
      </c>
      <c r="E247" s="13">
        <v>71.0</v>
      </c>
      <c r="F247" s="14">
        <v>0.041</v>
      </c>
      <c r="G247" s="15">
        <v>97.0</v>
      </c>
      <c r="H247" s="15">
        <v>84.0</v>
      </c>
      <c r="I247" s="15">
        <v>97.0</v>
      </c>
      <c r="J247" s="15">
        <v>86.0</v>
      </c>
      <c r="K247" s="15">
        <v>85.0</v>
      </c>
      <c r="L247" s="15">
        <v>114.0</v>
      </c>
      <c r="M247" s="15">
        <v>99.0</v>
      </c>
      <c r="N247" s="15">
        <v>117.0</v>
      </c>
    </row>
    <row r="248">
      <c r="A248" s="10">
        <v>640461.0</v>
      </c>
      <c r="B248" s="11" t="s">
        <v>694</v>
      </c>
      <c r="C248" s="12">
        <v>1418.0</v>
      </c>
      <c r="D248" s="10">
        <v>748.0</v>
      </c>
      <c r="E248" s="13">
        <v>242.0</v>
      </c>
      <c r="F248" s="14">
        <v>0.024</v>
      </c>
      <c r="G248" s="15">
        <v>115.0</v>
      </c>
      <c r="H248" s="15">
        <v>106.0</v>
      </c>
      <c r="I248" s="15">
        <v>104.0</v>
      </c>
      <c r="J248" s="15">
        <v>104.0</v>
      </c>
      <c r="K248" s="15">
        <v>76.0</v>
      </c>
      <c r="L248" s="15">
        <v>109.0</v>
      </c>
      <c r="M248" s="15">
        <v>98.0</v>
      </c>
      <c r="N248" s="15">
        <v>98.0</v>
      </c>
    </row>
    <row r="249">
      <c r="A249" s="10">
        <v>608348.0</v>
      </c>
      <c r="B249" s="11" t="s">
        <v>71</v>
      </c>
      <c r="C249" s="12">
        <v>1409.0</v>
      </c>
      <c r="D249" s="10">
        <v>615.0</v>
      </c>
      <c r="E249" s="13">
        <v>246.0</v>
      </c>
      <c r="F249" s="14">
        <v>-0.057</v>
      </c>
      <c r="G249" s="15">
        <v>97.0</v>
      </c>
      <c r="H249" s="15">
        <v>113.0</v>
      </c>
      <c r="I249" s="15">
        <v>97.0</v>
      </c>
      <c r="J249" s="15">
        <v>113.0</v>
      </c>
      <c r="K249" s="15">
        <v>101.0</v>
      </c>
      <c r="L249" s="15">
        <v>91.0</v>
      </c>
      <c r="M249" s="15">
        <v>98.0</v>
      </c>
      <c r="N249" s="15">
        <v>93.0</v>
      </c>
    </row>
    <row r="250">
      <c r="A250" s="10">
        <v>641779.0</v>
      </c>
      <c r="B250" s="11" t="s">
        <v>695</v>
      </c>
      <c r="C250" s="12">
        <v>695.0</v>
      </c>
      <c r="D250" s="10">
        <v>310.0</v>
      </c>
      <c r="E250" s="13">
        <v>103.0</v>
      </c>
      <c r="F250" s="14">
        <v>-0.058</v>
      </c>
      <c r="G250" s="15">
        <v>92.0</v>
      </c>
      <c r="H250" s="15">
        <v>97.0</v>
      </c>
      <c r="I250" s="15">
        <v>55.0</v>
      </c>
      <c r="J250" s="15">
        <v>113.0</v>
      </c>
      <c r="K250" s="15">
        <v>92.0</v>
      </c>
      <c r="L250" s="15">
        <v>104.0</v>
      </c>
      <c r="M250" s="15">
        <v>98.0</v>
      </c>
      <c r="N250" s="15">
        <v>111.0</v>
      </c>
    </row>
    <row r="251">
      <c r="A251" s="10">
        <v>669242.0</v>
      </c>
      <c r="B251" s="11" t="s">
        <v>191</v>
      </c>
      <c r="C251" s="12">
        <v>2306.0</v>
      </c>
      <c r="D251" s="10">
        <v>1085.0</v>
      </c>
      <c r="E251" s="13">
        <v>465.0</v>
      </c>
      <c r="F251" s="14">
        <v>0.004</v>
      </c>
      <c r="G251" s="15">
        <v>86.0</v>
      </c>
      <c r="H251" s="15">
        <v>90.0</v>
      </c>
      <c r="I251" s="15">
        <v>94.0</v>
      </c>
      <c r="J251" s="15">
        <v>93.0</v>
      </c>
      <c r="K251" s="15">
        <v>119.0</v>
      </c>
      <c r="L251" s="15">
        <v>93.0</v>
      </c>
      <c r="M251" s="15">
        <v>98.0</v>
      </c>
      <c r="N251" s="15">
        <v>105.0</v>
      </c>
    </row>
    <row r="252">
      <c r="A252" s="10">
        <v>660162.0</v>
      </c>
      <c r="B252" s="11" t="s">
        <v>101</v>
      </c>
      <c r="C252" s="12">
        <v>1688.0</v>
      </c>
      <c r="D252" s="10">
        <v>797.0</v>
      </c>
      <c r="E252" s="13">
        <v>280.0</v>
      </c>
      <c r="F252" s="14">
        <v>-0.008</v>
      </c>
      <c r="G252" s="15">
        <v>98.0</v>
      </c>
      <c r="H252" s="15">
        <v>93.0</v>
      </c>
      <c r="I252" s="15">
        <v>83.0</v>
      </c>
      <c r="J252" s="15">
        <v>100.0</v>
      </c>
      <c r="K252" s="15">
        <v>97.0</v>
      </c>
      <c r="L252" s="15">
        <v>102.0</v>
      </c>
      <c r="M252" s="15">
        <v>98.0</v>
      </c>
      <c r="N252" s="15">
        <v>90.0</v>
      </c>
    </row>
    <row r="253">
      <c r="A253" s="10">
        <v>614177.0</v>
      </c>
      <c r="B253" s="11" t="s">
        <v>696</v>
      </c>
      <c r="C253" s="12">
        <v>1803.0</v>
      </c>
      <c r="D253" s="10">
        <v>856.0</v>
      </c>
      <c r="E253" s="13">
        <v>275.0</v>
      </c>
      <c r="F253" s="14">
        <v>-0.02</v>
      </c>
      <c r="G253" s="15">
        <v>97.0</v>
      </c>
      <c r="H253" s="15">
        <v>97.0</v>
      </c>
      <c r="I253" s="15">
        <v>76.0</v>
      </c>
      <c r="J253" s="15">
        <v>105.0</v>
      </c>
      <c r="K253" s="15">
        <v>88.0</v>
      </c>
      <c r="L253" s="15">
        <v>106.0</v>
      </c>
      <c r="M253" s="15">
        <v>98.0</v>
      </c>
      <c r="N253" s="15">
        <v>94.0</v>
      </c>
    </row>
    <row r="254">
      <c r="A254" s="10">
        <v>656582.0</v>
      </c>
      <c r="B254" s="11" t="s">
        <v>522</v>
      </c>
      <c r="C254" s="12">
        <v>1881.0</v>
      </c>
      <c r="D254" s="10">
        <v>763.0</v>
      </c>
      <c r="E254" s="13">
        <v>307.0</v>
      </c>
      <c r="F254" s="14">
        <v>-0.085</v>
      </c>
      <c r="G254" s="15">
        <v>91.0</v>
      </c>
      <c r="H254" s="15">
        <v>111.0</v>
      </c>
      <c r="I254" s="15">
        <v>76.0</v>
      </c>
      <c r="J254" s="15">
        <v>120.0</v>
      </c>
      <c r="K254" s="15">
        <v>104.0</v>
      </c>
      <c r="L254" s="15">
        <v>90.0</v>
      </c>
      <c r="M254" s="15">
        <v>98.0</v>
      </c>
      <c r="N254" s="15">
        <v>104.0</v>
      </c>
    </row>
    <row r="255">
      <c r="A255" s="10">
        <v>660766.0</v>
      </c>
      <c r="B255" s="11" t="s">
        <v>485</v>
      </c>
      <c r="C255" s="12">
        <v>1030.0</v>
      </c>
      <c r="D255" s="10">
        <v>560.0</v>
      </c>
      <c r="E255" s="13">
        <v>195.0</v>
      </c>
      <c r="F255" s="14">
        <v>0.049</v>
      </c>
      <c r="G255" s="15">
        <v>102.0</v>
      </c>
      <c r="H255" s="15">
        <v>95.0</v>
      </c>
      <c r="I255" s="15">
        <v>110.0</v>
      </c>
      <c r="J255" s="15">
        <v>92.0</v>
      </c>
      <c r="K255" s="15">
        <v>95.0</v>
      </c>
      <c r="L255" s="15">
        <v>102.0</v>
      </c>
      <c r="M255" s="15">
        <v>98.0</v>
      </c>
      <c r="N255" s="15">
        <v>106.0</v>
      </c>
    </row>
    <row r="256">
      <c r="A256" s="10">
        <v>595909.0</v>
      </c>
      <c r="B256" s="11" t="s">
        <v>514</v>
      </c>
      <c r="C256" s="12">
        <v>705.0</v>
      </c>
      <c r="D256" s="10">
        <v>358.0</v>
      </c>
      <c r="E256" s="13">
        <v>116.0</v>
      </c>
      <c r="F256" s="14">
        <v>0.056</v>
      </c>
      <c r="G256" s="15">
        <v>105.0</v>
      </c>
      <c r="H256" s="15">
        <v>86.0</v>
      </c>
      <c r="I256" s="15">
        <v>108.0</v>
      </c>
      <c r="J256" s="15">
        <v>85.0</v>
      </c>
      <c r="K256" s="15">
        <v>87.0</v>
      </c>
      <c r="L256" s="15">
        <v>111.0</v>
      </c>
      <c r="M256" s="15">
        <v>98.0</v>
      </c>
      <c r="N256" s="15">
        <v>85.0</v>
      </c>
    </row>
    <row r="257">
      <c r="A257" s="10">
        <v>571771.0</v>
      </c>
      <c r="B257" s="11" t="s">
        <v>507</v>
      </c>
      <c r="C257" s="12">
        <v>1482.0</v>
      </c>
      <c r="D257" s="10">
        <v>706.0</v>
      </c>
      <c r="E257" s="13">
        <v>292.0</v>
      </c>
      <c r="F257" s="14">
        <v>0.022</v>
      </c>
      <c r="G257" s="15">
        <v>115.0</v>
      </c>
      <c r="H257" s="15">
        <v>105.0</v>
      </c>
      <c r="I257" s="15">
        <v>112.0</v>
      </c>
      <c r="J257" s="15">
        <v>100.0</v>
      </c>
      <c r="K257" s="15">
        <v>111.0</v>
      </c>
      <c r="L257" s="15">
        <v>90.0</v>
      </c>
      <c r="M257" s="15">
        <v>98.0</v>
      </c>
      <c r="N257" s="15">
        <v>91.0</v>
      </c>
    </row>
    <row r="258">
      <c r="A258" s="10">
        <v>453568.0</v>
      </c>
      <c r="B258" s="11" t="s">
        <v>511</v>
      </c>
      <c r="C258" s="12">
        <v>2070.0</v>
      </c>
      <c r="D258" s="10">
        <v>1066.0</v>
      </c>
      <c r="E258" s="13">
        <v>424.0</v>
      </c>
      <c r="F258" s="14">
        <v>0.037</v>
      </c>
      <c r="G258" s="15">
        <v>98.0</v>
      </c>
      <c r="H258" s="15">
        <v>95.0</v>
      </c>
      <c r="I258" s="15">
        <v>109.0</v>
      </c>
      <c r="J258" s="15">
        <v>92.0</v>
      </c>
      <c r="K258" s="15">
        <v>110.0</v>
      </c>
      <c r="L258" s="15">
        <v>94.0</v>
      </c>
      <c r="M258" s="15">
        <v>98.0</v>
      </c>
      <c r="N258" s="15">
        <v>105.0</v>
      </c>
    </row>
    <row r="259">
      <c r="A259" s="10">
        <v>462101.0</v>
      </c>
      <c r="B259" s="11" t="s">
        <v>629</v>
      </c>
      <c r="C259" s="12">
        <v>2237.0</v>
      </c>
      <c r="D259" s="10">
        <v>1017.0</v>
      </c>
      <c r="E259" s="13">
        <v>438.0</v>
      </c>
      <c r="F259" s="14">
        <v>-0.03</v>
      </c>
      <c r="G259" s="15">
        <v>88.0</v>
      </c>
      <c r="H259" s="15">
        <v>103.0</v>
      </c>
      <c r="I259" s="15">
        <v>94.0</v>
      </c>
      <c r="J259" s="15">
        <v>105.0</v>
      </c>
      <c r="K259" s="15">
        <v>114.0</v>
      </c>
      <c r="L259" s="15">
        <v>90.0</v>
      </c>
      <c r="M259" s="15">
        <v>97.0</v>
      </c>
      <c r="N259" s="15">
        <v>107.0</v>
      </c>
    </row>
    <row r="260">
      <c r="A260" s="10">
        <v>592206.0</v>
      </c>
      <c r="B260" s="11" t="s">
        <v>166</v>
      </c>
      <c r="C260" s="12">
        <v>2045.0</v>
      </c>
      <c r="D260" s="10">
        <v>1164.0</v>
      </c>
      <c r="E260" s="13">
        <v>394.0</v>
      </c>
      <c r="F260" s="14">
        <v>0.084</v>
      </c>
      <c r="G260" s="15">
        <v>97.0</v>
      </c>
      <c r="H260" s="15">
        <v>85.0</v>
      </c>
      <c r="I260" s="15">
        <v>112.0</v>
      </c>
      <c r="J260" s="15">
        <v>82.0</v>
      </c>
      <c r="K260" s="15">
        <v>101.0</v>
      </c>
      <c r="L260" s="15">
        <v>102.0</v>
      </c>
      <c r="M260" s="15">
        <v>97.0</v>
      </c>
      <c r="N260" s="15">
        <v>101.0</v>
      </c>
    </row>
    <row r="261">
      <c r="A261" s="10">
        <v>669016.0</v>
      </c>
      <c r="B261" s="11" t="s">
        <v>162</v>
      </c>
      <c r="C261" s="12">
        <v>1776.0</v>
      </c>
      <c r="D261" s="10">
        <v>848.0</v>
      </c>
      <c r="E261" s="13">
        <v>267.0</v>
      </c>
      <c r="F261" s="14">
        <v>-0.004</v>
      </c>
      <c r="G261" s="15">
        <v>88.0</v>
      </c>
      <c r="H261" s="15">
        <v>80.0</v>
      </c>
      <c r="I261" s="15">
        <v>77.0</v>
      </c>
      <c r="J261" s="15">
        <v>90.0</v>
      </c>
      <c r="K261" s="15">
        <v>87.0</v>
      </c>
      <c r="L261" s="15">
        <v>114.0</v>
      </c>
      <c r="M261" s="15">
        <v>97.0</v>
      </c>
      <c r="N261" s="15">
        <v>99.0</v>
      </c>
    </row>
    <row r="262">
      <c r="A262" s="10">
        <v>623912.0</v>
      </c>
      <c r="B262" s="11" t="s">
        <v>559</v>
      </c>
      <c r="C262" s="12">
        <v>1558.0</v>
      </c>
      <c r="D262" s="10">
        <v>879.0</v>
      </c>
      <c r="E262" s="13">
        <v>333.0</v>
      </c>
      <c r="F262" s="14">
        <v>0.089</v>
      </c>
      <c r="G262" s="15">
        <v>79.0</v>
      </c>
      <c r="H262" s="15">
        <v>77.0</v>
      </c>
      <c r="I262" s="15">
        <v>112.0</v>
      </c>
      <c r="J262" s="15">
        <v>75.0</v>
      </c>
      <c r="K262" s="15">
        <v>116.0</v>
      </c>
      <c r="L262" s="15">
        <v>97.0</v>
      </c>
      <c r="M262" s="15">
        <v>97.0</v>
      </c>
      <c r="N262" s="15">
        <v>110.0</v>
      </c>
    </row>
    <row r="263">
      <c r="A263" s="10">
        <v>628451.0</v>
      </c>
      <c r="B263" s="11" t="s">
        <v>537</v>
      </c>
      <c r="C263" s="12">
        <v>456.0</v>
      </c>
      <c r="D263" s="10">
        <v>213.0</v>
      </c>
      <c r="E263" s="13">
        <v>96.0</v>
      </c>
      <c r="F263" s="14">
        <v>-0.01</v>
      </c>
      <c r="G263" s="15">
        <v>120.0</v>
      </c>
      <c r="H263" s="15">
        <v>126.0</v>
      </c>
      <c r="I263" s="15">
        <v>111.0</v>
      </c>
      <c r="J263" s="15">
        <v>120.0</v>
      </c>
      <c r="K263" s="15">
        <v>108.0</v>
      </c>
      <c r="L263" s="15">
        <v>83.0</v>
      </c>
      <c r="M263" s="15">
        <v>97.0</v>
      </c>
      <c r="N263" s="15">
        <v>82.0</v>
      </c>
    </row>
    <row r="264">
      <c r="A264" s="10">
        <v>624431.0</v>
      </c>
      <c r="B264" s="11" t="s">
        <v>305</v>
      </c>
      <c r="C264" s="12">
        <v>1245.0</v>
      </c>
      <c r="D264" s="10">
        <v>625.0</v>
      </c>
      <c r="E264" s="13">
        <v>273.0</v>
      </c>
      <c r="F264" s="14">
        <v>0.021</v>
      </c>
      <c r="G264" s="15">
        <v>59.0</v>
      </c>
      <c r="H264" s="15">
        <v>80.0</v>
      </c>
      <c r="I264" s="15">
        <v>93.0</v>
      </c>
      <c r="J264" s="15">
        <v>84.0</v>
      </c>
      <c r="K264" s="15">
        <v>122.0</v>
      </c>
      <c r="L264" s="15">
        <v>95.0</v>
      </c>
      <c r="M264" s="15">
        <v>97.0</v>
      </c>
      <c r="N264" s="15">
        <v>100.0</v>
      </c>
    </row>
    <row r="265">
      <c r="A265" s="10">
        <v>682998.0</v>
      </c>
      <c r="B265" s="11" t="s">
        <v>49</v>
      </c>
      <c r="C265" s="12">
        <v>456.0</v>
      </c>
      <c r="D265" s="10">
        <v>205.0</v>
      </c>
      <c r="E265" s="13">
        <v>73.0</v>
      </c>
      <c r="F265" s="14">
        <v>-0.032</v>
      </c>
      <c r="G265" s="15">
        <v>88.0</v>
      </c>
      <c r="H265" s="15">
        <v>88.0</v>
      </c>
      <c r="I265" s="15">
        <v>81.0</v>
      </c>
      <c r="J265" s="15">
        <v>95.0</v>
      </c>
      <c r="K265" s="15">
        <v>99.0</v>
      </c>
      <c r="L265" s="15">
        <v>102.0</v>
      </c>
      <c r="M265" s="15">
        <v>97.0</v>
      </c>
      <c r="N265" s="15">
        <v>126.0</v>
      </c>
    </row>
    <row r="266">
      <c r="A266" s="10">
        <v>680911.0</v>
      </c>
      <c r="B266" s="11" t="s">
        <v>615</v>
      </c>
      <c r="C266" s="12">
        <v>1799.0</v>
      </c>
      <c r="D266" s="10">
        <v>865.0</v>
      </c>
      <c r="E266" s="13">
        <v>334.0</v>
      </c>
      <c r="F266" s="14">
        <v>0.0</v>
      </c>
      <c r="G266" s="15">
        <v>75.0</v>
      </c>
      <c r="H266" s="15">
        <v>89.0</v>
      </c>
      <c r="I266" s="15">
        <v>83.0</v>
      </c>
      <c r="J266" s="15">
        <v>95.0</v>
      </c>
      <c r="K266" s="15">
        <v>113.0</v>
      </c>
      <c r="L266" s="15">
        <v>95.0</v>
      </c>
      <c r="M266" s="15">
        <v>97.0</v>
      </c>
      <c r="N266" s="15">
        <v>98.0</v>
      </c>
    </row>
    <row r="267">
      <c r="A267" s="10">
        <v>665828.0</v>
      </c>
      <c r="B267" s="11" t="s">
        <v>376</v>
      </c>
      <c r="C267" s="12">
        <v>705.0</v>
      </c>
      <c r="D267" s="10">
        <v>369.0</v>
      </c>
      <c r="E267" s="13">
        <v>112.0</v>
      </c>
      <c r="F267" s="14">
        <v>0.034</v>
      </c>
      <c r="G267" s="15">
        <v>100.0</v>
      </c>
      <c r="H267" s="15">
        <v>89.0</v>
      </c>
      <c r="I267" s="15">
        <v>111.0</v>
      </c>
      <c r="J267" s="15">
        <v>86.0</v>
      </c>
      <c r="K267" s="15">
        <v>100.0</v>
      </c>
      <c r="L267" s="15">
        <v>101.0</v>
      </c>
      <c r="M267" s="15">
        <v>97.0</v>
      </c>
      <c r="N267" s="15">
        <v>106.0</v>
      </c>
    </row>
    <row r="268">
      <c r="A268" s="10">
        <v>608336.0</v>
      </c>
      <c r="B268" s="11" t="s">
        <v>481</v>
      </c>
      <c r="C268" s="12">
        <v>1705.0</v>
      </c>
      <c r="D268" s="10">
        <v>809.0</v>
      </c>
      <c r="E268" s="13">
        <v>187.0</v>
      </c>
      <c r="F268" s="14">
        <v>-0.002</v>
      </c>
      <c r="G268" s="15">
        <v>108.0</v>
      </c>
      <c r="H268" s="15">
        <v>102.0</v>
      </c>
      <c r="I268" s="15">
        <v>85.0</v>
      </c>
      <c r="J268" s="15">
        <v>106.0</v>
      </c>
      <c r="K268" s="15">
        <v>62.0</v>
      </c>
      <c r="L268" s="15">
        <v>124.0</v>
      </c>
      <c r="M268" s="15">
        <v>97.0</v>
      </c>
      <c r="N268" s="15">
        <v>89.0</v>
      </c>
    </row>
    <row r="269">
      <c r="A269" s="10">
        <v>644374.0</v>
      </c>
      <c r="B269" s="11" t="s">
        <v>697</v>
      </c>
      <c r="C269" s="12">
        <v>756.0</v>
      </c>
      <c r="D269" s="10">
        <v>361.0</v>
      </c>
      <c r="E269" s="13">
        <v>110.0</v>
      </c>
      <c r="F269" s="14">
        <v>-0.014</v>
      </c>
      <c r="G269" s="15">
        <v>102.0</v>
      </c>
      <c r="H269" s="15">
        <v>109.0</v>
      </c>
      <c r="I269" s="15">
        <v>87.0</v>
      </c>
      <c r="J269" s="15">
        <v>112.0</v>
      </c>
      <c r="K269" s="15">
        <v>83.0</v>
      </c>
      <c r="L269" s="15">
        <v>101.0</v>
      </c>
      <c r="M269" s="15">
        <v>97.0</v>
      </c>
      <c r="N269" s="15">
        <v>92.0</v>
      </c>
    </row>
    <row r="270">
      <c r="A270" s="10">
        <v>641680.0</v>
      </c>
      <c r="B270" s="11" t="s">
        <v>333</v>
      </c>
      <c r="C270" s="12">
        <v>1736.0</v>
      </c>
      <c r="D270" s="10">
        <v>882.0</v>
      </c>
      <c r="E270" s="13">
        <v>317.0</v>
      </c>
      <c r="F270" s="14">
        <v>0.026</v>
      </c>
      <c r="G270" s="15">
        <v>111.0</v>
      </c>
      <c r="H270" s="15">
        <v>103.0</v>
      </c>
      <c r="I270" s="15">
        <v>102.0</v>
      </c>
      <c r="J270" s="15">
        <v>102.0</v>
      </c>
      <c r="K270" s="15">
        <v>105.0</v>
      </c>
      <c r="L270" s="15">
        <v>92.0</v>
      </c>
      <c r="M270" s="15">
        <v>97.0</v>
      </c>
      <c r="N270" s="15">
        <v>98.0</v>
      </c>
    </row>
    <row r="271">
      <c r="A271" s="10">
        <v>571976.0</v>
      </c>
      <c r="B271" s="11" t="s">
        <v>663</v>
      </c>
      <c r="C271" s="12">
        <v>1146.0</v>
      </c>
      <c r="D271" s="10">
        <v>523.0</v>
      </c>
      <c r="E271" s="13">
        <v>177.0</v>
      </c>
      <c r="F271" s="14">
        <v>-0.03</v>
      </c>
      <c r="G271" s="15">
        <v>87.0</v>
      </c>
      <c r="H271" s="15">
        <v>89.0</v>
      </c>
      <c r="I271" s="15">
        <v>68.0</v>
      </c>
      <c r="J271" s="15">
        <v>102.0</v>
      </c>
      <c r="K271" s="15">
        <v>87.0</v>
      </c>
      <c r="L271" s="15">
        <v>108.0</v>
      </c>
      <c r="M271" s="15">
        <v>97.0</v>
      </c>
      <c r="N271" s="15">
        <v>107.0</v>
      </c>
    </row>
    <row r="272">
      <c r="A272" s="10">
        <v>594807.0</v>
      </c>
      <c r="B272" s="11" t="s">
        <v>527</v>
      </c>
      <c r="C272" s="12">
        <v>1214.0</v>
      </c>
      <c r="D272" s="10">
        <v>614.0</v>
      </c>
      <c r="E272" s="13">
        <v>188.0</v>
      </c>
      <c r="F272" s="14">
        <v>0.03</v>
      </c>
      <c r="G272" s="15">
        <v>81.0</v>
      </c>
      <c r="H272" s="15">
        <v>76.0</v>
      </c>
      <c r="I272" s="15">
        <v>82.0</v>
      </c>
      <c r="J272" s="15">
        <v>84.0</v>
      </c>
      <c r="K272" s="15">
        <v>83.0</v>
      </c>
      <c r="L272" s="15">
        <v>118.0</v>
      </c>
      <c r="M272" s="15">
        <v>97.0</v>
      </c>
      <c r="N272" s="15">
        <v>97.0</v>
      </c>
    </row>
    <row r="273">
      <c r="A273" s="10">
        <v>642708.0</v>
      </c>
      <c r="B273" s="11" t="s">
        <v>131</v>
      </c>
      <c r="C273" s="12">
        <v>2355.0</v>
      </c>
      <c r="D273" s="10">
        <v>1251.0</v>
      </c>
      <c r="E273" s="13">
        <v>519.0</v>
      </c>
      <c r="F273" s="14">
        <v>0.063</v>
      </c>
      <c r="G273" s="15">
        <v>73.0</v>
      </c>
      <c r="H273" s="15">
        <v>76.0</v>
      </c>
      <c r="I273" s="15">
        <v>110.0</v>
      </c>
      <c r="J273" s="15">
        <v>74.0</v>
      </c>
      <c r="K273" s="15">
        <v>116.0</v>
      </c>
      <c r="L273" s="15">
        <v>98.0</v>
      </c>
      <c r="M273" s="15">
        <v>96.0</v>
      </c>
      <c r="N273" s="15">
        <v>102.0</v>
      </c>
    </row>
    <row r="274">
      <c r="A274" s="10">
        <v>669087.0</v>
      </c>
      <c r="B274" s="11" t="s">
        <v>698</v>
      </c>
      <c r="C274" s="12">
        <v>486.0</v>
      </c>
      <c r="D274" s="10">
        <v>259.0</v>
      </c>
      <c r="E274" s="13">
        <v>79.0</v>
      </c>
      <c r="F274" s="14">
        <v>0.049</v>
      </c>
      <c r="G274" s="15">
        <v>101.0</v>
      </c>
      <c r="H274" s="15">
        <v>97.0</v>
      </c>
      <c r="I274" s="15">
        <v>104.0</v>
      </c>
      <c r="J274" s="15">
        <v>96.0</v>
      </c>
      <c r="K274" s="15">
        <v>80.0</v>
      </c>
      <c r="L274" s="15">
        <v>109.0</v>
      </c>
      <c r="M274" s="15">
        <v>96.0</v>
      </c>
      <c r="N274" s="15">
        <v>101.0</v>
      </c>
    </row>
    <row r="275">
      <c r="A275" s="10">
        <v>593160.0</v>
      </c>
      <c r="B275" s="11" t="s">
        <v>518</v>
      </c>
      <c r="C275" s="12">
        <v>1996.0</v>
      </c>
      <c r="D275" s="10">
        <v>1014.0</v>
      </c>
      <c r="E275" s="13">
        <v>420.0</v>
      </c>
      <c r="F275" s="14">
        <v>0.024</v>
      </c>
      <c r="G275" s="15">
        <v>104.0</v>
      </c>
      <c r="H275" s="15">
        <v>105.0</v>
      </c>
      <c r="I275" s="15">
        <v>114.0</v>
      </c>
      <c r="J275" s="15">
        <v>99.0</v>
      </c>
      <c r="K275" s="15">
        <v>117.0</v>
      </c>
      <c r="L275" s="15">
        <v>87.0</v>
      </c>
      <c r="M275" s="15">
        <v>96.0</v>
      </c>
      <c r="N275" s="15">
        <v>99.0</v>
      </c>
    </row>
    <row r="276">
      <c r="A276" s="10">
        <v>622534.0</v>
      </c>
      <c r="B276" s="11" t="s">
        <v>467</v>
      </c>
      <c r="C276" s="12">
        <v>1392.0</v>
      </c>
      <c r="D276" s="10">
        <v>733.0</v>
      </c>
      <c r="E276" s="13">
        <v>268.0</v>
      </c>
      <c r="F276" s="14">
        <v>0.041</v>
      </c>
      <c r="G276" s="15">
        <v>106.0</v>
      </c>
      <c r="H276" s="15">
        <v>107.0</v>
      </c>
      <c r="I276" s="15">
        <v>128.0</v>
      </c>
      <c r="J276" s="15">
        <v>96.0</v>
      </c>
      <c r="K276" s="15">
        <v>108.0</v>
      </c>
      <c r="L276" s="15">
        <v>89.0</v>
      </c>
      <c r="M276" s="15">
        <v>96.0</v>
      </c>
      <c r="N276" s="15">
        <v>107.0</v>
      </c>
    </row>
    <row r="277">
      <c r="A277" s="10">
        <v>605170.0</v>
      </c>
      <c r="B277" s="11" t="s">
        <v>175</v>
      </c>
      <c r="C277" s="12">
        <v>1238.0</v>
      </c>
      <c r="D277" s="10">
        <v>522.0</v>
      </c>
      <c r="E277" s="13">
        <v>204.0</v>
      </c>
      <c r="F277" s="14">
        <v>-0.046</v>
      </c>
      <c r="G277" s="15">
        <v>96.0</v>
      </c>
      <c r="H277" s="15">
        <v>101.0</v>
      </c>
      <c r="I277" s="15">
        <v>85.0</v>
      </c>
      <c r="J277" s="15">
        <v>106.0</v>
      </c>
      <c r="K277" s="15">
        <v>104.0</v>
      </c>
      <c r="L277" s="15">
        <v>93.0</v>
      </c>
      <c r="M277" s="15">
        <v>96.0</v>
      </c>
      <c r="N277" s="15">
        <v>91.0</v>
      </c>
    </row>
    <row r="278">
      <c r="A278" s="10">
        <v>621035.0</v>
      </c>
      <c r="B278" s="11" t="s">
        <v>490</v>
      </c>
      <c r="C278" s="12">
        <v>1944.0</v>
      </c>
      <c r="D278" s="10">
        <v>966.0</v>
      </c>
      <c r="E278" s="13">
        <v>242.0</v>
      </c>
      <c r="F278" s="14">
        <v>-0.007</v>
      </c>
      <c r="G278" s="15">
        <v>136.0</v>
      </c>
      <c r="H278" s="15">
        <v>132.0</v>
      </c>
      <c r="I278" s="15">
        <v>124.0</v>
      </c>
      <c r="J278" s="15">
        <v>121.0</v>
      </c>
      <c r="K278" s="15">
        <v>61.0</v>
      </c>
      <c r="L278" s="15">
        <v>102.0</v>
      </c>
      <c r="M278" s="15">
        <v>96.0</v>
      </c>
      <c r="N278" s="15">
        <v>102.0</v>
      </c>
    </row>
    <row r="279">
      <c r="A279" s="10">
        <v>542364.0</v>
      </c>
      <c r="B279" s="11" t="s">
        <v>613</v>
      </c>
      <c r="C279" s="12">
        <v>1485.0</v>
      </c>
      <c r="D279" s="10">
        <v>669.0</v>
      </c>
      <c r="E279" s="13">
        <v>247.0</v>
      </c>
      <c r="F279" s="14">
        <v>-0.008</v>
      </c>
      <c r="G279" s="15">
        <v>108.0</v>
      </c>
      <c r="H279" s="15">
        <v>109.0</v>
      </c>
      <c r="I279" s="15">
        <v>105.0</v>
      </c>
      <c r="J279" s="15">
        <v>106.0</v>
      </c>
      <c r="K279" s="15">
        <v>106.0</v>
      </c>
      <c r="L279" s="15">
        <v>87.0</v>
      </c>
      <c r="M279" s="15">
        <v>96.0</v>
      </c>
      <c r="N279" s="15">
        <v>97.0</v>
      </c>
    </row>
    <row r="280">
      <c r="A280" s="10">
        <v>664901.0</v>
      </c>
      <c r="B280" s="11" t="s">
        <v>543</v>
      </c>
      <c r="C280" s="12">
        <v>419.0</v>
      </c>
      <c r="D280" s="10">
        <v>177.0</v>
      </c>
      <c r="E280" s="13">
        <v>74.0</v>
      </c>
      <c r="F280" s="14">
        <v>-0.089</v>
      </c>
      <c r="G280" s="15">
        <v>107.0</v>
      </c>
      <c r="H280" s="15">
        <v>125.0</v>
      </c>
      <c r="I280" s="15">
        <v>90.0</v>
      </c>
      <c r="J280" s="15">
        <v>128.0</v>
      </c>
      <c r="K280" s="15">
        <v>91.0</v>
      </c>
      <c r="L280" s="15">
        <v>87.0</v>
      </c>
      <c r="M280" s="15">
        <v>96.0</v>
      </c>
      <c r="N280" s="15">
        <v>123.0</v>
      </c>
    </row>
    <row r="281">
      <c r="A281" s="10">
        <v>620443.0</v>
      </c>
      <c r="B281" s="11" t="s">
        <v>62</v>
      </c>
      <c r="C281" s="12">
        <v>667.0</v>
      </c>
      <c r="D281" s="10">
        <v>313.0</v>
      </c>
      <c r="E281" s="13">
        <v>101.0</v>
      </c>
      <c r="F281" s="14">
        <v>-0.031</v>
      </c>
      <c r="G281" s="15">
        <v>102.0</v>
      </c>
      <c r="H281" s="15">
        <v>109.0</v>
      </c>
      <c r="I281" s="15">
        <v>97.0</v>
      </c>
      <c r="J281" s="15">
        <v>109.0</v>
      </c>
      <c r="K281" s="15">
        <v>84.0</v>
      </c>
      <c r="L281" s="15">
        <v>98.0</v>
      </c>
      <c r="M281" s="15">
        <v>96.0</v>
      </c>
      <c r="N281" s="15">
        <v>92.0</v>
      </c>
    </row>
    <row r="282">
      <c r="A282" s="10">
        <v>664670.0</v>
      </c>
      <c r="B282" s="11" t="s">
        <v>699</v>
      </c>
      <c r="C282" s="12">
        <v>556.0</v>
      </c>
      <c r="D282" s="10">
        <v>282.0</v>
      </c>
      <c r="E282" s="13">
        <v>121.0</v>
      </c>
      <c r="F282" s="14">
        <v>0.028</v>
      </c>
      <c r="G282" s="15">
        <v>113.0</v>
      </c>
      <c r="H282" s="15">
        <v>108.0</v>
      </c>
      <c r="I282" s="15">
        <v>114.0</v>
      </c>
      <c r="J282" s="15">
        <v>102.0</v>
      </c>
      <c r="K282" s="15">
        <v>110.0</v>
      </c>
      <c r="L282" s="15">
        <v>88.0</v>
      </c>
      <c r="M282" s="15">
        <v>96.0</v>
      </c>
      <c r="N282" s="15">
        <v>91.0</v>
      </c>
    </row>
    <row r="283">
      <c r="A283" s="10">
        <v>605131.0</v>
      </c>
      <c r="B283" s="11" t="s">
        <v>486</v>
      </c>
      <c r="C283" s="12">
        <v>843.0</v>
      </c>
      <c r="D283" s="10">
        <v>355.0</v>
      </c>
      <c r="E283" s="13">
        <v>143.0</v>
      </c>
      <c r="F283" s="14">
        <v>-0.072</v>
      </c>
      <c r="G283" s="15">
        <v>119.0</v>
      </c>
      <c r="H283" s="15">
        <v>130.0</v>
      </c>
      <c r="I283" s="15">
        <v>99.0</v>
      </c>
      <c r="J283" s="15">
        <v>131.0</v>
      </c>
      <c r="K283" s="15">
        <v>102.0</v>
      </c>
      <c r="L283" s="15">
        <v>79.0</v>
      </c>
      <c r="M283" s="15">
        <v>95.0</v>
      </c>
      <c r="N283" s="15">
        <v>104.0</v>
      </c>
    </row>
    <row r="284">
      <c r="A284" s="10">
        <v>665926.0</v>
      </c>
      <c r="B284" s="11" t="s">
        <v>243</v>
      </c>
      <c r="C284" s="12">
        <v>2011.0</v>
      </c>
      <c r="D284" s="10">
        <v>1080.0</v>
      </c>
      <c r="E284" s="13">
        <v>380.0</v>
      </c>
      <c r="F284" s="14">
        <v>0.092</v>
      </c>
      <c r="G284" s="15">
        <v>83.0</v>
      </c>
      <c r="H284" s="15">
        <v>79.0</v>
      </c>
      <c r="I284" s="15">
        <v>120.0</v>
      </c>
      <c r="J284" s="15">
        <v>75.0</v>
      </c>
      <c r="K284" s="15">
        <v>99.0</v>
      </c>
      <c r="L284" s="15">
        <v>104.0</v>
      </c>
      <c r="M284" s="15">
        <v>95.0</v>
      </c>
      <c r="N284" s="15">
        <v>115.0</v>
      </c>
    </row>
    <row r="285">
      <c r="A285" s="10">
        <v>642086.0</v>
      </c>
      <c r="B285" s="11" t="s">
        <v>494</v>
      </c>
      <c r="C285" s="12">
        <v>567.0</v>
      </c>
      <c r="D285" s="10">
        <v>257.0</v>
      </c>
      <c r="E285" s="13">
        <v>99.0</v>
      </c>
      <c r="F285" s="14">
        <v>-0.004</v>
      </c>
      <c r="G285" s="15">
        <v>107.0</v>
      </c>
      <c r="H285" s="15">
        <v>100.0</v>
      </c>
      <c r="I285" s="15">
        <v>100.0</v>
      </c>
      <c r="J285" s="15">
        <v>100.0</v>
      </c>
      <c r="K285" s="15">
        <v>98.0</v>
      </c>
      <c r="L285" s="15">
        <v>95.0</v>
      </c>
      <c r="M285" s="15">
        <v>95.0</v>
      </c>
      <c r="N285" s="15">
        <v>81.0</v>
      </c>
    </row>
    <row r="286">
      <c r="A286" s="10">
        <v>666139.0</v>
      </c>
      <c r="B286" s="11" t="s">
        <v>142</v>
      </c>
      <c r="C286" s="12">
        <v>839.0</v>
      </c>
      <c r="D286" s="10">
        <v>388.0</v>
      </c>
      <c r="E286" s="13">
        <v>116.0</v>
      </c>
      <c r="F286" s="14">
        <v>-0.025</v>
      </c>
      <c r="G286" s="15">
        <v>105.0</v>
      </c>
      <c r="H286" s="15">
        <v>99.0</v>
      </c>
      <c r="I286" s="15">
        <v>86.0</v>
      </c>
      <c r="J286" s="15">
        <v>104.0</v>
      </c>
      <c r="K286" s="15">
        <v>82.0</v>
      </c>
      <c r="L286" s="15">
        <v>104.0</v>
      </c>
      <c r="M286" s="15">
        <v>95.0</v>
      </c>
      <c r="N286" s="15">
        <v>96.0</v>
      </c>
    </row>
    <row r="287">
      <c r="A287" s="10">
        <v>669701.0</v>
      </c>
      <c r="B287" s="11" t="s">
        <v>202</v>
      </c>
      <c r="C287" s="12">
        <v>1042.0</v>
      </c>
      <c r="D287" s="10">
        <v>430.0</v>
      </c>
      <c r="E287" s="13">
        <v>167.0</v>
      </c>
      <c r="F287" s="14">
        <v>-0.072</v>
      </c>
      <c r="G287" s="15">
        <v>102.0</v>
      </c>
      <c r="H287" s="15">
        <v>122.0</v>
      </c>
      <c r="I287" s="15">
        <v>92.0</v>
      </c>
      <c r="J287" s="15">
        <v>123.0</v>
      </c>
      <c r="K287" s="15">
        <v>98.0</v>
      </c>
      <c r="L287" s="15">
        <v>84.0</v>
      </c>
      <c r="M287" s="15">
        <v>95.0</v>
      </c>
      <c r="N287" s="15">
        <v>91.0</v>
      </c>
    </row>
    <row r="288">
      <c r="A288" s="10">
        <v>572191.0</v>
      </c>
      <c r="B288" s="11" t="s">
        <v>132</v>
      </c>
      <c r="C288" s="12">
        <v>1700.0</v>
      </c>
      <c r="D288" s="10">
        <v>876.0</v>
      </c>
      <c r="E288" s="13">
        <v>307.0</v>
      </c>
      <c r="F288" s="14">
        <v>0.046</v>
      </c>
      <c r="G288" s="15">
        <v>108.0</v>
      </c>
      <c r="H288" s="15">
        <v>95.0</v>
      </c>
      <c r="I288" s="15">
        <v>100.0</v>
      </c>
      <c r="J288" s="15">
        <v>95.0</v>
      </c>
      <c r="K288" s="15">
        <v>100.0</v>
      </c>
      <c r="L288" s="15">
        <v>96.0</v>
      </c>
      <c r="M288" s="15">
        <v>95.0</v>
      </c>
      <c r="N288" s="15">
        <v>94.0</v>
      </c>
    </row>
    <row r="289">
      <c r="A289" s="10">
        <v>516416.0</v>
      </c>
      <c r="B289" s="11" t="s">
        <v>630</v>
      </c>
      <c r="C289" s="12">
        <v>1393.0</v>
      </c>
      <c r="D289" s="10">
        <v>679.0</v>
      </c>
      <c r="E289" s="13">
        <v>296.0</v>
      </c>
      <c r="F289" s="14">
        <v>0.027</v>
      </c>
      <c r="G289" s="15">
        <v>79.0</v>
      </c>
      <c r="H289" s="15">
        <v>88.0</v>
      </c>
      <c r="I289" s="15">
        <v>113.0</v>
      </c>
      <c r="J289" s="15">
        <v>85.0</v>
      </c>
      <c r="K289" s="15">
        <v>117.0</v>
      </c>
      <c r="L289" s="15">
        <v>92.0</v>
      </c>
      <c r="M289" s="15">
        <v>95.0</v>
      </c>
      <c r="N289" s="15">
        <v>103.0</v>
      </c>
    </row>
    <row r="290">
      <c r="A290" s="10">
        <v>666179.0</v>
      </c>
      <c r="B290" s="11" t="s">
        <v>700</v>
      </c>
      <c r="C290" s="12">
        <v>463.0</v>
      </c>
      <c r="D290" s="10">
        <v>220.0</v>
      </c>
      <c r="E290" s="13">
        <v>80.0</v>
      </c>
      <c r="F290" s="14">
        <v>0.028</v>
      </c>
      <c r="G290" s="15">
        <v>103.0</v>
      </c>
      <c r="H290" s="15">
        <v>110.0</v>
      </c>
      <c r="I290" s="15">
        <v>110.0</v>
      </c>
      <c r="J290" s="15">
        <v>106.0</v>
      </c>
      <c r="K290" s="15">
        <v>87.0</v>
      </c>
      <c r="L290" s="15">
        <v>95.0</v>
      </c>
      <c r="M290" s="15">
        <v>95.0</v>
      </c>
      <c r="N290" s="15">
        <v>75.0</v>
      </c>
    </row>
    <row r="291">
      <c r="A291" s="10">
        <v>666185.0</v>
      </c>
      <c r="B291" s="11" t="s">
        <v>272</v>
      </c>
      <c r="C291" s="12">
        <v>1945.0</v>
      </c>
      <c r="D291" s="10">
        <v>900.0</v>
      </c>
      <c r="E291" s="13">
        <v>340.0</v>
      </c>
      <c r="F291" s="14">
        <v>-0.019</v>
      </c>
      <c r="G291" s="15">
        <v>111.0</v>
      </c>
      <c r="H291" s="15">
        <v>110.0</v>
      </c>
      <c r="I291" s="15">
        <v>104.0</v>
      </c>
      <c r="J291" s="15">
        <v>107.0</v>
      </c>
      <c r="K291" s="15">
        <v>104.0</v>
      </c>
      <c r="L291" s="15">
        <v>86.0</v>
      </c>
      <c r="M291" s="15">
        <v>94.0</v>
      </c>
      <c r="N291" s="15">
        <v>100.0</v>
      </c>
    </row>
    <row r="292">
      <c r="A292" s="10">
        <v>643524.0</v>
      </c>
      <c r="B292" s="11" t="s">
        <v>701</v>
      </c>
      <c r="C292" s="12">
        <v>1116.0</v>
      </c>
      <c r="D292" s="10">
        <v>610.0</v>
      </c>
      <c r="E292" s="13">
        <v>212.0</v>
      </c>
      <c r="F292" s="14">
        <v>0.053</v>
      </c>
      <c r="G292" s="15">
        <v>96.0</v>
      </c>
      <c r="H292" s="15">
        <v>90.0</v>
      </c>
      <c r="I292" s="15">
        <v>114.0</v>
      </c>
      <c r="J292" s="15">
        <v>86.0</v>
      </c>
      <c r="K292" s="15">
        <v>107.0</v>
      </c>
      <c r="L292" s="15">
        <v>94.0</v>
      </c>
      <c r="M292" s="15">
        <v>94.0</v>
      </c>
      <c r="N292" s="15">
        <v>92.0</v>
      </c>
    </row>
    <row r="293">
      <c r="A293" s="10">
        <v>680776.0</v>
      </c>
      <c r="B293" s="11" t="s">
        <v>218</v>
      </c>
      <c r="C293" s="12">
        <v>871.0</v>
      </c>
      <c r="D293" s="10">
        <v>434.0</v>
      </c>
      <c r="E293" s="13">
        <v>141.0</v>
      </c>
      <c r="F293" s="14">
        <v>0.002</v>
      </c>
      <c r="G293" s="15">
        <v>97.0</v>
      </c>
      <c r="H293" s="15">
        <v>106.0</v>
      </c>
      <c r="I293" s="15">
        <v>111.0</v>
      </c>
      <c r="J293" s="15">
        <v>102.0</v>
      </c>
      <c r="K293" s="15">
        <v>89.0</v>
      </c>
      <c r="L293" s="15">
        <v>96.0</v>
      </c>
      <c r="M293" s="15">
        <v>94.0</v>
      </c>
      <c r="N293" s="15">
        <v>98.0</v>
      </c>
    </row>
    <row r="294">
      <c r="A294" s="10">
        <v>669720.0</v>
      </c>
      <c r="B294" s="11" t="s">
        <v>138</v>
      </c>
      <c r="C294" s="12">
        <v>2027.0</v>
      </c>
      <c r="D294" s="10">
        <v>1032.0</v>
      </c>
      <c r="E294" s="13">
        <v>420.0</v>
      </c>
      <c r="F294" s="14">
        <v>0.045</v>
      </c>
      <c r="G294" s="15">
        <v>87.0</v>
      </c>
      <c r="H294" s="15">
        <v>86.0</v>
      </c>
      <c r="I294" s="15">
        <v>98.0</v>
      </c>
      <c r="J294" s="15">
        <v>87.0</v>
      </c>
      <c r="K294" s="15">
        <v>114.0</v>
      </c>
      <c r="L294" s="15">
        <v>93.0</v>
      </c>
      <c r="M294" s="15">
        <v>94.0</v>
      </c>
      <c r="N294" s="15">
        <v>102.0</v>
      </c>
    </row>
    <row r="295">
      <c r="A295" s="10">
        <v>669743.0</v>
      </c>
      <c r="B295" s="11" t="s">
        <v>246</v>
      </c>
      <c r="C295" s="12">
        <v>559.0</v>
      </c>
      <c r="D295" s="10">
        <v>249.0</v>
      </c>
      <c r="E295" s="13">
        <v>82.0</v>
      </c>
      <c r="F295" s="14">
        <v>-0.06</v>
      </c>
      <c r="G295" s="15">
        <v>94.0</v>
      </c>
      <c r="H295" s="15">
        <v>116.0</v>
      </c>
      <c r="I295" s="15">
        <v>92.0</v>
      </c>
      <c r="J295" s="15">
        <v>118.0</v>
      </c>
      <c r="K295" s="15">
        <v>107.0</v>
      </c>
      <c r="L295" s="15">
        <v>78.0</v>
      </c>
      <c r="M295" s="15">
        <v>94.0</v>
      </c>
      <c r="N295" s="15">
        <v>109.0</v>
      </c>
    </row>
    <row r="296">
      <c r="A296" s="10">
        <v>553869.0</v>
      </c>
      <c r="B296" s="11" t="s">
        <v>362</v>
      </c>
      <c r="C296" s="12">
        <v>1431.0</v>
      </c>
      <c r="D296" s="10">
        <v>737.0</v>
      </c>
      <c r="E296" s="13">
        <v>268.0</v>
      </c>
      <c r="F296" s="14">
        <v>0.046</v>
      </c>
      <c r="G296" s="15">
        <v>103.0</v>
      </c>
      <c r="H296" s="15">
        <v>99.0</v>
      </c>
      <c r="I296" s="15">
        <v>108.0</v>
      </c>
      <c r="J296" s="15">
        <v>96.0</v>
      </c>
      <c r="K296" s="15">
        <v>102.0</v>
      </c>
      <c r="L296" s="15">
        <v>93.0</v>
      </c>
      <c r="M296" s="15">
        <v>94.0</v>
      </c>
      <c r="N296" s="15">
        <v>94.0</v>
      </c>
    </row>
    <row r="297">
      <c r="A297" s="10">
        <v>676701.0</v>
      </c>
      <c r="B297" s="11" t="s">
        <v>627</v>
      </c>
      <c r="C297" s="12">
        <v>490.0</v>
      </c>
      <c r="D297" s="10">
        <v>257.0</v>
      </c>
      <c r="E297" s="13">
        <v>87.0</v>
      </c>
      <c r="F297" s="14">
        <v>0.03</v>
      </c>
      <c r="G297" s="15">
        <v>76.0</v>
      </c>
      <c r="H297" s="15">
        <v>71.0</v>
      </c>
      <c r="I297" s="15">
        <v>84.0</v>
      </c>
      <c r="J297" s="15">
        <v>78.0</v>
      </c>
      <c r="K297" s="15">
        <v>100.0</v>
      </c>
      <c r="L297" s="15">
        <v>106.0</v>
      </c>
      <c r="M297" s="15">
        <v>94.0</v>
      </c>
      <c r="N297" s="15">
        <v>105.0</v>
      </c>
    </row>
    <row r="298">
      <c r="A298" s="10">
        <v>543257.0</v>
      </c>
      <c r="B298" s="11" t="s">
        <v>492</v>
      </c>
      <c r="C298" s="12">
        <v>1927.0</v>
      </c>
      <c r="D298" s="10">
        <v>788.0</v>
      </c>
      <c r="E298" s="13">
        <v>283.0</v>
      </c>
      <c r="F298" s="14">
        <v>-0.074</v>
      </c>
      <c r="G298" s="15">
        <v>100.0</v>
      </c>
      <c r="H298" s="15">
        <v>114.0</v>
      </c>
      <c r="I298" s="15">
        <v>84.0</v>
      </c>
      <c r="J298" s="15">
        <v>118.0</v>
      </c>
      <c r="K298" s="15">
        <v>88.0</v>
      </c>
      <c r="L298" s="15">
        <v>90.0</v>
      </c>
      <c r="M298" s="15">
        <v>94.0</v>
      </c>
      <c r="N298" s="15">
        <v>95.0</v>
      </c>
    </row>
    <row r="299">
      <c r="A299" s="10">
        <v>665482.0</v>
      </c>
      <c r="B299" s="11" t="s">
        <v>702</v>
      </c>
      <c r="C299" s="12">
        <v>1370.0</v>
      </c>
      <c r="D299" s="10">
        <v>607.0</v>
      </c>
      <c r="E299" s="13">
        <v>233.0</v>
      </c>
      <c r="F299" s="14">
        <v>-0.057</v>
      </c>
      <c r="G299" s="15">
        <v>114.0</v>
      </c>
      <c r="H299" s="15">
        <v>128.0</v>
      </c>
      <c r="I299" s="15">
        <v>104.0</v>
      </c>
      <c r="J299" s="15">
        <v>126.0</v>
      </c>
      <c r="K299" s="15">
        <v>96.0</v>
      </c>
      <c r="L299" s="15">
        <v>81.0</v>
      </c>
      <c r="M299" s="15">
        <v>94.0</v>
      </c>
      <c r="N299" s="15">
        <v>100.0</v>
      </c>
    </row>
    <row r="300">
      <c r="A300" s="10">
        <v>645277.0</v>
      </c>
      <c r="B300" s="11" t="s">
        <v>359</v>
      </c>
      <c r="C300" s="12">
        <v>1016.0</v>
      </c>
      <c r="D300" s="10">
        <v>592.0</v>
      </c>
      <c r="E300" s="13">
        <v>203.0</v>
      </c>
      <c r="F300" s="14">
        <v>0.139</v>
      </c>
      <c r="G300" s="15">
        <v>93.0</v>
      </c>
      <c r="H300" s="15">
        <v>71.0</v>
      </c>
      <c r="I300" s="15">
        <v>138.0</v>
      </c>
      <c r="J300" s="15">
        <v>67.0</v>
      </c>
      <c r="K300" s="15">
        <v>114.0</v>
      </c>
      <c r="L300" s="15">
        <v>97.0</v>
      </c>
      <c r="M300" s="15">
        <v>94.0</v>
      </c>
      <c r="N300" s="15">
        <v>95.0</v>
      </c>
    </row>
    <row r="301">
      <c r="A301" s="10">
        <v>595281.0</v>
      </c>
      <c r="B301" s="11" t="s">
        <v>576</v>
      </c>
      <c r="C301" s="12">
        <v>823.0</v>
      </c>
      <c r="D301" s="10">
        <v>426.0</v>
      </c>
      <c r="E301" s="13">
        <v>145.0</v>
      </c>
      <c r="F301" s="14">
        <v>0.034</v>
      </c>
      <c r="G301" s="15">
        <v>115.0</v>
      </c>
      <c r="H301" s="15">
        <v>102.0</v>
      </c>
      <c r="I301" s="15">
        <v>104.0</v>
      </c>
      <c r="J301" s="15">
        <v>100.0</v>
      </c>
      <c r="K301" s="15">
        <v>89.0</v>
      </c>
      <c r="L301" s="15">
        <v>98.0</v>
      </c>
      <c r="M301" s="15">
        <v>94.0</v>
      </c>
      <c r="N301" s="15">
        <v>96.0</v>
      </c>
    </row>
    <row r="302">
      <c r="A302" s="10">
        <v>670032.0</v>
      </c>
      <c r="B302" s="11" t="s">
        <v>542</v>
      </c>
      <c r="C302" s="12">
        <v>1745.0</v>
      </c>
      <c r="D302" s="10">
        <v>856.0</v>
      </c>
      <c r="E302" s="13">
        <v>381.0</v>
      </c>
      <c r="F302" s="14">
        <v>0.015</v>
      </c>
      <c r="G302" s="15">
        <v>101.0</v>
      </c>
      <c r="H302" s="15">
        <v>111.0</v>
      </c>
      <c r="I302" s="15">
        <v>114.0</v>
      </c>
      <c r="J302" s="15">
        <v>105.0</v>
      </c>
      <c r="K302" s="15">
        <v>116.0</v>
      </c>
      <c r="L302" s="15">
        <v>83.0</v>
      </c>
      <c r="M302" s="15">
        <v>94.0</v>
      </c>
      <c r="N302" s="15">
        <v>85.0</v>
      </c>
    </row>
    <row r="303">
      <c r="A303" s="10">
        <v>572039.0</v>
      </c>
      <c r="B303" s="11" t="s">
        <v>703</v>
      </c>
      <c r="C303" s="12">
        <v>547.0</v>
      </c>
      <c r="D303" s="10">
        <v>301.0</v>
      </c>
      <c r="E303" s="13">
        <v>80.0</v>
      </c>
      <c r="F303" s="14">
        <v>0.075</v>
      </c>
      <c r="G303" s="15">
        <v>93.0</v>
      </c>
      <c r="H303" s="15">
        <v>92.0</v>
      </c>
      <c r="I303" s="15">
        <v>129.0</v>
      </c>
      <c r="J303" s="15">
        <v>85.0</v>
      </c>
      <c r="K303" s="15">
        <v>79.0</v>
      </c>
      <c r="L303" s="15">
        <v>111.0</v>
      </c>
      <c r="M303" s="15">
        <v>94.0</v>
      </c>
      <c r="N303" s="15">
        <v>83.0</v>
      </c>
    </row>
    <row r="304">
      <c r="A304" s="10">
        <v>663845.0</v>
      </c>
      <c r="B304" s="11" t="s">
        <v>616</v>
      </c>
      <c r="C304" s="12">
        <v>1202.0</v>
      </c>
      <c r="D304" s="10">
        <v>504.0</v>
      </c>
      <c r="E304" s="13">
        <v>166.0</v>
      </c>
      <c r="F304" s="14">
        <v>-0.051</v>
      </c>
      <c r="G304" s="15">
        <v>101.0</v>
      </c>
      <c r="H304" s="15">
        <v>109.0</v>
      </c>
      <c r="I304" s="15">
        <v>84.0</v>
      </c>
      <c r="J304" s="15">
        <v>114.0</v>
      </c>
      <c r="K304" s="15">
        <v>85.0</v>
      </c>
      <c r="L304" s="15">
        <v>94.0</v>
      </c>
      <c r="M304" s="15">
        <v>94.0</v>
      </c>
      <c r="N304" s="15">
        <v>96.0</v>
      </c>
    </row>
    <row r="305">
      <c r="A305" s="10">
        <v>608703.0</v>
      </c>
      <c r="B305" s="11" t="s">
        <v>704</v>
      </c>
      <c r="C305" s="12">
        <v>1030.0</v>
      </c>
      <c r="D305" s="10">
        <v>424.0</v>
      </c>
      <c r="E305" s="13">
        <v>159.0</v>
      </c>
      <c r="F305" s="14">
        <v>-0.062</v>
      </c>
      <c r="G305" s="15">
        <v>83.0</v>
      </c>
      <c r="H305" s="15">
        <v>100.0</v>
      </c>
      <c r="I305" s="15">
        <v>89.0</v>
      </c>
      <c r="J305" s="15">
        <v>104.0</v>
      </c>
      <c r="K305" s="15">
        <v>88.0</v>
      </c>
      <c r="L305" s="15">
        <v>98.0</v>
      </c>
      <c r="M305" s="15">
        <v>94.0</v>
      </c>
      <c r="N305" s="15">
        <v>97.0</v>
      </c>
    </row>
    <row r="306">
      <c r="A306" s="10">
        <v>656669.0</v>
      </c>
      <c r="B306" s="11" t="s">
        <v>705</v>
      </c>
      <c r="C306" s="12">
        <v>996.0</v>
      </c>
      <c r="D306" s="10">
        <v>478.0</v>
      </c>
      <c r="E306" s="13">
        <v>146.0</v>
      </c>
      <c r="F306" s="14">
        <v>-0.021</v>
      </c>
      <c r="G306" s="15">
        <v>122.0</v>
      </c>
      <c r="H306" s="15">
        <v>126.0</v>
      </c>
      <c r="I306" s="15">
        <v>124.0</v>
      </c>
      <c r="J306" s="15">
        <v>115.0</v>
      </c>
      <c r="K306" s="15">
        <v>85.0</v>
      </c>
      <c r="L306" s="15">
        <v>86.0</v>
      </c>
      <c r="M306" s="15">
        <v>94.0</v>
      </c>
      <c r="N306" s="15">
        <v>96.0</v>
      </c>
    </row>
    <row r="307">
      <c r="A307" s="10">
        <v>669127.0</v>
      </c>
      <c r="B307" s="11" t="s">
        <v>176</v>
      </c>
      <c r="C307" s="12">
        <v>578.0</v>
      </c>
      <c r="D307" s="10">
        <v>313.0</v>
      </c>
      <c r="E307" s="13">
        <v>91.0</v>
      </c>
      <c r="F307" s="14">
        <v>0.049</v>
      </c>
      <c r="G307" s="15">
        <v>97.0</v>
      </c>
      <c r="H307" s="15">
        <v>96.0</v>
      </c>
      <c r="I307" s="15">
        <v>116.0</v>
      </c>
      <c r="J307" s="15">
        <v>90.0</v>
      </c>
      <c r="K307" s="15">
        <v>72.0</v>
      </c>
      <c r="L307" s="15">
        <v>112.0</v>
      </c>
      <c r="M307" s="15">
        <v>93.0</v>
      </c>
      <c r="N307" s="15">
        <v>101.0</v>
      </c>
    </row>
    <row r="308">
      <c r="A308" s="10">
        <v>514917.0</v>
      </c>
      <c r="B308" s="11" t="s">
        <v>706</v>
      </c>
      <c r="C308" s="12">
        <v>2339.0</v>
      </c>
      <c r="D308" s="10">
        <v>1109.0</v>
      </c>
      <c r="E308" s="13">
        <v>447.0</v>
      </c>
      <c r="F308" s="14">
        <v>-0.009</v>
      </c>
      <c r="G308" s="15">
        <v>112.0</v>
      </c>
      <c r="H308" s="15">
        <v>113.0</v>
      </c>
      <c r="I308" s="15">
        <v>106.0</v>
      </c>
      <c r="J308" s="15">
        <v>110.0</v>
      </c>
      <c r="K308" s="15">
        <v>103.0</v>
      </c>
      <c r="L308" s="15">
        <v>86.0</v>
      </c>
      <c r="M308" s="15">
        <v>93.0</v>
      </c>
      <c r="N308" s="15">
        <v>95.0</v>
      </c>
    </row>
    <row r="309">
      <c r="A309" s="10">
        <v>656180.0</v>
      </c>
      <c r="B309" s="11" t="s">
        <v>338</v>
      </c>
      <c r="C309" s="12">
        <v>602.0</v>
      </c>
      <c r="D309" s="10">
        <v>273.0</v>
      </c>
      <c r="E309" s="13">
        <v>95.0</v>
      </c>
      <c r="F309" s="14">
        <v>-0.028</v>
      </c>
      <c r="G309" s="15">
        <v>68.0</v>
      </c>
      <c r="H309" s="15">
        <v>85.0</v>
      </c>
      <c r="I309" s="15">
        <v>82.0</v>
      </c>
      <c r="J309" s="15">
        <v>93.0</v>
      </c>
      <c r="K309" s="15">
        <v>102.0</v>
      </c>
      <c r="L309" s="15">
        <v>98.0</v>
      </c>
      <c r="M309" s="15">
        <v>93.0</v>
      </c>
      <c r="N309" s="15">
        <v>83.0</v>
      </c>
    </row>
    <row r="310">
      <c r="A310" s="10">
        <v>543228.0</v>
      </c>
      <c r="B310" s="11" t="s">
        <v>593</v>
      </c>
      <c r="C310" s="12">
        <v>990.0</v>
      </c>
      <c r="D310" s="10">
        <v>539.0</v>
      </c>
      <c r="E310" s="13">
        <v>232.0</v>
      </c>
      <c r="F310" s="14">
        <v>0.082</v>
      </c>
      <c r="G310" s="15">
        <v>86.0</v>
      </c>
      <c r="H310" s="15">
        <v>80.0</v>
      </c>
      <c r="I310" s="15">
        <v>116.0</v>
      </c>
      <c r="J310" s="15">
        <v>75.0</v>
      </c>
      <c r="K310" s="15">
        <v>114.0</v>
      </c>
      <c r="L310" s="15">
        <v>95.0</v>
      </c>
      <c r="M310" s="15">
        <v>93.0</v>
      </c>
      <c r="N310" s="15">
        <v>84.0</v>
      </c>
    </row>
    <row r="311">
      <c r="A311" s="10">
        <v>647351.0</v>
      </c>
      <c r="B311" s="11" t="s">
        <v>316</v>
      </c>
      <c r="C311" s="12">
        <v>1322.0</v>
      </c>
      <c r="D311" s="10">
        <v>625.0</v>
      </c>
      <c r="E311" s="13">
        <v>257.0</v>
      </c>
      <c r="F311" s="14">
        <v>-0.004</v>
      </c>
      <c r="G311" s="15">
        <v>91.0</v>
      </c>
      <c r="H311" s="15">
        <v>92.0</v>
      </c>
      <c r="I311" s="15">
        <v>100.0</v>
      </c>
      <c r="J311" s="15">
        <v>92.0</v>
      </c>
      <c r="K311" s="15">
        <v>114.0</v>
      </c>
      <c r="L311" s="15">
        <v>90.0</v>
      </c>
      <c r="M311" s="15">
        <v>93.0</v>
      </c>
      <c r="N311" s="15">
        <v>79.0</v>
      </c>
    </row>
    <row r="312">
      <c r="A312" s="10">
        <v>543305.0</v>
      </c>
      <c r="B312" s="11" t="s">
        <v>624</v>
      </c>
      <c r="C312" s="12">
        <v>1995.0</v>
      </c>
      <c r="D312" s="10">
        <v>821.0</v>
      </c>
      <c r="E312" s="13">
        <v>277.0</v>
      </c>
      <c r="F312" s="14">
        <v>-0.067</v>
      </c>
      <c r="G312" s="15">
        <v>107.0</v>
      </c>
      <c r="H312" s="15">
        <v>118.0</v>
      </c>
      <c r="I312" s="15">
        <v>94.0</v>
      </c>
      <c r="J312" s="15">
        <v>118.0</v>
      </c>
      <c r="K312" s="15">
        <v>98.0</v>
      </c>
      <c r="L312" s="15">
        <v>81.0</v>
      </c>
      <c r="M312" s="15">
        <v>93.0</v>
      </c>
      <c r="N312" s="15">
        <v>96.0</v>
      </c>
    </row>
    <row r="313">
      <c r="A313" s="10">
        <v>609280.0</v>
      </c>
      <c r="B313" s="11" t="s">
        <v>304</v>
      </c>
      <c r="C313" s="12">
        <v>507.0</v>
      </c>
      <c r="D313" s="10">
        <v>263.0</v>
      </c>
      <c r="E313" s="13">
        <v>108.0</v>
      </c>
      <c r="F313" s="14">
        <v>0.03</v>
      </c>
      <c r="G313" s="15">
        <v>72.0</v>
      </c>
      <c r="H313" s="15">
        <v>87.0</v>
      </c>
      <c r="I313" s="15">
        <v>112.0</v>
      </c>
      <c r="J313" s="15">
        <v>85.0</v>
      </c>
      <c r="K313" s="15">
        <v>121.0</v>
      </c>
      <c r="L313" s="15">
        <v>89.0</v>
      </c>
      <c r="M313" s="15">
        <v>93.0</v>
      </c>
      <c r="N313" s="15">
        <v>85.0</v>
      </c>
    </row>
    <row r="314">
      <c r="A314" s="10">
        <v>681082.0</v>
      </c>
      <c r="B314" s="11" t="s">
        <v>233</v>
      </c>
      <c r="C314" s="12">
        <v>1865.0</v>
      </c>
      <c r="D314" s="10">
        <v>839.0</v>
      </c>
      <c r="E314" s="13">
        <v>337.0</v>
      </c>
      <c r="F314" s="14">
        <v>-0.016</v>
      </c>
      <c r="G314" s="15">
        <v>83.0</v>
      </c>
      <c r="H314" s="15">
        <v>100.0</v>
      </c>
      <c r="I314" s="15">
        <v>107.0</v>
      </c>
      <c r="J314" s="15">
        <v>97.0</v>
      </c>
      <c r="K314" s="15">
        <v>106.0</v>
      </c>
      <c r="L314" s="15">
        <v>89.0</v>
      </c>
      <c r="M314" s="15">
        <v>93.0</v>
      </c>
      <c r="N314" s="15">
        <v>97.0</v>
      </c>
    </row>
    <row r="315">
      <c r="A315" s="10">
        <v>681987.0</v>
      </c>
      <c r="B315" s="11" t="s">
        <v>707</v>
      </c>
      <c r="C315" s="12">
        <v>470.0</v>
      </c>
      <c r="D315" s="10">
        <v>228.0</v>
      </c>
      <c r="E315" s="13">
        <v>77.0</v>
      </c>
      <c r="F315" s="14">
        <v>0.006</v>
      </c>
      <c r="G315" s="15">
        <v>109.0</v>
      </c>
      <c r="H315" s="15">
        <v>101.0</v>
      </c>
      <c r="I315" s="15">
        <v>101.0</v>
      </c>
      <c r="J315" s="15">
        <v>100.0</v>
      </c>
      <c r="K315" s="15">
        <v>102.0</v>
      </c>
      <c r="L315" s="15">
        <v>90.0</v>
      </c>
      <c r="M315" s="15">
        <v>93.0</v>
      </c>
      <c r="N315" s="15">
        <v>103.0</v>
      </c>
    </row>
    <row r="316">
      <c r="A316" s="10">
        <v>518735.0</v>
      </c>
      <c r="B316" s="11" t="s">
        <v>460</v>
      </c>
      <c r="C316" s="12">
        <v>1537.0</v>
      </c>
      <c r="D316" s="10">
        <v>611.0</v>
      </c>
      <c r="E316" s="13">
        <v>245.0</v>
      </c>
      <c r="F316" s="14">
        <v>-0.064</v>
      </c>
      <c r="G316" s="15">
        <v>93.0</v>
      </c>
      <c r="H316" s="15">
        <v>105.0</v>
      </c>
      <c r="I316" s="15">
        <v>93.0</v>
      </c>
      <c r="J316" s="15">
        <v>107.0</v>
      </c>
      <c r="K316" s="15">
        <v>100.0</v>
      </c>
      <c r="L316" s="15">
        <v>88.0</v>
      </c>
      <c r="M316" s="15">
        <v>93.0</v>
      </c>
      <c r="N316" s="15">
        <v>87.0</v>
      </c>
    </row>
    <row r="317">
      <c r="A317" s="10">
        <v>665120.0</v>
      </c>
      <c r="B317" s="11" t="s">
        <v>669</v>
      </c>
      <c r="C317" s="12">
        <v>1720.0</v>
      </c>
      <c r="D317" s="10">
        <v>844.0</v>
      </c>
      <c r="E317" s="13">
        <v>280.0</v>
      </c>
      <c r="F317" s="14">
        <v>-0.002</v>
      </c>
      <c r="G317" s="15">
        <v>92.0</v>
      </c>
      <c r="H317" s="15">
        <v>82.0</v>
      </c>
      <c r="I317" s="15">
        <v>77.0</v>
      </c>
      <c r="J317" s="15">
        <v>91.0</v>
      </c>
      <c r="K317" s="15">
        <v>89.0</v>
      </c>
      <c r="L317" s="15">
        <v>107.0</v>
      </c>
      <c r="M317" s="15">
        <v>93.0</v>
      </c>
      <c r="N317" s="15">
        <v>94.0</v>
      </c>
    </row>
    <row r="318">
      <c r="A318" s="10">
        <v>598265.0</v>
      </c>
      <c r="B318" s="11" t="s">
        <v>664</v>
      </c>
      <c r="C318" s="12">
        <v>1375.0</v>
      </c>
      <c r="D318" s="10">
        <v>686.0</v>
      </c>
      <c r="E318" s="13">
        <v>269.0</v>
      </c>
      <c r="F318" s="14">
        <v>0.02</v>
      </c>
      <c r="G318" s="15">
        <v>106.0</v>
      </c>
      <c r="H318" s="15">
        <v>98.0</v>
      </c>
      <c r="I318" s="15">
        <v>112.0</v>
      </c>
      <c r="J318" s="15">
        <v>92.0</v>
      </c>
      <c r="K318" s="15">
        <v>104.0</v>
      </c>
      <c r="L318" s="15">
        <v>91.0</v>
      </c>
      <c r="M318" s="15">
        <v>92.0</v>
      </c>
      <c r="N318" s="15">
        <v>78.0</v>
      </c>
    </row>
    <row r="319">
      <c r="A319" s="10">
        <v>608577.0</v>
      </c>
      <c r="B319" s="11" t="s">
        <v>708</v>
      </c>
      <c r="C319" s="12">
        <v>709.0</v>
      </c>
      <c r="D319" s="10">
        <v>330.0</v>
      </c>
      <c r="E319" s="13">
        <v>117.0</v>
      </c>
      <c r="F319" s="14">
        <v>-0.014</v>
      </c>
      <c r="G319" s="15">
        <v>90.0</v>
      </c>
      <c r="H319" s="15">
        <v>91.0</v>
      </c>
      <c r="I319" s="15">
        <v>84.0</v>
      </c>
      <c r="J319" s="15">
        <v>97.0</v>
      </c>
      <c r="K319" s="15">
        <v>99.0</v>
      </c>
      <c r="L319" s="15">
        <v>96.0</v>
      </c>
      <c r="M319" s="15">
        <v>92.0</v>
      </c>
      <c r="N319" s="15">
        <v>100.0</v>
      </c>
    </row>
    <row r="320">
      <c r="A320" s="10">
        <v>621028.0</v>
      </c>
      <c r="B320" s="11" t="s">
        <v>532</v>
      </c>
      <c r="C320" s="12">
        <v>1076.0</v>
      </c>
      <c r="D320" s="10">
        <v>518.0</v>
      </c>
      <c r="E320" s="13">
        <v>243.0</v>
      </c>
      <c r="F320" s="14">
        <v>0.003</v>
      </c>
      <c r="G320" s="15">
        <v>79.0</v>
      </c>
      <c r="H320" s="15">
        <v>93.0</v>
      </c>
      <c r="I320" s="15">
        <v>92.0</v>
      </c>
      <c r="J320" s="15">
        <v>96.0</v>
      </c>
      <c r="K320" s="15">
        <v>124.0</v>
      </c>
      <c r="L320" s="15">
        <v>86.0</v>
      </c>
      <c r="M320" s="15">
        <v>92.0</v>
      </c>
      <c r="N320" s="15">
        <v>102.0</v>
      </c>
    </row>
    <row r="321">
      <c r="A321" s="10">
        <v>622682.0</v>
      </c>
      <c r="B321" s="11" t="s">
        <v>709</v>
      </c>
      <c r="C321" s="12">
        <v>1265.0</v>
      </c>
      <c r="D321" s="10">
        <v>712.0</v>
      </c>
      <c r="E321" s="13">
        <v>240.0</v>
      </c>
      <c r="F321" s="14">
        <v>0.081</v>
      </c>
      <c r="G321" s="15">
        <v>73.0</v>
      </c>
      <c r="H321" s="15">
        <v>76.0</v>
      </c>
      <c r="I321" s="15">
        <v>121.0</v>
      </c>
      <c r="J321" s="15">
        <v>72.0</v>
      </c>
      <c r="K321" s="15">
        <v>102.0</v>
      </c>
      <c r="L321" s="15">
        <v>101.0</v>
      </c>
      <c r="M321" s="15">
        <v>92.0</v>
      </c>
      <c r="N321" s="15">
        <v>89.0</v>
      </c>
    </row>
    <row r="322">
      <c r="A322" s="10">
        <v>643396.0</v>
      </c>
      <c r="B322" s="11" t="s">
        <v>331</v>
      </c>
      <c r="C322" s="12">
        <v>1928.0</v>
      </c>
      <c r="D322" s="10">
        <v>864.0</v>
      </c>
      <c r="E322" s="13">
        <v>417.0</v>
      </c>
      <c r="F322" s="14">
        <v>-0.04</v>
      </c>
      <c r="G322" s="15">
        <v>81.0</v>
      </c>
      <c r="H322" s="15">
        <v>101.0</v>
      </c>
      <c r="I322" s="15">
        <v>91.0</v>
      </c>
      <c r="J322" s="15">
        <v>104.0</v>
      </c>
      <c r="K322" s="15">
        <v>125.0</v>
      </c>
      <c r="L322" s="15">
        <v>83.0</v>
      </c>
      <c r="M322" s="15">
        <v>92.0</v>
      </c>
      <c r="N322" s="15">
        <v>96.0</v>
      </c>
    </row>
    <row r="323">
      <c r="A323" s="10">
        <v>670764.0</v>
      </c>
      <c r="B323" s="11" t="s">
        <v>326</v>
      </c>
      <c r="C323" s="12">
        <v>1868.0</v>
      </c>
      <c r="D323" s="10">
        <v>801.0</v>
      </c>
      <c r="E323" s="13">
        <v>288.0</v>
      </c>
      <c r="F323" s="14">
        <v>-0.055</v>
      </c>
      <c r="G323" s="15">
        <v>114.0</v>
      </c>
      <c r="H323" s="15">
        <v>120.0</v>
      </c>
      <c r="I323" s="15">
        <v>99.0</v>
      </c>
      <c r="J323" s="15">
        <v>120.0</v>
      </c>
      <c r="K323" s="15">
        <v>91.0</v>
      </c>
      <c r="L323" s="15">
        <v>84.0</v>
      </c>
      <c r="M323" s="15">
        <v>92.0</v>
      </c>
      <c r="N323" s="15">
        <v>83.0</v>
      </c>
    </row>
    <row r="324">
      <c r="A324" s="10">
        <v>660294.0</v>
      </c>
      <c r="B324" s="11" t="s">
        <v>710</v>
      </c>
      <c r="C324" s="12">
        <v>856.0</v>
      </c>
      <c r="D324" s="10">
        <v>377.0</v>
      </c>
      <c r="E324" s="13">
        <v>124.0</v>
      </c>
      <c r="F324" s="14">
        <v>-0.034</v>
      </c>
      <c r="G324" s="15">
        <v>102.0</v>
      </c>
      <c r="H324" s="15">
        <v>100.0</v>
      </c>
      <c r="I324" s="15">
        <v>79.0</v>
      </c>
      <c r="J324" s="15">
        <v>107.0</v>
      </c>
      <c r="K324" s="15">
        <v>103.0</v>
      </c>
      <c r="L324" s="15">
        <v>88.0</v>
      </c>
      <c r="M324" s="15">
        <v>92.0</v>
      </c>
      <c r="N324" s="15">
        <v>75.0</v>
      </c>
    </row>
    <row r="325">
      <c r="A325" s="10">
        <v>668709.0</v>
      </c>
      <c r="B325" s="11" t="s">
        <v>363</v>
      </c>
      <c r="C325" s="12">
        <v>1027.0</v>
      </c>
      <c r="D325" s="10">
        <v>480.0</v>
      </c>
      <c r="E325" s="13">
        <v>139.0</v>
      </c>
      <c r="F325" s="14">
        <v>-0.018</v>
      </c>
      <c r="G325" s="15">
        <v>128.0</v>
      </c>
      <c r="H325" s="15">
        <v>118.0</v>
      </c>
      <c r="I325" s="15">
        <v>96.0</v>
      </c>
      <c r="J325" s="15">
        <v>117.0</v>
      </c>
      <c r="K325" s="15">
        <v>83.0</v>
      </c>
      <c r="L325" s="15">
        <v>89.0</v>
      </c>
      <c r="M325" s="15">
        <v>92.0</v>
      </c>
      <c r="N325" s="15">
        <v>87.0</v>
      </c>
    </row>
    <row r="326">
      <c r="A326" s="10">
        <v>608700.0</v>
      </c>
      <c r="B326" s="11" t="s">
        <v>711</v>
      </c>
      <c r="C326" s="12">
        <v>690.0</v>
      </c>
      <c r="D326" s="10">
        <v>323.0</v>
      </c>
      <c r="E326" s="13">
        <v>138.0</v>
      </c>
      <c r="F326" s="14">
        <v>-0.025</v>
      </c>
      <c r="G326" s="15">
        <v>96.0</v>
      </c>
      <c r="H326" s="15">
        <v>110.0</v>
      </c>
      <c r="I326" s="15">
        <v>95.0</v>
      </c>
      <c r="J326" s="15">
        <v>111.0</v>
      </c>
      <c r="K326" s="15">
        <v>118.0</v>
      </c>
      <c r="L326" s="15">
        <v>80.0</v>
      </c>
      <c r="M326" s="15">
        <v>92.0</v>
      </c>
      <c r="N326" s="15">
        <v>85.0</v>
      </c>
    </row>
    <row r="327">
      <c r="A327" s="10">
        <v>600303.0</v>
      </c>
      <c r="B327" s="11" t="s">
        <v>712</v>
      </c>
      <c r="C327" s="12">
        <v>789.0</v>
      </c>
      <c r="D327" s="10">
        <v>322.0</v>
      </c>
      <c r="E327" s="13">
        <v>153.0</v>
      </c>
      <c r="F327" s="14">
        <v>-0.061</v>
      </c>
      <c r="G327" s="15">
        <v>70.0</v>
      </c>
      <c r="H327" s="15">
        <v>93.0</v>
      </c>
      <c r="I327" s="15">
        <v>83.0</v>
      </c>
      <c r="J327" s="15">
        <v>99.0</v>
      </c>
      <c r="K327" s="15">
        <v>129.0</v>
      </c>
      <c r="L327" s="15">
        <v>83.0</v>
      </c>
      <c r="M327" s="15">
        <v>92.0</v>
      </c>
      <c r="N327" s="15">
        <v>94.0</v>
      </c>
    </row>
    <row r="328">
      <c r="A328" s="10">
        <v>672284.0</v>
      </c>
      <c r="B328" s="11" t="s">
        <v>487</v>
      </c>
      <c r="C328" s="12">
        <v>690.0</v>
      </c>
      <c r="D328" s="10">
        <v>336.0</v>
      </c>
      <c r="E328" s="13">
        <v>103.0</v>
      </c>
      <c r="F328" s="14">
        <v>0.031</v>
      </c>
      <c r="G328" s="15">
        <v>103.0</v>
      </c>
      <c r="H328" s="15">
        <v>94.0</v>
      </c>
      <c r="I328" s="15">
        <v>92.0</v>
      </c>
      <c r="J328" s="15">
        <v>97.0</v>
      </c>
      <c r="K328" s="15">
        <v>78.0</v>
      </c>
      <c r="L328" s="15">
        <v>106.0</v>
      </c>
      <c r="M328" s="15">
        <v>92.0</v>
      </c>
      <c r="N328" s="15">
        <v>78.0</v>
      </c>
    </row>
    <row r="329">
      <c r="A329" s="10">
        <v>595751.0</v>
      </c>
      <c r="B329" s="11" t="s">
        <v>713</v>
      </c>
      <c r="C329" s="12">
        <v>1005.0</v>
      </c>
      <c r="D329" s="10">
        <v>630.0</v>
      </c>
      <c r="E329" s="13">
        <v>160.0</v>
      </c>
      <c r="F329" s="14">
        <v>0.146</v>
      </c>
      <c r="G329" s="15">
        <v>85.0</v>
      </c>
      <c r="H329" s="15">
        <v>64.0</v>
      </c>
      <c r="I329" s="15">
        <v>120.0</v>
      </c>
      <c r="J329" s="15">
        <v>60.0</v>
      </c>
      <c r="K329" s="15">
        <v>82.0</v>
      </c>
      <c r="L329" s="15">
        <v>122.0</v>
      </c>
      <c r="M329" s="15">
        <v>92.0</v>
      </c>
      <c r="N329" s="15">
        <v>95.0</v>
      </c>
    </row>
    <row r="330">
      <c r="A330" s="10">
        <v>681584.0</v>
      </c>
      <c r="B330" s="11" t="s">
        <v>595</v>
      </c>
      <c r="C330" s="12">
        <v>727.0</v>
      </c>
      <c r="D330" s="10">
        <v>320.0</v>
      </c>
      <c r="E330" s="13">
        <v>99.0</v>
      </c>
      <c r="F330" s="14">
        <v>-0.045</v>
      </c>
      <c r="G330" s="15">
        <v>115.0</v>
      </c>
      <c r="H330" s="15">
        <v>117.0</v>
      </c>
      <c r="I330" s="15">
        <v>90.0</v>
      </c>
      <c r="J330" s="15">
        <v>119.0</v>
      </c>
      <c r="K330" s="15">
        <v>74.0</v>
      </c>
      <c r="L330" s="15">
        <v>94.0</v>
      </c>
      <c r="M330" s="15">
        <v>92.0</v>
      </c>
      <c r="N330" s="15">
        <v>116.0</v>
      </c>
    </row>
    <row r="331">
      <c r="A331" s="10">
        <v>663527.0</v>
      </c>
      <c r="B331" s="11" t="s">
        <v>475</v>
      </c>
      <c r="C331" s="12">
        <v>780.0</v>
      </c>
      <c r="D331" s="10">
        <v>358.0</v>
      </c>
      <c r="E331" s="13">
        <v>113.0</v>
      </c>
      <c r="F331" s="14">
        <v>-0.029</v>
      </c>
      <c r="G331" s="15">
        <v>113.0</v>
      </c>
      <c r="H331" s="15">
        <v>124.0</v>
      </c>
      <c r="I331" s="15">
        <v>111.0</v>
      </c>
      <c r="J331" s="15">
        <v>118.0</v>
      </c>
      <c r="K331" s="15">
        <v>84.0</v>
      </c>
      <c r="L331" s="15">
        <v>85.0</v>
      </c>
      <c r="M331" s="15">
        <v>92.0</v>
      </c>
      <c r="N331" s="15">
        <v>81.0</v>
      </c>
    </row>
    <row r="332">
      <c r="A332" s="10">
        <v>669450.0</v>
      </c>
      <c r="B332" s="11" t="s">
        <v>714</v>
      </c>
      <c r="C332" s="12">
        <v>808.0</v>
      </c>
      <c r="D332" s="10">
        <v>328.0</v>
      </c>
      <c r="E332" s="13">
        <v>109.0</v>
      </c>
      <c r="F332" s="14">
        <v>-0.073</v>
      </c>
      <c r="G332" s="15">
        <v>110.0</v>
      </c>
      <c r="H332" s="15">
        <v>118.0</v>
      </c>
      <c r="I332" s="15">
        <v>78.0</v>
      </c>
      <c r="J332" s="15">
        <v>127.0</v>
      </c>
      <c r="K332" s="15">
        <v>75.0</v>
      </c>
      <c r="L332" s="15">
        <v>91.0</v>
      </c>
      <c r="M332" s="15">
        <v>92.0</v>
      </c>
      <c r="N332" s="15">
        <v>89.0</v>
      </c>
    </row>
    <row r="333">
      <c r="A333" s="10">
        <v>602074.0</v>
      </c>
      <c r="B333" s="11" t="s">
        <v>715</v>
      </c>
      <c r="C333" s="12">
        <v>1526.0</v>
      </c>
      <c r="D333" s="10">
        <v>770.0</v>
      </c>
      <c r="E333" s="13">
        <v>318.0</v>
      </c>
      <c r="F333" s="14">
        <v>0.018</v>
      </c>
      <c r="G333" s="15">
        <v>80.0</v>
      </c>
      <c r="H333" s="15">
        <v>90.0</v>
      </c>
      <c r="I333" s="15">
        <v>106.0</v>
      </c>
      <c r="J333" s="15">
        <v>88.0</v>
      </c>
      <c r="K333" s="15">
        <v>123.0</v>
      </c>
      <c r="L333" s="15">
        <v>85.0</v>
      </c>
      <c r="M333" s="15">
        <v>92.0</v>
      </c>
      <c r="N333" s="15">
        <v>105.0</v>
      </c>
    </row>
    <row r="334">
      <c r="A334" s="10">
        <v>501303.0</v>
      </c>
      <c r="B334" s="11" t="s">
        <v>716</v>
      </c>
      <c r="C334" s="12">
        <v>418.0</v>
      </c>
      <c r="D334" s="10">
        <v>188.0</v>
      </c>
      <c r="E334" s="13">
        <v>73.0</v>
      </c>
      <c r="F334" s="14">
        <v>-0.04</v>
      </c>
      <c r="G334" s="15">
        <v>98.0</v>
      </c>
      <c r="H334" s="15">
        <v>104.0</v>
      </c>
      <c r="I334" s="15">
        <v>76.0</v>
      </c>
      <c r="J334" s="15">
        <v>112.0</v>
      </c>
      <c r="K334" s="15">
        <v>112.0</v>
      </c>
      <c r="L334" s="15">
        <v>83.0</v>
      </c>
      <c r="M334" s="15">
        <v>92.0</v>
      </c>
      <c r="N334" s="15">
        <v>74.0</v>
      </c>
    </row>
    <row r="335">
      <c r="A335" s="10">
        <v>408234.0</v>
      </c>
      <c r="B335" s="11" t="s">
        <v>605</v>
      </c>
      <c r="C335" s="12">
        <v>1626.0</v>
      </c>
      <c r="D335" s="10">
        <v>817.0</v>
      </c>
      <c r="E335" s="13">
        <v>299.0</v>
      </c>
      <c r="F335" s="14">
        <v>0.024</v>
      </c>
      <c r="G335" s="15">
        <v>101.0</v>
      </c>
      <c r="H335" s="15">
        <v>98.0</v>
      </c>
      <c r="I335" s="15">
        <v>104.0</v>
      </c>
      <c r="J335" s="15">
        <v>97.0</v>
      </c>
      <c r="K335" s="15">
        <v>99.0</v>
      </c>
      <c r="L335" s="15">
        <v>92.0</v>
      </c>
      <c r="M335" s="15">
        <v>91.0</v>
      </c>
      <c r="N335" s="15">
        <v>88.0</v>
      </c>
    </row>
    <row r="336">
      <c r="A336" s="10">
        <v>650859.0</v>
      </c>
      <c r="B336" s="11" t="s">
        <v>236</v>
      </c>
      <c r="C336" s="12">
        <v>1800.0</v>
      </c>
      <c r="D336" s="10">
        <v>1000.0</v>
      </c>
      <c r="E336" s="13">
        <v>406.0</v>
      </c>
      <c r="F336" s="14">
        <v>0.093</v>
      </c>
      <c r="G336" s="15">
        <v>108.0</v>
      </c>
      <c r="H336" s="15">
        <v>86.0</v>
      </c>
      <c r="I336" s="15">
        <v>120.0</v>
      </c>
      <c r="J336" s="15">
        <v>81.0</v>
      </c>
      <c r="K336" s="15">
        <v>111.0</v>
      </c>
      <c r="L336" s="15">
        <v>93.0</v>
      </c>
      <c r="M336" s="15">
        <v>91.0</v>
      </c>
      <c r="N336" s="15">
        <v>100.0</v>
      </c>
    </row>
    <row r="337">
      <c r="A337" s="10">
        <v>666801.0</v>
      </c>
      <c r="B337" s="11" t="s">
        <v>652</v>
      </c>
      <c r="C337" s="12">
        <v>1038.0</v>
      </c>
      <c r="D337" s="10">
        <v>494.0</v>
      </c>
      <c r="E337" s="13">
        <v>180.0</v>
      </c>
      <c r="F337" s="14">
        <v>-0.01</v>
      </c>
      <c r="G337" s="15">
        <v>107.0</v>
      </c>
      <c r="H337" s="15">
        <v>107.0</v>
      </c>
      <c r="I337" s="15">
        <v>90.0</v>
      </c>
      <c r="J337" s="15">
        <v>109.0</v>
      </c>
      <c r="K337" s="15">
        <v>88.0</v>
      </c>
      <c r="L337" s="15">
        <v>94.0</v>
      </c>
      <c r="M337" s="15">
        <v>91.0</v>
      </c>
      <c r="N337" s="15">
        <v>104.0</v>
      </c>
    </row>
    <row r="338">
      <c r="A338" s="10">
        <v>664983.0</v>
      </c>
      <c r="B338" s="11" t="s">
        <v>493</v>
      </c>
      <c r="C338" s="12">
        <v>1253.0</v>
      </c>
      <c r="D338" s="10">
        <v>663.0</v>
      </c>
      <c r="E338" s="13">
        <v>247.0</v>
      </c>
      <c r="F338" s="14">
        <v>0.06</v>
      </c>
      <c r="G338" s="15">
        <v>115.0</v>
      </c>
      <c r="H338" s="15">
        <v>94.0</v>
      </c>
      <c r="I338" s="15">
        <v>99.0</v>
      </c>
      <c r="J338" s="15">
        <v>94.0</v>
      </c>
      <c r="K338" s="15">
        <v>103.0</v>
      </c>
      <c r="L338" s="15">
        <v>92.0</v>
      </c>
      <c r="M338" s="15">
        <v>91.0</v>
      </c>
      <c r="N338" s="15">
        <v>111.0</v>
      </c>
    </row>
    <row r="339">
      <c r="A339" s="10">
        <v>605421.0</v>
      </c>
      <c r="B339" s="11" t="s">
        <v>717</v>
      </c>
      <c r="C339" s="12">
        <v>489.0</v>
      </c>
      <c r="D339" s="10">
        <v>217.0</v>
      </c>
      <c r="E339" s="13">
        <v>90.0</v>
      </c>
      <c r="F339" s="14">
        <v>-0.007</v>
      </c>
      <c r="G339" s="15">
        <v>81.0</v>
      </c>
      <c r="H339" s="15">
        <v>88.0</v>
      </c>
      <c r="I339" s="15">
        <v>77.0</v>
      </c>
      <c r="J339" s="15">
        <v>97.0</v>
      </c>
      <c r="K339" s="15">
        <v>108.0</v>
      </c>
      <c r="L339" s="15">
        <v>92.0</v>
      </c>
      <c r="M339" s="15">
        <v>91.0</v>
      </c>
      <c r="N339" s="15">
        <v>71.0</v>
      </c>
    </row>
    <row r="340">
      <c r="A340" s="10">
        <v>676632.0</v>
      </c>
      <c r="B340" s="11" t="s">
        <v>718</v>
      </c>
      <c r="C340" s="12">
        <v>486.0</v>
      </c>
      <c r="D340" s="10">
        <v>226.0</v>
      </c>
      <c r="E340" s="13">
        <v>81.0</v>
      </c>
      <c r="F340" s="14">
        <v>-0.021</v>
      </c>
      <c r="G340" s="15">
        <v>110.0</v>
      </c>
      <c r="H340" s="15">
        <v>108.0</v>
      </c>
      <c r="I340" s="15">
        <v>89.0</v>
      </c>
      <c r="J340" s="15">
        <v>111.0</v>
      </c>
      <c r="K340" s="15">
        <v>95.0</v>
      </c>
      <c r="L340" s="15">
        <v>89.0</v>
      </c>
      <c r="M340" s="15">
        <v>91.0</v>
      </c>
      <c r="N340" s="15">
        <v>77.0</v>
      </c>
    </row>
    <row r="341">
      <c r="A341" s="10">
        <v>657757.0</v>
      </c>
      <c r="B341" s="11" t="s">
        <v>75</v>
      </c>
      <c r="C341" s="12">
        <v>1681.0</v>
      </c>
      <c r="D341" s="10">
        <v>803.0</v>
      </c>
      <c r="E341" s="13">
        <v>291.0</v>
      </c>
      <c r="F341" s="14">
        <v>0.01</v>
      </c>
      <c r="G341" s="15">
        <v>77.0</v>
      </c>
      <c r="H341" s="15">
        <v>79.0</v>
      </c>
      <c r="I341" s="15">
        <v>96.0</v>
      </c>
      <c r="J341" s="15">
        <v>83.0</v>
      </c>
      <c r="K341" s="15">
        <v>109.0</v>
      </c>
      <c r="L341" s="15">
        <v>95.0</v>
      </c>
      <c r="M341" s="15">
        <v>91.0</v>
      </c>
      <c r="N341" s="15">
        <v>99.0</v>
      </c>
    </row>
    <row r="342">
      <c r="A342" s="10">
        <v>596748.0</v>
      </c>
      <c r="B342" s="11" t="s">
        <v>719</v>
      </c>
      <c r="C342" s="12">
        <v>1408.0</v>
      </c>
      <c r="D342" s="10">
        <v>753.0</v>
      </c>
      <c r="E342" s="13">
        <v>297.0</v>
      </c>
      <c r="F342" s="14">
        <v>0.042</v>
      </c>
      <c r="G342" s="15">
        <v>81.0</v>
      </c>
      <c r="H342" s="15">
        <v>87.0</v>
      </c>
      <c r="I342" s="15">
        <v>104.0</v>
      </c>
      <c r="J342" s="15">
        <v>87.0</v>
      </c>
      <c r="K342" s="15">
        <v>110.0</v>
      </c>
      <c r="L342" s="15">
        <v>92.0</v>
      </c>
      <c r="M342" s="15">
        <v>91.0</v>
      </c>
      <c r="N342" s="15">
        <v>88.0</v>
      </c>
    </row>
    <row r="343">
      <c r="A343" s="10">
        <v>642851.0</v>
      </c>
      <c r="B343" s="11" t="s">
        <v>668</v>
      </c>
      <c r="C343" s="12">
        <v>694.0</v>
      </c>
      <c r="D343" s="10">
        <v>300.0</v>
      </c>
      <c r="E343" s="13">
        <v>122.0</v>
      </c>
      <c r="F343" s="14">
        <v>-0.081</v>
      </c>
      <c r="G343" s="15">
        <v>58.0</v>
      </c>
      <c r="H343" s="15">
        <v>96.0</v>
      </c>
      <c r="I343" s="15">
        <v>84.0</v>
      </c>
      <c r="J343" s="15">
        <v>102.0</v>
      </c>
      <c r="K343" s="15">
        <v>114.0</v>
      </c>
      <c r="L343" s="15">
        <v>85.0</v>
      </c>
      <c r="M343" s="15">
        <v>91.0</v>
      </c>
      <c r="N343" s="15">
        <v>102.0</v>
      </c>
    </row>
    <row r="344">
      <c r="A344" s="10">
        <v>606132.0</v>
      </c>
      <c r="B344" s="11" t="s">
        <v>644</v>
      </c>
      <c r="C344" s="12">
        <v>1554.0</v>
      </c>
      <c r="D344" s="10">
        <v>862.0</v>
      </c>
      <c r="E344" s="13">
        <v>327.0</v>
      </c>
      <c r="F344" s="14">
        <v>0.088</v>
      </c>
      <c r="G344" s="15">
        <v>71.0</v>
      </c>
      <c r="H344" s="15">
        <v>69.0</v>
      </c>
      <c r="I344" s="15">
        <v>113.0</v>
      </c>
      <c r="J344" s="15">
        <v>68.0</v>
      </c>
      <c r="K344" s="15">
        <v>120.0</v>
      </c>
      <c r="L344" s="15">
        <v>94.0</v>
      </c>
      <c r="M344" s="15">
        <v>91.0</v>
      </c>
      <c r="N344" s="15">
        <v>96.0</v>
      </c>
    </row>
    <row r="345">
      <c r="A345" s="10">
        <v>664702.0</v>
      </c>
      <c r="B345" s="11" t="s">
        <v>291</v>
      </c>
      <c r="C345" s="12">
        <v>2317.0</v>
      </c>
      <c r="D345" s="10">
        <v>937.0</v>
      </c>
      <c r="E345" s="13">
        <v>446.0</v>
      </c>
      <c r="F345" s="14">
        <v>-0.102</v>
      </c>
      <c r="G345" s="15">
        <v>94.0</v>
      </c>
      <c r="H345" s="15">
        <v>119.0</v>
      </c>
      <c r="I345" s="15">
        <v>85.0</v>
      </c>
      <c r="J345" s="15">
        <v>125.0</v>
      </c>
      <c r="K345" s="15">
        <v>128.0</v>
      </c>
      <c r="L345" s="15">
        <v>72.0</v>
      </c>
      <c r="M345" s="15">
        <v>91.0</v>
      </c>
      <c r="N345" s="15">
        <v>87.0</v>
      </c>
    </row>
    <row r="346">
      <c r="A346" s="10">
        <v>600869.0</v>
      </c>
      <c r="B346" s="11" t="s">
        <v>525</v>
      </c>
      <c r="C346" s="12">
        <v>1724.0</v>
      </c>
      <c r="D346" s="10">
        <v>906.0</v>
      </c>
      <c r="E346" s="13">
        <v>323.0</v>
      </c>
      <c r="F346" s="14">
        <v>0.072</v>
      </c>
      <c r="G346" s="15">
        <v>105.0</v>
      </c>
      <c r="H346" s="15">
        <v>82.0</v>
      </c>
      <c r="I346" s="15">
        <v>116.0</v>
      </c>
      <c r="J346" s="15">
        <v>79.0</v>
      </c>
      <c r="K346" s="15">
        <v>99.0</v>
      </c>
      <c r="L346" s="15">
        <v>99.0</v>
      </c>
      <c r="M346" s="15">
        <v>91.0</v>
      </c>
      <c r="N346" s="15">
        <v>84.0</v>
      </c>
    </row>
    <row r="347">
      <c r="A347" s="10">
        <v>571912.0</v>
      </c>
      <c r="B347" s="11" t="s">
        <v>552</v>
      </c>
      <c r="C347" s="12">
        <v>796.0</v>
      </c>
      <c r="D347" s="10">
        <v>360.0</v>
      </c>
      <c r="E347" s="13">
        <v>125.0</v>
      </c>
      <c r="F347" s="14">
        <v>-0.041</v>
      </c>
      <c r="G347" s="15">
        <v>103.0</v>
      </c>
      <c r="H347" s="15">
        <v>112.0</v>
      </c>
      <c r="I347" s="15">
        <v>95.0</v>
      </c>
      <c r="J347" s="15">
        <v>113.0</v>
      </c>
      <c r="K347" s="15">
        <v>92.0</v>
      </c>
      <c r="L347" s="15">
        <v>87.0</v>
      </c>
      <c r="M347" s="15">
        <v>91.0</v>
      </c>
      <c r="N347" s="15">
        <v>93.0</v>
      </c>
    </row>
    <row r="348">
      <c r="A348" s="10">
        <v>607732.0</v>
      </c>
      <c r="B348" s="11" t="s">
        <v>382</v>
      </c>
      <c r="C348" s="12">
        <v>1458.0</v>
      </c>
      <c r="D348" s="10">
        <v>633.0</v>
      </c>
      <c r="E348" s="13">
        <v>263.0</v>
      </c>
      <c r="F348" s="14">
        <v>-0.042</v>
      </c>
      <c r="G348" s="15">
        <v>94.0</v>
      </c>
      <c r="H348" s="15">
        <v>109.0</v>
      </c>
      <c r="I348" s="15">
        <v>94.0</v>
      </c>
      <c r="J348" s="15">
        <v>110.0</v>
      </c>
      <c r="K348" s="15">
        <v>105.0</v>
      </c>
      <c r="L348" s="15">
        <v>84.0</v>
      </c>
      <c r="M348" s="15">
        <v>91.0</v>
      </c>
      <c r="N348" s="15">
        <v>90.0</v>
      </c>
    </row>
    <row r="349">
      <c r="A349" s="10">
        <v>666135.0</v>
      </c>
      <c r="B349" s="11" t="s">
        <v>466</v>
      </c>
      <c r="C349" s="12">
        <v>609.0</v>
      </c>
      <c r="D349" s="10">
        <v>307.0</v>
      </c>
      <c r="E349" s="13">
        <v>109.0</v>
      </c>
      <c r="F349" s="14">
        <v>0.03</v>
      </c>
      <c r="G349" s="15">
        <v>103.0</v>
      </c>
      <c r="H349" s="15">
        <v>90.0</v>
      </c>
      <c r="I349" s="15">
        <v>105.0</v>
      </c>
      <c r="J349" s="15">
        <v>89.0</v>
      </c>
      <c r="K349" s="15">
        <v>99.0</v>
      </c>
      <c r="L349" s="15">
        <v>95.0</v>
      </c>
      <c r="M349" s="15">
        <v>91.0</v>
      </c>
      <c r="N349" s="15">
        <v>91.0</v>
      </c>
    </row>
    <row r="350">
      <c r="A350" s="10">
        <v>592200.0</v>
      </c>
      <c r="B350" s="11" t="s">
        <v>538</v>
      </c>
      <c r="C350" s="12">
        <v>775.0</v>
      </c>
      <c r="D350" s="10">
        <v>369.0</v>
      </c>
      <c r="E350" s="13">
        <v>100.0</v>
      </c>
      <c r="F350" s="14">
        <v>-0.027</v>
      </c>
      <c r="G350" s="15">
        <v>129.0</v>
      </c>
      <c r="H350" s="15">
        <v>129.0</v>
      </c>
      <c r="I350" s="15">
        <v>108.0</v>
      </c>
      <c r="J350" s="15">
        <v>124.0</v>
      </c>
      <c r="K350" s="15">
        <v>73.0</v>
      </c>
      <c r="L350" s="15">
        <v>87.0</v>
      </c>
      <c r="M350" s="15">
        <v>91.0</v>
      </c>
      <c r="N350" s="15">
        <v>99.0</v>
      </c>
    </row>
    <row r="351">
      <c r="A351" s="10">
        <v>541645.0</v>
      </c>
      <c r="B351" s="11" t="s">
        <v>591</v>
      </c>
      <c r="C351" s="12">
        <v>1350.0</v>
      </c>
      <c r="D351" s="10">
        <v>795.0</v>
      </c>
      <c r="E351" s="13">
        <v>250.0</v>
      </c>
      <c r="F351" s="14">
        <v>0.108</v>
      </c>
      <c r="G351" s="15">
        <v>108.0</v>
      </c>
      <c r="H351" s="15">
        <v>90.0</v>
      </c>
      <c r="I351" s="15">
        <v>115.0</v>
      </c>
      <c r="J351" s="15">
        <v>87.0</v>
      </c>
      <c r="K351" s="15">
        <v>92.0</v>
      </c>
      <c r="L351" s="15">
        <v>99.0</v>
      </c>
      <c r="M351" s="15">
        <v>91.0</v>
      </c>
      <c r="N351" s="15">
        <v>85.0</v>
      </c>
    </row>
    <row r="352">
      <c r="A352" s="10">
        <v>668751.0</v>
      </c>
      <c r="B352" s="11" t="s">
        <v>720</v>
      </c>
      <c r="C352" s="12">
        <v>845.0</v>
      </c>
      <c r="D352" s="10">
        <v>425.0</v>
      </c>
      <c r="E352" s="13">
        <v>161.0</v>
      </c>
      <c r="F352" s="14">
        <v>0.05</v>
      </c>
      <c r="G352" s="15">
        <v>96.0</v>
      </c>
      <c r="H352" s="15">
        <v>96.0</v>
      </c>
      <c r="I352" s="15">
        <v>113.0</v>
      </c>
      <c r="J352" s="15">
        <v>91.0</v>
      </c>
      <c r="K352" s="15">
        <v>102.0</v>
      </c>
      <c r="L352" s="15">
        <v>91.0</v>
      </c>
      <c r="M352" s="15">
        <v>91.0</v>
      </c>
      <c r="N352" s="15">
        <v>90.0</v>
      </c>
    </row>
    <row r="353">
      <c r="A353" s="10">
        <v>668715.0</v>
      </c>
      <c r="B353" s="11" t="s">
        <v>317</v>
      </c>
      <c r="C353" s="12">
        <v>423.0</v>
      </c>
      <c r="D353" s="10">
        <v>175.0</v>
      </c>
      <c r="E353" s="13">
        <v>68.0</v>
      </c>
      <c r="F353" s="14">
        <v>-0.082</v>
      </c>
      <c r="G353" s="15">
        <v>90.0</v>
      </c>
      <c r="H353" s="15">
        <v>106.0</v>
      </c>
      <c r="I353" s="15">
        <v>70.0</v>
      </c>
      <c r="J353" s="15">
        <v>117.0</v>
      </c>
      <c r="K353" s="15">
        <v>103.0</v>
      </c>
      <c r="L353" s="15">
        <v>84.0</v>
      </c>
      <c r="M353" s="15">
        <v>91.0</v>
      </c>
      <c r="N353" s="15">
        <v>95.0</v>
      </c>
    </row>
    <row r="354">
      <c r="A354" s="10">
        <v>455117.0</v>
      </c>
      <c r="B354" s="11" t="s">
        <v>358</v>
      </c>
      <c r="C354" s="12">
        <v>1482.0</v>
      </c>
      <c r="D354" s="10">
        <v>739.0</v>
      </c>
      <c r="E354" s="13">
        <v>231.0</v>
      </c>
      <c r="F354" s="14">
        <v>0.01</v>
      </c>
      <c r="G354" s="15">
        <v>102.0</v>
      </c>
      <c r="H354" s="15">
        <v>101.0</v>
      </c>
      <c r="I354" s="15">
        <v>98.0</v>
      </c>
      <c r="J354" s="15">
        <v>102.0</v>
      </c>
      <c r="K354" s="15">
        <v>84.0</v>
      </c>
      <c r="L354" s="15">
        <v>97.0</v>
      </c>
      <c r="M354" s="15">
        <v>91.0</v>
      </c>
      <c r="N354" s="15">
        <v>89.0</v>
      </c>
    </row>
    <row r="355">
      <c r="A355" s="10">
        <v>545341.0</v>
      </c>
      <c r="B355" s="11" t="s">
        <v>84</v>
      </c>
      <c r="C355" s="12">
        <v>1969.0</v>
      </c>
      <c r="D355" s="10">
        <v>996.0</v>
      </c>
      <c r="E355" s="13">
        <v>379.0</v>
      </c>
      <c r="F355" s="14">
        <v>0.039</v>
      </c>
      <c r="G355" s="15">
        <v>96.0</v>
      </c>
      <c r="H355" s="15">
        <v>85.0</v>
      </c>
      <c r="I355" s="15">
        <v>101.0</v>
      </c>
      <c r="J355" s="15">
        <v>86.0</v>
      </c>
      <c r="K355" s="15">
        <v>101.0</v>
      </c>
      <c r="L355" s="15">
        <v>96.0</v>
      </c>
      <c r="M355" s="15">
        <v>91.0</v>
      </c>
      <c r="N355" s="15">
        <v>103.0</v>
      </c>
    </row>
    <row r="356">
      <c r="A356" s="10">
        <v>642731.0</v>
      </c>
      <c r="B356" s="11" t="s">
        <v>350</v>
      </c>
      <c r="C356" s="12">
        <v>1927.0</v>
      </c>
      <c r="D356" s="10">
        <v>947.0</v>
      </c>
      <c r="E356" s="13">
        <v>400.0</v>
      </c>
      <c r="F356" s="14">
        <v>0.02</v>
      </c>
      <c r="G356" s="15">
        <v>92.0</v>
      </c>
      <c r="H356" s="15">
        <v>86.0</v>
      </c>
      <c r="I356" s="15">
        <v>94.0</v>
      </c>
      <c r="J356" s="15">
        <v>89.0</v>
      </c>
      <c r="K356" s="15">
        <v>114.0</v>
      </c>
      <c r="L356" s="15">
        <v>90.0</v>
      </c>
      <c r="M356" s="15">
        <v>90.0</v>
      </c>
      <c r="N356" s="15">
        <v>102.0</v>
      </c>
    </row>
    <row r="357">
      <c r="A357" s="10">
        <v>493329.0</v>
      </c>
      <c r="B357" s="11" t="s">
        <v>639</v>
      </c>
      <c r="C357" s="12">
        <v>2107.0</v>
      </c>
      <c r="D357" s="10">
        <v>1023.0</v>
      </c>
      <c r="E357" s="13">
        <v>473.0</v>
      </c>
      <c r="F357" s="14">
        <v>0.017</v>
      </c>
      <c r="G357" s="15">
        <v>78.0</v>
      </c>
      <c r="H357" s="15">
        <v>93.0</v>
      </c>
      <c r="I357" s="15">
        <v>107.0</v>
      </c>
      <c r="J357" s="15">
        <v>91.0</v>
      </c>
      <c r="K357" s="15">
        <v>130.0</v>
      </c>
      <c r="L357" s="15">
        <v>82.0</v>
      </c>
      <c r="M357" s="15">
        <v>90.0</v>
      </c>
      <c r="N357" s="15">
        <v>94.0</v>
      </c>
    </row>
    <row r="358">
      <c r="A358" s="10">
        <v>672695.0</v>
      </c>
      <c r="B358" s="11" t="s">
        <v>117</v>
      </c>
      <c r="C358" s="12">
        <v>2037.0</v>
      </c>
      <c r="D358" s="10">
        <v>839.0</v>
      </c>
      <c r="E358" s="13">
        <v>339.0</v>
      </c>
      <c r="F358" s="14">
        <v>-0.088</v>
      </c>
      <c r="G358" s="15">
        <v>97.0</v>
      </c>
      <c r="H358" s="15">
        <v>117.0</v>
      </c>
      <c r="I358" s="15">
        <v>89.0</v>
      </c>
      <c r="J358" s="15">
        <v>120.0</v>
      </c>
      <c r="K358" s="15">
        <v>109.0</v>
      </c>
      <c r="L358" s="15">
        <v>76.0</v>
      </c>
      <c r="M358" s="15">
        <v>90.0</v>
      </c>
      <c r="N358" s="15">
        <v>86.0</v>
      </c>
    </row>
    <row r="359">
      <c r="A359" s="10">
        <v>668472.0</v>
      </c>
      <c r="B359" s="11" t="s">
        <v>618</v>
      </c>
      <c r="C359" s="12">
        <v>781.0</v>
      </c>
      <c r="D359" s="10">
        <v>356.0</v>
      </c>
      <c r="E359" s="13">
        <v>96.0</v>
      </c>
      <c r="F359" s="14">
        <v>-0.033</v>
      </c>
      <c r="G359" s="15">
        <v>98.0</v>
      </c>
      <c r="H359" s="15">
        <v>92.0</v>
      </c>
      <c r="I359" s="15">
        <v>72.0</v>
      </c>
      <c r="J359" s="15">
        <v>102.0</v>
      </c>
      <c r="K359" s="15">
        <v>74.0</v>
      </c>
      <c r="L359" s="15">
        <v>108.0</v>
      </c>
      <c r="M359" s="15">
        <v>90.0</v>
      </c>
      <c r="N359" s="15">
        <v>92.0</v>
      </c>
    </row>
    <row r="360">
      <c r="A360" s="10">
        <v>660650.0</v>
      </c>
      <c r="B360" s="11" t="s">
        <v>721</v>
      </c>
      <c r="C360" s="12">
        <v>524.0</v>
      </c>
      <c r="D360" s="10">
        <v>268.0</v>
      </c>
      <c r="E360" s="13">
        <v>61.0</v>
      </c>
      <c r="F360" s="14">
        <v>0.009</v>
      </c>
      <c r="G360" s="15">
        <v>123.0</v>
      </c>
      <c r="H360" s="15">
        <v>109.0</v>
      </c>
      <c r="I360" s="15">
        <v>79.0</v>
      </c>
      <c r="J360" s="15">
        <v>114.0</v>
      </c>
      <c r="K360" s="15">
        <v>63.0</v>
      </c>
      <c r="L360" s="15">
        <v>108.0</v>
      </c>
      <c r="M360" s="15">
        <v>90.0</v>
      </c>
      <c r="N360" s="15">
        <v>99.0</v>
      </c>
    </row>
    <row r="361">
      <c r="A361" s="10">
        <v>656775.0</v>
      </c>
      <c r="B361" s="11" t="s">
        <v>275</v>
      </c>
      <c r="C361" s="12">
        <v>2434.0</v>
      </c>
      <c r="D361" s="10">
        <v>1251.0</v>
      </c>
      <c r="E361" s="13">
        <v>484.0</v>
      </c>
      <c r="F361" s="14">
        <v>0.034</v>
      </c>
      <c r="G361" s="15">
        <v>109.0</v>
      </c>
      <c r="H361" s="15">
        <v>108.0</v>
      </c>
      <c r="I361" s="15">
        <v>121.0</v>
      </c>
      <c r="J361" s="15">
        <v>99.0</v>
      </c>
      <c r="K361" s="15">
        <v>100.0</v>
      </c>
      <c r="L361" s="15">
        <v>87.0</v>
      </c>
      <c r="M361" s="15">
        <v>90.0</v>
      </c>
      <c r="N361" s="15">
        <v>107.0</v>
      </c>
    </row>
    <row r="362">
      <c r="A362" s="10">
        <v>519390.0</v>
      </c>
      <c r="B362" s="11" t="s">
        <v>722</v>
      </c>
      <c r="C362" s="12">
        <v>708.0</v>
      </c>
      <c r="D362" s="10">
        <v>328.0</v>
      </c>
      <c r="E362" s="13">
        <v>125.0</v>
      </c>
      <c r="F362" s="14">
        <v>0.024</v>
      </c>
      <c r="G362" s="15">
        <v>86.0</v>
      </c>
      <c r="H362" s="15">
        <v>83.0</v>
      </c>
      <c r="I362" s="15">
        <v>95.0</v>
      </c>
      <c r="J362" s="15">
        <v>86.0</v>
      </c>
      <c r="K362" s="15">
        <v>106.0</v>
      </c>
      <c r="L362" s="15">
        <v>93.0</v>
      </c>
      <c r="M362" s="15">
        <v>89.0</v>
      </c>
      <c r="N362" s="15">
        <v>75.0</v>
      </c>
    </row>
    <row r="363">
      <c r="A363" s="10">
        <v>641470.0</v>
      </c>
      <c r="B363" s="11" t="s">
        <v>723</v>
      </c>
      <c r="C363" s="12">
        <v>469.0</v>
      </c>
      <c r="D363" s="10">
        <v>193.0</v>
      </c>
      <c r="E363" s="13">
        <v>56.0</v>
      </c>
      <c r="F363" s="14">
        <v>-0.08</v>
      </c>
      <c r="G363" s="15">
        <v>115.0</v>
      </c>
      <c r="H363" s="15">
        <v>109.0</v>
      </c>
      <c r="I363" s="15">
        <v>61.0</v>
      </c>
      <c r="J363" s="15">
        <v>123.0</v>
      </c>
      <c r="K363" s="15">
        <v>72.0</v>
      </c>
      <c r="L363" s="15">
        <v>95.0</v>
      </c>
      <c r="M363" s="15">
        <v>89.0</v>
      </c>
      <c r="N363" s="15">
        <v>88.0</v>
      </c>
    </row>
    <row r="364">
      <c r="A364" s="10">
        <v>677950.0</v>
      </c>
      <c r="B364" s="11" t="s">
        <v>327</v>
      </c>
      <c r="C364" s="12">
        <v>1475.0</v>
      </c>
      <c r="D364" s="10">
        <v>725.0</v>
      </c>
      <c r="E364" s="13">
        <v>311.0</v>
      </c>
      <c r="F364" s="14">
        <v>0.022</v>
      </c>
      <c r="G364" s="15">
        <v>80.0</v>
      </c>
      <c r="H364" s="15">
        <v>86.0</v>
      </c>
      <c r="I364" s="15">
        <v>100.0</v>
      </c>
      <c r="J364" s="15">
        <v>86.0</v>
      </c>
      <c r="K364" s="15">
        <v>110.0</v>
      </c>
      <c r="L364" s="15">
        <v>91.0</v>
      </c>
      <c r="M364" s="15">
        <v>89.0</v>
      </c>
      <c r="N364" s="15">
        <v>89.0</v>
      </c>
    </row>
    <row r="365">
      <c r="A365" s="10">
        <v>663630.0</v>
      </c>
      <c r="B365" s="11" t="s">
        <v>642</v>
      </c>
      <c r="C365" s="12">
        <v>590.0</v>
      </c>
      <c r="D365" s="10">
        <v>310.0</v>
      </c>
      <c r="E365" s="13">
        <v>102.0</v>
      </c>
      <c r="F365" s="14">
        <v>0.024</v>
      </c>
      <c r="G365" s="15">
        <v>123.0</v>
      </c>
      <c r="H365" s="15">
        <v>108.0</v>
      </c>
      <c r="I365" s="15">
        <v>108.0</v>
      </c>
      <c r="J365" s="15">
        <v>105.0</v>
      </c>
      <c r="K365" s="15">
        <v>71.0</v>
      </c>
      <c r="L365" s="15">
        <v>101.0</v>
      </c>
      <c r="M365" s="15">
        <v>89.0</v>
      </c>
      <c r="N365" s="15">
        <v>87.0</v>
      </c>
    </row>
    <row r="366">
      <c r="A366" s="10">
        <v>622110.0</v>
      </c>
      <c r="B366" s="11" t="s">
        <v>643</v>
      </c>
      <c r="C366" s="12">
        <v>917.0</v>
      </c>
      <c r="D366" s="10">
        <v>422.0</v>
      </c>
      <c r="E366" s="13">
        <v>175.0</v>
      </c>
      <c r="F366" s="14">
        <v>-0.041</v>
      </c>
      <c r="G366" s="15">
        <v>99.0</v>
      </c>
      <c r="H366" s="15">
        <v>100.0</v>
      </c>
      <c r="I366" s="15">
        <v>85.0</v>
      </c>
      <c r="J366" s="15">
        <v>106.0</v>
      </c>
      <c r="K366" s="15">
        <v>111.0</v>
      </c>
      <c r="L366" s="15">
        <v>84.0</v>
      </c>
      <c r="M366" s="15">
        <v>89.0</v>
      </c>
      <c r="N366" s="15">
        <v>92.0</v>
      </c>
    </row>
    <row r="367">
      <c r="A367" s="10">
        <v>663698.0</v>
      </c>
      <c r="B367" s="11" t="s">
        <v>186</v>
      </c>
      <c r="C367" s="12">
        <v>1151.0</v>
      </c>
      <c r="D367" s="10">
        <v>543.0</v>
      </c>
      <c r="E367" s="13">
        <v>149.0</v>
      </c>
      <c r="F367" s="14">
        <v>-0.034</v>
      </c>
      <c r="G367" s="15">
        <v>85.0</v>
      </c>
      <c r="H367" s="15">
        <v>90.0</v>
      </c>
      <c r="I367" s="15">
        <v>75.0</v>
      </c>
      <c r="J367" s="15">
        <v>100.0</v>
      </c>
      <c r="K367" s="15">
        <v>70.0</v>
      </c>
      <c r="L367" s="15">
        <v>110.0</v>
      </c>
      <c r="M367" s="15">
        <v>89.0</v>
      </c>
      <c r="N367" s="15">
        <v>98.0</v>
      </c>
    </row>
    <row r="368">
      <c r="A368" s="10">
        <v>543063.0</v>
      </c>
      <c r="B368" s="11" t="s">
        <v>622</v>
      </c>
      <c r="C368" s="12">
        <v>1706.0</v>
      </c>
      <c r="D368" s="10">
        <v>867.0</v>
      </c>
      <c r="E368" s="13">
        <v>312.0</v>
      </c>
      <c r="F368" s="14">
        <v>0.049</v>
      </c>
      <c r="G368" s="15">
        <v>127.0</v>
      </c>
      <c r="H368" s="15">
        <v>108.0</v>
      </c>
      <c r="I368" s="15">
        <v>120.0</v>
      </c>
      <c r="J368" s="15">
        <v>100.0</v>
      </c>
      <c r="K368" s="15">
        <v>90.0</v>
      </c>
      <c r="L368" s="15">
        <v>90.0</v>
      </c>
      <c r="M368" s="15">
        <v>89.0</v>
      </c>
      <c r="N368" s="15">
        <v>90.0</v>
      </c>
    </row>
    <row r="369">
      <c r="A369" s="10">
        <v>518792.0</v>
      </c>
      <c r="B369" s="11" t="s">
        <v>544</v>
      </c>
      <c r="C369" s="12">
        <v>552.0</v>
      </c>
      <c r="D369" s="10">
        <v>265.0</v>
      </c>
      <c r="E369" s="13">
        <v>103.0</v>
      </c>
      <c r="F369" s="14">
        <v>0.028</v>
      </c>
      <c r="G369" s="15">
        <v>96.0</v>
      </c>
      <c r="H369" s="15">
        <v>93.0</v>
      </c>
      <c r="I369" s="15">
        <v>117.0</v>
      </c>
      <c r="J369" s="15">
        <v>87.0</v>
      </c>
      <c r="K369" s="15">
        <v>103.0</v>
      </c>
      <c r="L369" s="15">
        <v>90.0</v>
      </c>
      <c r="M369" s="15">
        <v>89.0</v>
      </c>
      <c r="N369" s="15">
        <v>79.0</v>
      </c>
    </row>
    <row r="370">
      <c r="A370" s="10">
        <v>676694.0</v>
      </c>
      <c r="B370" s="11" t="s">
        <v>145</v>
      </c>
      <c r="C370" s="12">
        <v>634.0</v>
      </c>
      <c r="D370" s="10">
        <v>300.0</v>
      </c>
      <c r="E370" s="13">
        <v>97.0</v>
      </c>
      <c r="F370" s="14">
        <v>-0.025</v>
      </c>
      <c r="G370" s="15">
        <v>95.0</v>
      </c>
      <c r="H370" s="15">
        <v>99.0</v>
      </c>
      <c r="I370" s="15">
        <v>80.0</v>
      </c>
      <c r="J370" s="15">
        <v>106.0</v>
      </c>
      <c r="K370" s="15">
        <v>75.0</v>
      </c>
      <c r="L370" s="15">
        <v>101.0</v>
      </c>
      <c r="M370" s="15">
        <v>89.0</v>
      </c>
      <c r="N370" s="15">
        <v>87.0</v>
      </c>
    </row>
    <row r="371">
      <c r="A371" s="10">
        <v>680700.0</v>
      </c>
      <c r="B371" s="11" t="s">
        <v>462</v>
      </c>
      <c r="C371" s="12">
        <v>508.0</v>
      </c>
      <c r="D371" s="10">
        <v>244.0</v>
      </c>
      <c r="E371" s="13">
        <v>93.0</v>
      </c>
      <c r="F371" s="14">
        <v>0.01</v>
      </c>
      <c r="G371" s="15">
        <v>104.0</v>
      </c>
      <c r="H371" s="15">
        <v>108.0</v>
      </c>
      <c r="I371" s="15">
        <v>109.0</v>
      </c>
      <c r="J371" s="15">
        <v>103.0</v>
      </c>
      <c r="K371" s="15">
        <v>109.0</v>
      </c>
      <c r="L371" s="15">
        <v>81.0</v>
      </c>
      <c r="M371" s="15">
        <v>89.0</v>
      </c>
      <c r="N371" s="15">
        <v>88.0</v>
      </c>
    </row>
    <row r="372">
      <c r="A372" s="10">
        <v>657557.0</v>
      </c>
      <c r="B372" s="11" t="s">
        <v>503</v>
      </c>
      <c r="C372" s="12">
        <v>969.0</v>
      </c>
      <c r="D372" s="10">
        <v>473.0</v>
      </c>
      <c r="E372" s="13">
        <v>132.0</v>
      </c>
      <c r="F372" s="14">
        <v>0.008</v>
      </c>
      <c r="G372" s="15">
        <v>108.0</v>
      </c>
      <c r="H372" s="15">
        <v>118.0</v>
      </c>
      <c r="I372" s="15">
        <v>117.0</v>
      </c>
      <c r="J372" s="15">
        <v>110.0</v>
      </c>
      <c r="K372" s="15">
        <v>70.0</v>
      </c>
      <c r="L372" s="15">
        <v>95.0</v>
      </c>
      <c r="M372" s="15">
        <v>89.0</v>
      </c>
      <c r="N372" s="15">
        <v>82.0</v>
      </c>
    </row>
    <row r="373">
      <c r="A373" s="10">
        <v>670770.0</v>
      </c>
      <c r="B373" s="11" t="s">
        <v>301</v>
      </c>
      <c r="C373" s="12">
        <v>985.0</v>
      </c>
      <c r="D373" s="10">
        <v>430.0</v>
      </c>
      <c r="E373" s="13">
        <v>189.0</v>
      </c>
      <c r="F373" s="14">
        <v>-0.026</v>
      </c>
      <c r="G373" s="15">
        <v>106.0</v>
      </c>
      <c r="H373" s="15">
        <v>107.0</v>
      </c>
      <c r="I373" s="15">
        <v>94.0</v>
      </c>
      <c r="J373" s="15">
        <v>109.0</v>
      </c>
      <c r="K373" s="15">
        <v>112.0</v>
      </c>
      <c r="L373" s="15">
        <v>81.0</v>
      </c>
      <c r="M373" s="15">
        <v>89.0</v>
      </c>
      <c r="N373" s="15">
        <v>105.0</v>
      </c>
    </row>
    <row r="374">
      <c r="A374" s="10">
        <v>664874.0</v>
      </c>
      <c r="B374" s="11" t="s">
        <v>654</v>
      </c>
      <c r="C374" s="12">
        <v>867.0</v>
      </c>
      <c r="D374" s="10">
        <v>462.0</v>
      </c>
      <c r="E374" s="13">
        <v>117.0</v>
      </c>
      <c r="F374" s="14">
        <v>0.033</v>
      </c>
      <c r="G374" s="15">
        <v>116.0</v>
      </c>
      <c r="H374" s="15">
        <v>103.0</v>
      </c>
      <c r="I374" s="15">
        <v>115.0</v>
      </c>
      <c r="J374" s="15">
        <v>98.0</v>
      </c>
      <c r="K374" s="15">
        <v>69.0</v>
      </c>
      <c r="L374" s="15">
        <v>106.0</v>
      </c>
      <c r="M374" s="15">
        <v>89.0</v>
      </c>
      <c r="N374" s="15">
        <v>105.0</v>
      </c>
    </row>
    <row r="375">
      <c r="A375" s="10">
        <v>622761.0</v>
      </c>
      <c r="B375" s="11" t="s">
        <v>547</v>
      </c>
      <c r="C375" s="12">
        <v>1960.0</v>
      </c>
      <c r="D375" s="10">
        <v>1059.0</v>
      </c>
      <c r="E375" s="13">
        <v>349.0</v>
      </c>
      <c r="F375" s="14">
        <v>0.055</v>
      </c>
      <c r="G375" s="15">
        <v>94.0</v>
      </c>
      <c r="H375" s="15">
        <v>88.0</v>
      </c>
      <c r="I375" s="15">
        <v>109.0</v>
      </c>
      <c r="J375" s="15">
        <v>86.0</v>
      </c>
      <c r="K375" s="15">
        <v>96.0</v>
      </c>
      <c r="L375" s="15">
        <v>96.0</v>
      </c>
      <c r="M375" s="15">
        <v>89.0</v>
      </c>
      <c r="N375" s="15">
        <v>91.0</v>
      </c>
    </row>
    <row r="376">
      <c r="A376" s="10">
        <v>613564.0</v>
      </c>
      <c r="B376" s="11" t="s">
        <v>724</v>
      </c>
      <c r="C376" s="12">
        <v>416.0</v>
      </c>
      <c r="D376" s="10">
        <v>195.0</v>
      </c>
      <c r="E376" s="13">
        <v>69.0</v>
      </c>
      <c r="F376" s="14">
        <v>0.013</v>
      </c>
      <c r="G376" s="15">
        <v>84.0</v>
      </c>
      <c r="H376" s="15">
        <v>79.0</v>
      </c>
      <c r="I376" s="15">
        <v>71.0</v>
      </c>
      <c r="J376" s="15">
        <v>90.0</v>
      </c>
      <c r="K376" s="15">
        <v>90.0</v>
      </c>
      <c r="L376" s="15">
        <v>103.0</v>
      </c>
      <c r="M376" s="15">
        <v>89.0</v>
      </c>
      <c r="N376" s="15">
        <v>116.0</v>
      </c>
    </row>
    <row r="377">
      <c r="A377" s="10">
        <v>664731.0</v>
      </c>
      <c r="B377" s="11" t="s">
        <v>725</v>
      </c>
      <c r="C377" s="12">
        <v>884.0</v>
      </c>
      <c r="D377" s="10">
        <v>380.0</v>
      </c>
      <c r="E377" s="13">
        <v>144.0</v>
      </c>
      <c r="F377" s="14">
        <v>-0.06</v>
      </c>
      <c r="G377" s="15">
        <v>98.0</v>
      </c>
      <c r="H377" s="15">
        <v>105.0</v>
      </c>
      <c r="I377" s="15">
        <v>81.0</v>
      </c>
      <c r="J377" s="15">
        <v>111.0</v>
      </c>
      <c r="K377" s="15">
        <v>96.0</v>
      </c>
      <c r="L377" s="15">
        <v>86.0</v>
      </c>
      <c r="M377" s="15">
        <v>89.0</v>
      </c>
      <c r="N377" s="15">
        <v>102.0</v>
      </c>
    </row>
    <row r="378">
      <c r="A378" s="10">
        <v>641355.0</v>
      </c>
      <c r="B378" s="11" t="s">
        <v>184</v>
      </c>
      <c r="C378" s="12">
        <v>2260.0</v>
      </c>
      <c r="D378" s="10">
        <v>1131.0</v>
      </c>
      <c r="E378" s="13">
        <v>356.0</v>
      </c>
      <c r="F378" s="14">
        <v>0.021</v>
      </c>
      <c r="G378" s="15">
        <v>106.0</v>
      </c>
      <c r="H378" s="15">
        <v>95.0</v>
      </c>
      <c r="I378" s="15">
        <v>110.0</v>
      </c>
      <c r="J378" s="15">
        <v>91.0</v>
      </c>
      <c r="K378" s="15">
        <v>93.0</v>
      </c>
      <c r="L378" s="15">
        <v>93.0</v>
      </c>
      <c r="M378" s="15">
        <v>89.0</v>
      </c>
      <c r="N378" s="15">
        <v>93.0</v>
      </c>
    </row>
    <row r="379">
      <c r="A379" s="10">
        <v>664728.0</v>
      </c>
      <c r="B379" s="11" t="s">
        <v>369</v>
      </c>
      <c r="C379" s="12">
        <v>1057.0</v>
      </c>
      <c r="D379" s="10">
        <v>489.0</v>
      </c>
      <c r="E379" s="13">
        <v>182.0</v>
      </c>
      <c r="F379" s="14">
        <v>-0.011</v>
      </c>
      <c r="G379" s="15">
        <v>92.0</v>
      </c>
      <c r="H379" s="15">
        <v>86.0</v>
      </c>
      <c r="I379" s="15">
        <v>78.0</v>
      </c>
      <c r="J379" s="15">
        <v>94.0</v>
      </c>
      <c r="K379" s="15">
        <v>103.0</v>
      </c>
      <c r="L379" s="15">
        <v>92.0</v>
      </c>
      <c r="M379" s="15">
        <v>88.0</v>
      </c>
      <c r="N379" s="15">
        <v>85.0</v>
      </c>
    </row>
    <row r="380">
      <c r="A380" s="10">
        <v>663611.0</v>
      </c>
      <c r="B380" s="11" t="s">
        <v>623</v>
      </c>
      <c r="C380" s="12">
        <v>833.0</v>
      </c>
      <c r="D380" s="10">
        <v>370.0</v>
      </c>
      <c r="E380" s="13">
        <v>175.0</v>
      </c>
      <c r="F380" s="14">
        <v>-0.028</v>
      </c>
      <c r="G380" s="15">
        <v>80.0</v>
      </c>
      <c r="H380" s="15">
        <v>103.0</v>
      </c>
      <c r="I380" s="15">
        <v>106.0</v>
      </c>
      <c r="J380" s="15">
        <v>100.0</v>
      </c>
      <c r="K380" s="15">
        <v>128.0</v>
      </c>
      <c r="L380" s="15">
        <v>77.0</v>
      </c>
      <c r="M380" s="15">
        <v>88.0</v>
      </c>
      <c r="N380" s="15">
        <v>87.0</v>
      </c>
    </row>
    <row r="381">
      <c r="A381" s="10">
        <v>596059.0</v>
      </c>
      <c r="B381" s="11" t="s">
        <v>600</v>
      </c>
      <c r="C381" s="12">
        <v>1753.0</v>
      </c>
      <c r="D381" s="10">
        <v>887.0</v>
      </c>
      <c r="E381" s="13">
        <v>320.0</v>
      </c>
      <c r="F381" s="14">
        <v>0.067</v>
      </c>
      <c r="G381" s="15">
        <v>104.0</v>
      </c>
      <c r="H381" s="15">
        <v>89.0</v>
      </c>
      <c r="I381" s="15">
        <v>111.0</v>
      </c>
      <c r="J381" s="15">
        <v>87.0</v>
      </c>
      <c r="K381" s="15">
        <v>99.0</v>
      </c>
      <c r="L381" s="15">
        <v>93.0</v>
      </c>
      <c r="M381" s="15">
        <v>88.0</v>
      </c>
      <c r="N381" s="15">
        <v>89.0</v>
      </c>
    </row>
    <row r="382">
      <c r="A382" s="10">
        <v>666211.0</v>
      </c>
      <c r="B382" s="11" t="s">
        <v>726</v>
      </c>
      <c r="C382" s="12">
        <v>427.0</v>
      </c>
      <c r="D382" s="10">
        <v>204.0</v>
      </c>
      <c r="E382" s="13">
        <v>70.0</v>
      </c>
      <c r="F382" s="14">
        <v>0.017</v>
      </c>
      <c r="G382" s="15">
        <v>112.0</v>
      </c>
      <c r="H382" s="15">
        <v>110.0</v>
      </c>
      <c r="I382" s="15">
        <v>112.0</v>
      </c>
      <c r="J382" s="15">
        <v>105.0</v>
      </c>
      <c r="K382" s="15">
        <v>87.0</v>
      </c>
      <c r="L382" s="15">
        <v>88.0</v>
      </c>
      <c r="M382" s="15">
        <v>88.0</v>
      </c>
      <c r="N382" s="15">
        <v>100.0</v>
      </c>
    </row>
    <row r="383">
      <c r="A383" s="10">
        <v>545358.0</v>
      </c>
      <c r="B383" s="11" t="s">
        <v>727</v>
      </c>
      <c r="C383" s="12">
        <v>1399.0</v>
      </c>
      <c r="D383" s="10">
        <v>622.0</v>
      </c>
      <c r="E383" s="13">
        <v>221.0</v>
      </c>
      <c r="F383" s="14">
        <v>-0.051</v>
      </c>
      <c r="G383" s="15">
        <v>116.0</v>
      </c>
      <c r="H383" s="15">
        <v>114.0</v>
      </c>
      <c r="I383" s="15">
        <v>75.0</v>
      </c>
      <c r="J383" s="15">
        <v>123.0</v>
      </c>
      <c r="K383" s="15">
        <v>82.0</v>
      </c>
      <c r="L383" s="15">
        <v>88.0</v>
      </c>
      <c r="M383" s="15">
        <v>88.0</v>
      </c>
      <c r="N383" s="15">
        <v>86.0</v>
      </c>
    </row>
    <row r="384">
      <c r="A384" s="10">
        <v>543543.0</v>
      </c>
      <c r="B384" s="11" t="s">
        <v>728</v>
      </c>
      <c r="C384" s="12">
        <v>903.0</v>
      </c>
      <c r="D384" s="10">
        <v>457.0</v>
      </c>
      <c r="E384" s="13">
        <v>151.0</v>
      </c>
      <c r="F384" s="14">
        <v>0.034</v>
      </c>
      <c r="G384" s="15">
        <v>106.0</v>
      </c>
      <c r="H384" s="15">
        <v>92.0</v>
      </c>
      <c r="I384" s="15">
        <v>85.0</v>
      </c>
      <c r="J384" s="15">
        <v>98.0</v>
      </c>
      <c r="K384" s="15">
        <v>91.0</v>
      </c>
      <c r="L384" s="15">
        <v>95.0</v>
      </c>
      <c r="M384" s="15">
        <v>88.0</v>
      </c>
      <c r="N384" s="15">
        <v>82.0</v>
      </c>
    </row>
    <row r="385">
      <c r="A385" s="10">
        <v>664059.0</v>
      </c>
      <c r="B385" s="11" t="s">
        <v>286</v>
      </c>
      <c r="C385" s="12">
        <v>728.0</v>
      </c>
      <c r="D385" s="10">
        <v>358.0</v>
      </c>
      <c r="E385" s="13">
        <v>124.0</v>
      </c>
      <c r="F385" s="14">
        <v>0.023</v>
      </c>
      <c r="G385" s="15">
        <v>111.0</v>
      </c>
      <c r="H385" s="15">
        <v>111.0</v>
      </c>
      <c r="I385" s="15">
        <v>110.0</v>
      </c>
      <c r="J385" s="15">
        <v>106.0</v>
      </c>
      <c r="K385" s="15">
        <v>85.0</v>
      </c>
      <c r="L385" s="15">
        <v>89.0</v>
      </c>
      <c r="M385" s="15">
        <v>88.0</v>
      </c>
      <c r="N385" s="15">
        <v>104.0</v>
      </c>
    </row>
    <row r="386">
      <c r="A386" s="10">
        <v>670768.0</v>
      </c>
      <c r="B386" s="11" t="s">
        <v>729</v>
      </c>
      <c r="C386" s="12">
        <v>1460.0</v>
      </c>
      <c r="D386" s="10">
        <v>689.0</v>
      </c>
      <c r="E386" s="13">
        <v>239.0</v>
      </c>
      <c r="F386" s="14">
        <v>-0.006</v>
      </c>
      <c r="G386" s="15">
        <v>105.0</v>
      </c>
      <c r="H386" s="15">
        <v>104.0</v>
      </c>
      <c r="I386" s="15">
        <v>110.0</v>
      </c>
      <c r="J386" s="15">
        <v>100.0</v>
      </c>
      <c r="K386" s="15">
        <v>97.0</v>
      </c>
      <c r="L386" s="15">
        <v>85.0</v>
      </c>
      <c r="M386" s="15">
        <v>87.0</v>
      </c>
      <c r="N386" s="15">
        <v>100.0</v>
      </c>
    </row>
    <row r="387">
      <c r="A387" s="10">
        <v>570731.0</v>
      </c>
      <c r="B387" s="11" t="s">
        <v>612</v>
      </c>
      <c r="C387" s="12">
        <v>1758.0</v>
      </c>
      <c r="D387" s="10">
        <v>976.0</v>
      </c>
      <c r="E387" s="13">
        <v>372.0</v>
      </c>
      <c r="F387" s="14">
        <v>0.075</v>
      </c>
      <c r="G387" s="15">
        <v>97.0</v>
      </c>
      <c r="H387" s="15">
        <v>85.0</v>
      </c>
      <c r="I387" s="15">
        <v>110.0</v>
      </c>
      <c r="J387" s="15">
        <v>83.0</v>
      </c>
      <c r="K387" s="15">
        <v>109.0</v>
      </c>
      <c r="L387" s="15">
        <v>89.0</v>
      </c>
      <c r="M387" s="15">
        <v>87.0</v>
      </c>
      <c r="N387" s="15">
        <v>75.0</v>
      </c>
    </row>
    <row r="388">
      <c r="A388" s="10">
        <v>543281.0</v>
      </c>
      <c r="B388" s="11" t="s">
        <v>730</v>
      </c>
      <c r="C388" s="12">
        <v>1499.0</v>
      </c>
      <c r="D388" s="10">
        <v>821.0</v>
      </c>
      <c r="E388" s="13">
        <v>313.0</v>
      </c>
      <c r="F388" s="14">
        <v>0.06</v>
      </c>
      <c r="G388" s="15">
        <v>95.0</v>
      </c>
      <c r="H388" s="15">
        <v>96.0</v>
      </c>
      <c r="I388" s="15">
        <v>123.0</v>
      </c>
      <c r="J388" s="15">
        <v>86.0</v>
      </c>
      <c r="K388" s="15">
        <v>112.0</v>
      </c>
      <c r="L388" s="15">
        <v>83.0</v>
      </c>
      <c r="M388" s="15">
        <v>87.0</v>
      </c>
      <c r="N388" s="15">
        <v>99.0</v>
      </c>
    </row>
    <row r="389">
      <c r="A389" s="10">
        <v>624512.0</v>
      </c>
      <c r="B389" s="11" t="s">
        <v>515</v>
      </c>
      <c r="C389" s="12">
        <v>961.0</v>
      </c>
      <c r="D389" s="10">
        <v>498.0</v>
      </c>
      <c r="E389" s="13">
        <v>202.0</v>
      </c>
      <c r="F389" s="14">
        <v>0.046</v>
      </c>
      <c r="G389" s="15">
        <v>73.0</v>
      </c>
      <c r="H389" s="15">
        <v>84.0</v>
      </c>
      <c r="I389" s="15">
        <v>102.0</v>
      </c>
      <c r="J389" s="15">
        <v>84.0</v>
      </c>
      <c r="K389" s="15">
        <v>116.0</v>
      </c>
      <c r="L389" s="15">
        <v>87.0</v>
      </c>
      <c r="M389" s="15">
        <v>87.0</v>
      </c>
      <c r="N389" s="15">
        <v>97.0</v>
      </c>
    </row>
    <row r="390">
      <c r="A390" s="10">
        <v>675656.0</v>
      </c>
      <c r="B390" s="11" t="s">
        <v>665</v>
      </c>
      <c r="C390" s="12">
        <v>558.0</v>
      </c>
      <c r="D390" s="10">
        <v>297.0</v>
      </c>
      <c r="E390" s="13">
        <v>102.0</v>
      </c>
      <c r="F390" s="14">
        <v>0.042</v>
      </c>
      <c r="G390" s="15">
        <v>91.0</v>
      </c>
      <c r="H390" s="15">
        <v>88.0</v>
      </c>
      <c r="I390" s="15">
        <v>99.0</v>
      </c>
      <c r="J390" s="15">
        <v>89.0</v>
      </c>
      <c r="K390" s="15">
        <v>96.0</v>
      </c>
      <c r="L390" s="15">
        <v>94.0</v>
      </c>
      <c r="M390" s="15">
        <v>87.0</v>
      </c>
      <c r="N390" s="15">
        <v>74.0</v>
      </c>
    </row>
    <row r="391">
      <c r="A391" s="10">
        <v>596117.0</v>
      </c>
      <c r="B391" s="11" t="s">
        <v>549</v>
      </c>
      <c r="C391" s="12">
        <v>498.0</v>
      </c>
      <c r="D391" s="10">
        <v>198.0</v>
      </c>
      <c r="E391" s="13">
        <v>77.0</v>
      </c>
      <c r="F391" s="14">
        <v>-0.078</v>
      </c>
      <c r="G391" s="15">
        <v>69.0</v>
      </c>
      <c r="H391" s="15">
        <v>103.0</v>
      </c>
      <c r="I391" s="15">
        <v>72.0</v>
      </c>
      <c r="J391" s="15">
        <v>111.0</v>
      </c>
      <c r="K391" s="15">
        <v>100.0</v>
      </c>
      <c r="L391" s="15">
        <v>82.0</v>
      </c>
      <c r="M391" s="15">
        <v>86.0</v>
      </c>
      <c r="N391" s="15">
        <v>121.0</v>
      </c>
    </row>
    <row r="392">
      <c r="A392" s="10">
        <v>595879.0</v>
      </c>
      <c r="B392" s="11" t="s">
        <v>311</v>
      </c>
      <c r="C392" s="12">
        <v>2078.0</v>
      </c>
      <c r="D392" s="10">
        <v>1157.0</v>
      </c>
      <c r="E392" s="13">
        <v>407.0</v>
      </c>
      <c r="F392" s="14">
        <v>0.105</v>
      </c>
      <c r="G392" s="15">
        <v>50.0</v>
      </c>
      <c r="H392" s="15">
        <v>40.0</v>
      </c>
      <c r="I392" s="15">
        <v>85.0</v>
      </c>
      <c r="J392" s="15">
        <v>55.0</v>
      </c>
      <c r="K392" s="15">
        <v>109.0</v>
      </c>
      <c r="L392" s="15">
        <v>106.0</v>
      </c>
      <c r="M392" s="15">
        <v>86.0</v>
      </c>
      <c r="N392" s="15">
        <v>91.0</v>
      </c>
    </row>
    <row r="393">
      <c r="A393" s="10">
        <v>572287.0</v>
      </c>
      <c r="B393" s="11" t="s">
        <v>653</v>
      </c>
      <c r="C393" s="12">
        <v>475.0</v>
      </c>
      <c r="D393" s="10">
        <v>243.0</v>
      </c>
      <c r="E393" s="13">
        <v>69.0</v>
      </c>
      <c r="F393" s="14">
        <v>0.05</v>
      </c>
      <c r="G393" s="15">
        <v>88.0</v>
      </c>
      <c r="H393" s="15">
        <v>76.0</v>
      </c>
      <c r="I393" s="15">
        <v>97.0</v>
      </c>
      <c r="J393" s="15">
        <v>80.0</v>
      </c>
      <c r="K393" s="15">
        <v>76.0</v>
      </c>
      <c r="L393" s="15">
        <v>111.0</v>
      </c>
      <c r="M393" s="15">
        <v>86.0</v>
      </c>
      <c r="N393" s="15">
        <v>70.0</v>
      </c>
    </row>
    <row r="394">
      <c r="A394" s="10">
        <v>642727.0</v>
      </c>
      <c r="B394" s="11" t="s">
        <v>731</v>
      </c>
      <c r="C394" s="12">
        <v>928.0</v>
      </c>
      <c r="D394" s="10">
        <v>395.0</v>
      </c>
      <c r="E394" s="13">
        <v>151.0</v>
      </c>
      <c r="F394" s="14">
        <v>-0.066</v>
      </c>
      <c r="G394" s="15">
        <v>90.0</v>
      </c>
      <c r="H394" s="15">
        <v>103.0</v>
      </c>
      <c r="I394" s="15">
        <v>91.0</v>
      </c>
      <c r="J394" s="15">
        <v>106.0</v>
      </c>
      <c r="K394" s="15">
        <v>103.0</v>
      </c>
      <c r="L394" s="15">
        <v>80.0</v>
      </c>
      <c r="M394" s="15">
        <v>86.0</v>
      </c>
      <c r="N394" s="15">
        <v>92.0</v>
      </c>
    </row>
    <row r="395">
      <c r="A395" s="10">
        <v>656308.0</v>
      </c>
      <c r="B395" s="11" t="s">
        <v>732</v>
      </c>
      <c r="C395" s="12">
        <v>1509.0</v>
      </c>
      <c r="D395" s="10">
        <v>871.0</v>
      </c>
      <c r="E395" s="13">
        <v>278.0</v>
      </c>
      <c r="F395" s="14">
        <v>0.085</v>
      </c>
      <c r="G395" s="15">
        <v>98.0</v>
      </c>
      <c r="H395" s="15">
        <v>86.0</v>
      </c>
      <c r="I395" s="15">
        <v>108.0</v>
      </c>
      <c r="J395" s="15">
        <v>84.0</v>
      </c>
      <c r="K395" s="15">
        <v>84.0</v>
      </c>
      <c r="L395" s="15">
        <v>101.0</v>
      </c>
      <c r="M395" s="15">
        <v>86.0</v>
      </c>
      <c r="N395" s="15">
        <v>94.0</v>
      </c>
    </row>
    <row r="396">
      <c r="A396" s="10">
        <v>656413.0</v>
      </c>
      <c r="B396" s="11" t="s">
        <v>523</v>
      </c>
      <c r="C396" s="12">
        <v>421.0</v>
      </c>
      <c r="D396" s="10">
        <v>202.0</v>
      </c>
      <c r="E396" s="13">
        <v>62.0</v>
      </c>
      <c r="F396" s="14">
        <v>-0.01</v>
      </c>
      <c r="G396" s="15">
        <v>142.0</v>
      </c>
      <c r="H396" s="15">
        <v>115.0</v>
      </c>
      <c r="I396" s="15">
        <v>93.0</v>
      </c>
      <c r="J396" s="15">
        <v>117.0</v>
      </c>
      <c r="K396" s="15">
        <v>71.0</v>
      </c>
      <c r="L396" s="15">
        <v>91.0</v>
      </c>
      <c r="M396" s="15">
        <v>85.0</v>
      </c>
      <c r="N396" s="15">
        <v>114.0</v>
      </c>
    </row>
    <row r="397">
      <c r="A397" s="10">
        <v>425877.0</v>
      </c>
      <c r="B397" s="11" t="s">
        <v>733</v>
      </c>
      <c r="C397" s="12">
        <v>979.0</v>
      </c>
      <c r="D397" s="10">
        <v>573.0</v>
      </c>
      <c r="E397" s="13">
        <v>222.0</v>
      </c>
      <c r="F397" s="14">
        <v>0.091</v>
      </c>
      <c r="G397" s="15">
        <v>89.0</v>
      </c>
      <c r="H397" s="15">
        <v>90.0</v>
      </c>
      <c r="I397" s="15">
        <v>120.0</v>
      </c>
      <c r="J397" s="15">
        <v>82.0</v>
      </c>
      <c r="K397" s="15">
        <v>116.0</v>
      </c>
      <c r="L397" s="15">
        <v>83.0</v>
      </c>
      <c r="M397" s="15">
        <v>85.0</v>
      </c>
      <c r="N397" s="15">
        <v>80.0</v>
      </c>
    </row>
    <row r="398">
      <c r="A398" s="10">
        <v>578428.0</v>
      </c>
      <c r="B398" s="11" t="s">
        <v>335</v>
      </c>
      <c r="C398" s="12">
        <v>1719.0</v>
      </c>
      <c r="D398" s="10">
        <v>895.0</v>
      </c>
      <c r="E398" s="13">
        <v>384.0</v>
      </c>
      <c r="F398" s="14">
        <v>0.053</v>
      </c>
      <c r="G398" s="15">
        <v>59.0</v>
      </c>
      <c r="H398" s="15">
        <v>75.0</v>
      </c>
      <c r="I398" s="15">
        <v>110.0</v>
      </c>
      <c r="J398" s="15">
        <v>73.0</v>
      </c>
      <c r="K398" s="15">
        <v>131.0</v>
      </c>
      <c r="L398" s="15">
        <v>83.0</v>
      </c>
      <c r="M398" s="15">
        <v>85.0</v>
      </c>
      <c r="N398" s="15">
        <v>105.0</v>
      </c>
    </row>
    <row r="399">
      <c r="A399" s="10">
        <v>553882.0</v>
      </c>
      <c r="B399" s="11" t="s">
        <v>598</v>
      </c>
      <c r="C399" s="12">
        <v>1169.0</v>
      </c>
      <c r="D399" s="10">
        <v>583.0</v>
      </c>
      <c r="E399" s="13">
        <v>204.0</v>
      </c>
      <c r="F399" s="14">
        <v>0.03</v>
      </c>
      <c r="G399" s="15">
        <v>119.0</v>
      </c>
      <c r="H399" s="15">
        <v>112.0</v>
      </c>
      <c r="I399" s="15">
        <v>120.0</v>
      </c>
      <c r="J399" s="15">
        <v>104.0</v>
      </c>
      <c r="K399" s="15">
        <v>94.0</v>
      </c>
      <c r="L399" s="15">
        <v>82.0</v>
      </c>
      <c r="M399" s="15">
        <v>85.0</v>
      </c>
      <c r="N399" s="15">
        <v>86.0</v>
      </c>
    </row>
    <row r="400">
      <c r="A400" s="10">
        <v>643393.0</v>
      </c>
      <c r="B400" s="11" t="s">
        <v>626</v>
      </c>
      <c r="C400" s="12">
        <v>2026.0</v>
      </c>
      <c r="D400" s="10">
        <v>989.0</v>
      </c>
      <c r="E400" s="13">
        <v>432.0</v>
      </c>
      <c r="F400" s="14">
        <v>0.032</v>
      </c>
      <c r="G400" s="15">
        <v>100.0</v>
      </c>
      <c r="H400" s="15">
        <v>108.0</v>
      </c>
      <c r="I400" s="15">
        <v>112.0</v>
      </c>
      <c r="J400" s="15">
        <v>103.0</v>
      </c>
      <c r="K400" s="15">
        <v>117.0</v>
      </c>
      <c r="L400" s="15">
        <v>76.0</v>
      </c>
      <c r="M400" s="15">
        <v>85.0</v>
      </c>
      <c r="N400" s="15">
        <v>91.0</v>
      </c>
    </row>
    <row r="401">
      <c r="A401" s="10">
        <v>650489.0</v>
      </c>
      <c r="B401" s="11" t="s">
        <v>294</v>
      </c>
      <c r="C401" s="12">
        <v>1430.0</v>
      </c>
      <c r="D401" s="10">
        <v>830.0</v>
      </c>
      <c r="E401" s="13">
        <v>284.0</v>
      </c>
      <c r="F401" s="14">
        <v>0.096</v>
      </c>
      <c r="G401" s="15">
        <v>98.0</v>
      </c>
      <c r="H401" s="15">
        <v>80.0</v>
      </c>
      <c r="I401" s="15">
        <v>106.0</v>
      </c>
      <c r="J401" s="15">
        <v>79.0</v>
      </c>
      <c r="K401" s="15">
        <v>110.0</v>
      </c>
      <c r="L401" s="15">
        <v>88.0</v>
      </c>
      <c r="M401" s="15">
        <v>85.0</v>
      </c>
      <c r="N401" s="15">
        <v>92.0</v>
      </c>
    </row>
    <row r="402">
      <c r="A402" s="10">
        <v>669911.0</v>
      </c>
      <c r="B402" s="11" t="s">
        <v>323</v>
      </c>
      <c r="C402" s="12">
        <v>470.0</v>
      </c>
      <c r="D402" s="10">
        <v>224.0</v>
      </c>
      <c r="E402" s="13">
        <v>66.0</v>
      </c>
      <c r="F402" s="14">
        <v>-0.024</v>
      </c>
      <c r="G402" s="15">
        <v>94.0</v>
      </c>
      <c r="H402" s="15">
        <v>93.0</v>
      </c>
      <c r="I402" s="15">
        <v>69.0</v>
      </c>
      <c r="J402" s="15">
        <v>105.0</v>
      </c>
      <c r="K402" s="15">
        <v>78.0</v>
      </c>
      <c r="L402" s="15">
        <v>98.0</v>
      </c>
      <c r="M402" s="15">
        <v>85.0</v>
      </c>
      <c r="N402" s="15">
        <v>94.0</v>
      </c>
    </row>
    <row r="403">
      <c r="A403" s="10">
        <v>624641.0</v>
      </c>
      <c r="B403" s="11" t="s">
        <v>283</v>
      </c>
      <c r="C403" s="12">
        <v>651.0</v>
      </c>
      <c r="D403" s="10">
        <v>373.0</v>
      </c>
      <c r="E403" s="13">
        <v>128.0</v>
      </c>
      <c r="F403" s="14">
        <v>0.112</v>
      </c>
      <c r="G403" s="15">
        <v>66.0</v>
      </c>
      <c r="H403" s="15">
        <v>65.0</v>
      </c>
      <c r="I403" s="15">
        <v>130.0</v>
      </c>
      <c r="J403" s="15">
        <v>59.0</v>
      </c>
      <c r="K403" s="15">
        <v>98.0</v>
      </c>
      <c r="L403" s="15">
        <v>101.0</v>
      </c>
      <c r="M403" s="15">
        <v>85.0</v>
      </c>
      <c r="N403" s="15">
        <v>88.0</v>
      </c>
    </row>
    <row r="404">
      <c r="A404" s="10">
        <v>642201.0</v>
      </c>
      <c r="B404" s="11" t="s">
        <v>257</v>
      </c>
      <c r="C404" s="12">
        <v>440.0</v>
      </c>
      <c r="D404" s="10">
        <v>204.0</v>
      </c>
      <c r="E404" s="13">
        <v>64.0</v>
      </c>
      <c r="F404" s="14">
        <v>-0.044</v>
      </c>
      <c r="G404" s="15">
        <v>122.0</v>
      </c>
      <c r="H404" s="15">
        <v>123.0</v>
      </c>
      <c r="I404" s="15">
        <v>105.0</v>
      </c>
      <c r="J404" s="15">
        <v>120.0</v>
      </c>
      <c r="K404" s="15">
        <v>63.0</v>
      </c>
      <c r="L404" s="15">
        <v>89.0</v>
      </c>
      <c r="M404" s="15">
        <v>84.0</v>
      </c>
      <c r="N404" s="15">
        <v>86.0</v>
      </c>
    </row>
    <row r="405">
      <c r="A405" s="10">
        <v>572816.0</v>
      </c>
      <c r="B405" s="11" t="s">
        <v>648</v>
      </c>
      <c r="C405" s="12">
        <v>1070.0</v>
      </c>
      <c r="D405" s="10">
        <v>624.0</v>
      </c>
      <c r="E405" s="13">
        <v>233.0</v>
      </c>
      <c r="F405" s="14">
        <v>0.111</v>
      </c>
      <c r="G405" s="15">
        <v>83.0</v>
      </c>
      <c r="H405" s="15">
        <v>77.0</v>
      </c>
      <c r="I405" s="15">
        <v>125.0</v>
      </c>
      <c r="J405" s="15">
        <v>69.0</v>
      </c>
      <c r="K405" s="15">
        <v>107.0</v>
      </c>
      <c r="L405" s="15">
        <v>91.0</v>
      </c>
      <c r="M405" s="15">
        <v>84.0</v>
      </c>
      <c r="N405" s="15">
        <v>94.0</v>
      </c>
    </row>
    <row r="406">
      <c r="A406" s="10">
        <v>503556.0</v>
      </c>
      <c r="B406" s="11" t="s">
        <v>734</v>
      </c>
      <c r="C406" s="12">
        <v>819.0</v>
      </c>
      <c r="D406" s="10">
        <v>410.0</v>
      </c>
      <c r="E406" s="13">
        <v>135.0</v>
      </c>
      <c r="F406" s="14">
        <v>0.014</v>
      </c>
      <c r="G406" s="15">
        <v>85.0</v>
      </c>
      <c r="H406" s="15">
        <v>81.0</v>
      </c>
      <c r="I406" s="15">
        <v>95.0</v>
      </c>
      <c r="J406" s="15">
        <v>84.0</v>
      </c>
      <c r="K406" s="15">
        <v>97.0</v>
      </c>
      <c r="L406" s="15">
        <v>93.0</v>
      </c>
      <c r="M406" s="15">
        <v>84.0</v>
      </c>
      <c r="N406" s="15">
        <v>78.0</v>
      </c>
    </row>
    <row r="407">
      <c r="A407" s="10">
        <v>519058.0</v>
      </c>
      <c r="B407" s="11" t="s">
        <v>632</v>
      </c>
      <c r="C407" s="12">
        <v>1131.0</v>
      </c>
      <c r="D407" s="10">
        <v>612.0</v>
      </c>
      <c r="E407" s="13">
        <v>177.0</v>
      </c>
      <c r="F407" s="14">
        <v>0.066</v>
      </c>
      <c r="G407" s="15">
        <v>91.0</v>
      </c>
      <c r="H407" s="15">
        <v>85.0</v>
      </c>
      <c r="I407" s="15">
        <v>112.0</v>
      </c>
      <c r="J407" s="15">
        <v>83.0</v>
      </c>
      <c r="K407" s="15">
        <v>101.0</v>
      </c>
      <c r="L407" s="15">
        <v>88.0</v>
      </c>
      <c r="M407" s="15">
        <v>84.0</v>
      </c>
      <c r="N407" s="15">
        <v>92.0</v>
      </c>
    </row>
    <row r="408">
      <c r="A408" s="10">
        <v>664058.0</v>
      </c>
      <c r="B408" s="11" t="s">
        <v>735</v>
      </c>
      <c r="C408" s="12">
        <v>725.0</v>
      </c>
      <c r="D408" s="10">
        <v>352.0</v>
      </c>
      <c r="E408" s="13">
        <v>202.0</v>
      </c>
      <c r="F408" s="14">
        <v>0.001</v>
      </c>
      <c r="G408" s="15">
        <v>73.0</v>
      </c>
      <c r="H408" s="15">
        <v>94.0</v>
      </c>
      <c r="I408" s="15">
        <v>104.0</v>
      </c>
      <c r="J408" s="15">
        <v>91.0</v>
      </c>
      <c r="K408" s="15">
        <v>145.0</v>
      </c>
      <c r="L408" s="15">
        <v>76.0</v>
      </c>
      <c r="M408" s="15">
        <v>84.0</v>
      </c>
      <c r="N408" s="15">
        <v>89.0</v>
      </c>
    </row>
    <row r="409">
      <c r="A409" s="10">
        <v>546318.0</v>
      </c>
      <c r="B409" s="11" t="s">
        <v>736</v>
      </c>
      <c r="C409" s="12">
        <v>737.0</v>
      </c>
      <c r="D409" s="10">
        <v>388.0</v>
      </c>
      <c r="E409" s="13">
        <v>144.0</v>
      </c>
      <c r="F409" s="14">
        <v>0.087</v>
      </c>
      <c r="G409" s="15">
        <v>77.0</v>
      </c>
      <c r="H409" s="15">
        <v>60.0</v>
      </c>
      <c r="I409" s="15">
        <v>102.0</v>
      </c>
      <c r="J409" s="15">
        <v>64.0</v>
      </c>
      <c r="K409" s="15">
        <v>112.0</v>
      </c>
      <c r="L409" s="15">
        <v>94.0</v>
      </c>
      <c r="M409" s="15">
        <v>83.0</v>
      </c>
      <c r="N409" s="15">
        <v>87.0</v>
      </c>
    </row>
    <row r="410">
      <c r="A410" s="10">
        <v>663897.0</v>
      </c>
      <c r="B410" s="11" t="s">
        <v>737</v>
      </c>
      <c r="C410" s="10">
        <v>537.0</v>
      </c>
      <c r="D410" s="10">
        <v>272.0</v>
      </c>
      <c r="E410" s="10">
        <v>83.0</v>
      </c>
      <c r="F410" s="14">
        <v>0.009</v>
      </c>
      <c r="G410" s="15">
        <v>108.0</v>
      </c>
      <c r="H410" s="15">
        <v>97.0</v>
      </c>
      <c r="I410" s="15">
        <v>94.0</v>
      </c>
      <c r="J410" s="15">
        <v>99.0</v>
      </c>
      <c r="K410" s="15">
        <v>80.0</v>
      </c>
      <c r="L410" s="15">
        <v>94.0</v>
      </c>
      <c r="M410" s="15">
        <v>83.0</v>
      </c>
      <c r="N410" s="15">
        <v>89.0</v>
      </c>
    </row>
    <row r="411">
      <c r="A411" s="10">
        <v>544369.0</v>
      </c>
      <c r="B411" s="11" t="s">
        <v>738</v>
      </c>
      <c r="C411" s="10">
        <v>820.0</v>
      </c>
      <c r="D411" s="10">
        <v>497.0</v>
      </c>
      <c r="E411" s="10">
        <v>180.0</v>
      </c>
      <c r="F411" s="14">
        <v>0.143</v>
      </c>
      <c r="G411" s="15">
        <v>102.0</v>
      </c>
      <c r="H411" s="15">
        <v>88.0</v>
      </c>
      <c r="I411" s="15">
        <v>142.0</v>
      </c>
      <c r="J411" s="15">
        <v>75.0</v>
      </c>
      <c r="K411" s="15">
        <v>108.0</v>
      </c>
      <c r="L411" s="15">
        <v>85.0</v>
      </c>
      <c r="M411" s="15">
        <v>83.0</v>
      </c>
      <c r="N411" s="15">
        <v>74.0</v>
      </c>
    </row>
    <row r="412">
      <c r="A412" s="10">
        <v>641914.0</v>
      </c>
      <c r="B412" s="11" t="s">
        <v>739</v>
      </c>
      <c r="C412" s="10">
        <v>1148.0</v>
      </c>
      <c r="D412" s="10">
        <v>583.0</v>
      </c>
      <c r="E412" s="10">
        <v>189.0</v>
      </c>
      <c r="F412" s="14">
        <v>0.028</v>
      </c>
      <c r="G412" s="15">
        <v>98.0</v>
      </c>
      <c r="H412" s="15">
        <v>90.0</v>
      </c>
      <c r="I412" s="15">
        <v>99.0</v>
      </c>
      <c r="J412" s="15">
        <v>91.0</v>
      </c>
      <c r="K412" s="15">
        <v>95.0</v>
      </c>
      <c r="L412" s="15">
        <v>88.0</v>
      </c>
      <c r="M412" s="15">
        <v>83.0</v>
      </c>
      <c r="N412" s="15">
        <v>85.0</v>
      </c>
    </row>
    <row r="413">
      <c r="A413" s="10">
        <v>621563.0</v>
      </c>
      <c r="B413" s="11" t="s">
        <v>641</v>
      </c>
      <c r="C413" s="10">
        <v>1264.0</v>
      </c>
      <c r="D413" s="10">
        <v>671.0</v>
      </c>
      <c r="E413" s="10">
        <v>296.0</v>
      </c>
      <c r="F413" s="14">
        <v>0.065</v>
      </c>
      <c r="G413" s="15">
        <v>67.0</v>
      </c>
      <c r="H413" s="15">
        <v>73.0</v>
      </c>
      <c r="I413" s="15">
        <v>109.0</v>
      </c>
      <c r="J413" s="15">
        <v>71.0</v>
      </c>
      <c r="K413" s="15">
        <v>134.0</v>
      </c>
      <c r="L413" s="15">
        <v>81.0</v>
      </c>
      <c r="M413" s="15">
        <v>82.0</v>
      </c>
      <c r="N413" s="15">
        <v>93.0</v>
      </c>
    </row>
    <row r="414">
      <c r="A414" s="10">
        <v>676391.0</v>
      </c>
      <c r="B414" s="11" t="s">
        <v>330</v>
      </c>
      <c r="C414" s="10">
        <v>624.0</v>
      </c>
      <c r="D414" s="10">
        <v>310.0</v>
      </c>
      <c r="E414" s="10">
        <v>138.0</v>
      </c>
      <c r="F414" s="14">
        <v>0.016</v>
      </c>
      <c r="G414" s="15">
        <v>74.0</v>
      </c>
      <c r="H414" s="15">
        <v>90.0</v>
      </c>
      <c r="I414" s="15">
        <v>112.0</v>
      </c>
      <c r="J414" s="15">
        <v>85.0</v>
      </c>
      <c r="K414" s="15">
        <v>118.0</v>
      </c>
      <c r="L414" s="15">
        <v>81.0</v>
      </c>
      <c r="M414" s="15">
        <v>82.0</v>
      </c>
      <c r="N414" s="15">
        <v>61.0</v>
      </c>
    </row>
    <row r="415">
      <c r="A415" s="10">
        <v>668800.0</v>
      </c>
      <c r="B415" s="11" t="s">
        <v>637</v>
      </c>
      <c r="C415" s="10">
        <v>1094.0</v>
      </c>
      <c r="D415" s="10">
        <v>529.0</v>
      </c>
      <c r="E415" s="10">
        <v>197.0</v>
      </c>
      <c r="F415" s="14">
        <v>0.011</v>
      </c>
      <c r="G415" s="15">
        <v>83.0</v>
      </c>
      <c r="H415" s="15">
        <v>85.0</v>
      </c>
      <c r="I415" s="15">
        <v>85.0</v>
      </c>
      <c r="J415" s="15">
        <v>91.0</v>
      </c>
      <c r="K415" s="15">
        <v>110.0</v>
      </c>
      <c r="L415" s="15">
        <v>83.0</v>
      </c>
      <c r="M415" s="15">
        <v>82.0</v>
      </c>
      <c r="N415" s="15">
        <v>88.0</v>
      </c>
    </row>
    <row r="416">
      <c r="A416" s="10">
        <v>605244.0</v>
      </c>
      <c r="B416" s="11" t="s">
        <v>740</v>
      </c>
      <c r="C416" s="10">
        <v>443.0</v>
      </c>
      <c r="D416" s="10">
        <v>230.0</v>
      </c>
      <c r="E416" s="10">
        <v>76.0</v>
      </c>
      <c r="F416" s="14">
        <v>0.018</v>
      </c>
      <c r="G416" s="15">
        <v>118.0</v>
      </c>
      <c r="H416" s="15">
        <v>107.0</v>
      </c>
      <c r="I416" s="15">
        <v>116.0</v>
      </c>
      <c r="J416" s="15">
        <v>101.0</v>
      </c>
      <c r="K416" s="15">
        <v>80.0</v>
      </c>
      <c r="L416" s="15">
        <v>89.0</v>
      </c>
      <c r="M416" s="15">
        <v>82.0</v>
      </c>
      <c r="N416" s="15">
        <v>73.0</v>
      </c>
    </row>
    <row r="417">
      <c r="A417" s="10">
        <v>665750.0</v>
      </c>
      <c r="B417" s="11" t="s">
        <v>377</v>
      </c>
      <c r="C417" s="10">
        <v>1259.0</v>
      </c>
      <c r="D417" s="10">
        <v>619.0</v>
      </c>
      <c r="E417" s="10">
        <v>227.0</v>
      </c>
      <c r="F417" s="14">
        <v>0.012</v>
      </c>
      <c r="G417" s="15">
        <v>94.0</v>
      </c>
      <c r="H417" s="15">
        <v>89.0</v>
      </c>
      <c r="I417" s="15">
        <v>97.0</v>
      </c>
      <c r="J417" s="15">
        <v>91.0</v>
      </c>
      <c r="K417" s="15">
        <v>106.0</v>
      </c>
      <c r="L417" s="15">
        <v>83.0</v>
      </c>
      <c r="M417" s="15">
        <v>82.0</v>
      </c>
      <c r="N417" s="15">
        <v>96.0</v>
      </c>
    </row>
    <row r="418">
      <c r="A418" s="10">
        <v>665019.0</v>
      </c>
      <c r="B418" s="11" t="s">
        <v>105</v>
      </c>
      <c r="C418" s="10">
        <v>505.0</v>
      </c>
      <c r="D418" s="10">
        <v>267.0</v>
      </c>
      <c r="E418" s="10">
        <v>86.0</v>
      </c>
      <c r="F418" s="14">
        <v>0.028</v>
      </c>
      <c r="G418" s="15">
        <v>96.0</v>
      </c>
      <c r="H418" s="15">
        <v>90.0</v>
      </c>
      <c r="I418" s="15">
        <v>108.0</v>
      </c>
      <c r="J418" s="15">
        <v>87.0</v>
      </c>
      <c r="K418" s="15">
        <v>96.0</v>
      </c>
      <c r="L418" s="15">
        <v>87.0</v>
      </c>
      <c r="M418" s="15">
        <v>82.0</v>
      </c>
      <c r="N418" s="15">
        <v>71.0</v>
      </c>
    </row>
    <row r="419">
      <c r="A419" s="10">
        <v>640492.0</v>
      </c>
      <c r="B419" s="11" t="s">
        <v>741</v>
      </c>
      <c r="C419" s="10">
        <v>764.0</v>
      </c>
      <c r="D419" s="10">
        <v>427.0</v>
      </c>
      <c r="E419" s="10">
        <v>160.0</v>
      </c>
      <c r="F419" s="14">
        <v>0.103</v>
      </c>
      <c r="G419" s="15">
        <v>97.0</v>
      </c>
      <c r="H419" s="15">
        <v>82.0</v>
      </c>
      <c r="I419" s="15">
        <v>125.0</v>
      </c>
      <c r="J419" s="15">
        <v>77.0</v>
      </c>
      <c r="K419" s="15">
        <v>101.0</v>
      </c>
      <c r="L419" s="15">
        <v>90.0</v>
      </c>
      <c r="M419" s="15">
        <v>82.0</v>
      </c>
      <c r="N419" s="15">
        <v>84.0</v>
      </c>
    </row>
    <row r="420">
      <c r="A420" s="10">
        <v>592696.0</v>
      </c>
      <c r="B420" s="11" t="s">
        <v>564</v>
      </c>
      <c r="C420" s="10">
        <v>1004.0</v>
      </c>
      <c r="D420" s="10">
        <v>536.0</v>
      </c>
      <c r="E420" s="10">
        <v>184.0</v>
      </c>
      <c r="F420" s="14">
        <v>0.087</v>
      </c>
      <c r="G420" s="15">
        <v>72.0</v>
      </c>
      <c r="H420" s="15">
        <v>70.0</v>
      </c>
      <c r="I420" s="15">
        <v>112.0</v>
      </c>
      <c r="J420" s="15">
        <v>71.0</v>
      </c>
      <c r="K420" s="15">
        <v>104.0</v>
      </c>
      <c r="L420" s="15">
        <v>92.0</v>
      </c>
      <c r="M420" s="15">
        <v>82.0</v>
      </c>
      <c r="N420" s="15">
        <v>81.0</v>
      </c>
    </row>
    <row r="421">
      <c r="A421" s="10">
        <v>664056.0</v>
      </c>
      <c r="B421" s="11" t="s">
        <v>266</v>
      </c>
      <c r="C421" s="10">
        <v>1175.0</v>
      </c>
      <c r="D421" s="10">
        <v>566.0</v>
      </c>
      <c r="E421" s="10">
        <v>230.0</v>
      </c>
      <c r="F421" s="14">
        <v>0.027</v>
      </c>
      <c r="G421" s="15">
        <v>82.0</v>
      </c>
      <c r="H421" s="15">
        <v>80.0</v>
      </c>
      <c r="I421" s="15">
        <v>94.0</v>
      </c>
      <c r="J421" s="15">
        <v>84.0</v>
      </c>
      <c r="K421" s="15">
        <v>115.0</v>
      </c>
      <c r="L421" s="15">
        <v>83.0</v>
      </c>
      <c r="M421" s="15">
        <v>82.0</v>
      </c>
      <c r="N421" s="15">
        <v>97.0</v>
      </c>
    </row>
    <row r="422">
      <c r="A422" s="10">
        <v>660707.0</v>
      </c>
      <c r="B422" s="11" t="s">
        <v>557</v>
      </c>
      <c r="C422" s="10">
        <v>670.0</v>
      </c>
      <c r="D422" s="10">
        <v>349.0</v>
      </c>
      <c r="E422" s="10">
        <v>115.0</v>
      </c>
      <c r="F422" s="14">
        <v>0.064</v>
      </c>
      <c r="G422" s="15">
        <v>85.0</v>
      </c>
      <c r="H422" s="15">
        <v>64.0</v>
      </c>
      <c r="I422" s="15">
        <v>85.0</v>
      </c>
      <c r="J422" s="15">
        <v>72.0</v>
      </c>
      <c r="K422" s="15">
        <v>91.0</v>
      </c>
      <c r="L422" s="15">
        <v>102.0</v>
      </c>
      <c r="M422" s="15">
        <v>81.0</v>
      </c>
      <c r="N422" s="15">
        <v>95.0</v>
      </c>
    </row>
    <row r="423">
      <c r="A423" s="10">
        <v>545121.0</v>
      </c>
      <c r="B423" s="11" t="s">
        <v>530</v>
      </c>
      <c r="C423" s="10">
        <v>786.0</v>
      </c>
      <c r="D423" s="10">
        <v>373.0</v>
      </c>
      <c r="E423" s="10">
        <v>182.0</v>
      </c>
      <c r="F423" s="14">
        <v>-0.011</v>
      </c>
      <c r="G423" s="15">
        <v>93.0</v>
      </c>
      <c r="H423" s="15">
        <v>98.0</v>
      </c>
      <c r="I423" s="15">
        <v>97.0</v>
      </c>
      <c r="J423" s="15">
        <v>99.0</v>
      </c>
      <c r="K423" s="15">
        <v>131.0</v>
      </c>
      <c r="L423" s="15">
        <v>73.0</v>
      </c>
      <c r="M423" s="15">
        <v>81.0</v>
      </c>
      <c r="N423" s="15">
        <v>102.0</v>
      </c>
    </row>
    <row r="424">
      <c r="A424" s="10">
        <v>621450.0</v>
      </c>
      <c r="B424" s="11" t="s">
        <v>742</v>
      </c>
      <c r="C424" s="10">
        <v>480.0</v>
      </c>
      <c r="D424" s="10">
        <v>227.0</v>
      </c>
      <c r="E424" s="10">
        <v>76.0</v>
      </c>
      <c r="F424" s="14">
        <v>-0.003</v>
      </c>
      <c r="G424" s="15">
        <v>105.0</v>
      </c>
      <c r="H424" s="15">
        <v>94.0</v>
      </c>
      <c r="I424" s="15">
        <v>94.0</v>
      </c>
      <c r="J424" s="15">
        <v>96.0</v>
      </c>
      <c r="K424" s="15">
        <v>102.0</v>
      </c>
      <c r="L424" s="15">
        <v>80.0</v>
      </c>
      <c r="M424" s="15">
        <v>81.0</v>
      </c>
      <c r="N424" s="15">
        <v>85.0</v>
      </c>
    </row>
    <row r="425">
      <c r="A425" s="10">
        <v>435559.0</v>
      </c>
      <c r="B425" s="11" t="s">
        <v>743</v>
      </c>
      <c r="C425" s="10">
        <v>587.0</v>
      </c>
      <c r="D425" s="10">
        <v>281.0</v>
      </c>
      <c r="E425" s="10">
        <v>111.0</v>
      </c>
      <c r="F425" s="14">
        <v>-0.042</v>
      </c>
      <c r="G425" s="15">
        <v>108.0</v>
      </c>
      <c r="H425" s="15">
        <v>123.0</v>
      </c>
      <c r="I425" s="15">
        <v>90.0</v>
      </c>
      <c r="J425" s="15">
        <v>126.0</v>
      </c>
      <c r="K425" s="15">
        <v>106.0</v>
      </c>
      <c r="L425" s="15">
        <v>68.0</v>
      </c>
      <c r="M425" s="15">
        <v>81.0</v>
      </c>
      <c r="N425" s="15">
        <v>84.0</v>
      </c>
    </row>
    <row r="426">
      <c r="A426" s="10">
        <v>666176.0</v>
      </c>
      <c r="B426" s="11" t="s">
        <v>29</v>
      </c>
      <c r="C426" s="10">
        <v>1167.0</v>
      </c>
      <c r="D426" s="10">
        <v>609.0</v>
      </c>
      <c r="E426" s="10">
        <v>162.0</v>
      </c>
      <c r="F426" s="14">
        <v>0.0</v>
      </c>
      <c r="G426" s="15">
        <v>104.0</v>
      </c>
      <c r="H426" s="15">
        <v>90.0</v>
      </c>
      <c r="I426" s="15">
        <v>92.0</v>
      </c>
      <c r="J426" s="15">
        <v>94.0</v>
      </c>
      <c r="K426" s="15">
        <v>74.0</v>
      </c>
      <c r="L426" s="15">
        <v>98.0</v>
      </c>
      <c r="M426" s="15">
        <v>81.0</v>
      </c>
      <c r="N426" s="15">
        <v>93.0</v>
      </c>
    </row>
    <row r="427">
      <c r="A427" s="10">
        <v>642350.0</v>
      </c>
      <c r="B427" s="11" t="s">
        <v>488</v>
      </c>
      <c r="C427" s="10">
        <v>1243.0</v>
      </c>
      <c r="D427" s="10">
        <v>642.0</v>
      </c>
      <c r="E427" s="10">
        <v>189.0</v>
      </c>
      <c r="F427" s="14">
        <v>0.034</v>
      </c>
      <c r="G427" s="15">
        <v>83.0</v>
      </c>
      <c r="H427" s="15">
        <v>80.0</v>
      </c>
      <c r="I427" s="15">
        <v>96.0</v>
      </c>
      <c r="J427" s="15">
        <v>84.0</v>
      </c>
      <c r="K427" s="15">
        <v>88.0</v>
      </c>
      <c r="L427" s="15">
        <v>95.0</v>
      </c>
      <c r="M427" s="15">
        <v>81.0</v>
      </c>
      <c r="N427" s="15">
        <v>86.0</v>
      </c>
    </row>
    <row r="428">
      <c r="A428" s="10">
        <v>571466.0</v>
      </c>
      <c r="B428" s="11" t="s">
        <v>667</v>
      </c>
      <c r="C428" s="10">
        <v>1157.0</v>
      </c>
      <c r="D428" s="10">
        <v>536.0</v>
      </c>
      <c r="E428" s="10">
        <v>207.0</v>
      </c>
      <c r="F428" s="14">
        <v>-0.022</v>
      </c>
      <c r="G428" s="15">
        <v>103.0</v>
      </c>
      <c r="H428" s="15">
        <v>106.0</v>
      </c>
      <c r="I428" s="15">
        <v>93.0</v>
      </c>
      <c r="J428" s="15">
        <v>108.0</v>
      </c>
      <c r="K428" s="15">
        <v>99.0</v>
      </c>
      <c r="L428" s="15">
        <v>78.0</v>
      </c>
      <c r="M428" s="15">
        <v>81.0</v>
      </c>
      <c r="N428" s="15">
        <v>85.0</v>
      </c>
    </row>
    <row r="429">
      <c r="A429" s="10">
        <v>640458.0</v>
      </c>
      <c r="B429" s="11" t="s">
        <v>744</v>
      </c>
      <c r="C429" s="10">
        <v>468.0</v>
      </c>
      <c r="D429" s="10">
        <v>264.0</v>
      </c>
      <c r="E429" s="10">
        <v>93.0</v>
      </c>
      <c r="F429" s="14">
        <v>0.091</v>
      </c>
      <c r="G429" s="15">
        <v>130.0</v>
      </c>
      <c r="H429" s="15">
        <v>109.0</v>
      </c>
      <c r="I429" s="15">
        <v>140.0</v>
      </c>
      <c r="J429" s="15">
        <v>93.0</v>
      </c>
      <c r="K429" s="15">
        <v>94.0</v>
      </c>
      <c r="L429" s="15">
        <v>81.0</v>
      </c>
      <c r="M429" s="15">
        <v>80.0</v>
      </c>
      <c r="N429" s="15">
        <v>84.0</v>
      </c>
    </row>
    <row r="430">
      <c r="A430" s="10">
        <v>642180.0</v>
      </c>
      <c r="B430" s="11" t="s">
        <v>375</v>
      </c>
      <c r="C430" s="10">
        <v>622.0</v>
      </c>
      <c r="D430" s="10">
        <v>293.0</v>
      </c>
      <c r="E430" s="10">
        <v>118.0</v>
      </c>
      <c r="F430" s="14">
        <v>0.012</v>
      </c>
      <c r="G430" s="15">
        <v>107.0</v>
      </c>
      <c r="H430" s="15">
        <v>102.0</v>
      </c>
      <c r="I430" s="15">
        <v>115.0</v>
      </c>
      <c r="J430" s="15">
        <v>96.0</v>
      </c>
      <c r="K430" s="15">
        <v>98.0</v>
      </c>
      <c r="L430" s="15">
        <v>80.0</v>
      </c>
      <c r="M430" s="15">
        <v>80.0</v>
      </c>
      <c r="N430" s="15">
        <v>79.0</v>
      </c>
    </row>
    <row r="431">
      <c r="A431" s="10">
        <v>677649.0</v>
      </c>
      <c r="B431" s="11" t="s">
        <v>562</v>
      </c>
      <c r="C431" s="10">
        <v>782.0</v>
      </c>
      <c r="D431" s="10">
        <v>435.0</v>
      </c>
      <c r="E431" s="10">
        <v>152.0</v>
      </c>
      <c r="F431" s="14">
        <v>0.061</v>
      </c>
      <c r="G431" s="15">
        <v>87.0</v>
      </c>
      <c r="H431" s="15">
        <v>77.0</v>
      </c>
      <c r="I431" s="15">
        <v>93.0</v>
      </c>
      <c r="J431" s="15">
        <v>81.0</v>
      </c>
      <c r="K431" s="15">
        <v>97.0</v>
      </c>
      <c r="L431" s="15">
        <v>91.0</v>
      </c>
      <c r="M431" s="15">
        <v>79.0</v>
      </c>
      <c r="N431" s="15">
        <v>93.0</v>
      </c>
    </row>
    <row r="432">
      <c r="A432" s="10">
        <v>641658.0</v>
      </c>
      <c r="B432" s="11" t="s">
        <v>561</v>
      </c>
      <c r="C432" s="10">
        <v>879.0</v>
      </c>
      <c r="D432" s="10">
        <v>392.0</v>
      </c>
      <c r="E432" s="10">
        <v>141.0</v>
      </c>
      <c r="F432" s="14">
        <v>-0.046</v>
      </c>
      <c r="G432" s="15">
        <v>88.0</v>
      </c>
      <c r="H432" s="15">
        <v>91.0</v>
      </c>
      <c r="I432" s="15">
        <v>72.0</v>
      </c>
      <c r="J432" s="15">
        <v>102.0</v>
      </c>
      <c r="K432" s="15">
        <v>94.0</v>
      </c>
      <c r="L432" s="15">
        <v>82.0</v>
      </c>
      <c r="M432" s="15">
        <v>78.0</v>
      </c>
      <c r="N432" s="15">
        <v>87.0</v>
      </c>
    </row>
    <row r="433">
      <c r="A433" s="10">
        <v>456715.0</v>
      </c>
      <c r="B433" s="11" t="s">
        <v>745</v>
      </c>
      <c r="C433" s="10">
        <v>617.0</v>
      </c>
      <c r="D433" s="10">
        <v>328.0</v>
      </c>
      <c r="E433" s="10">
        <v>110.0</v>
      </c>
      <c r="F433" s="14">
        <v>0.02</v>
      </c>
      <c r="G433" s="15">
        <v>110.0</v>
      </c>
      <c r="H433" s="15">
        <v>114.0</v>
      </c>
      <c r="I433" s="15">
        <v>111.0</v>
      </c>
      <c r="J433" s="15">
        <v>108.0</v>
      </c>
      <c r="K433" s="15">
        <v>99.0</v>
      </c>
      <c r="L433" s="15">
        <v>71.0</v>
      </c>
      <c r="M433" s="15">
        <v>78.0</v>
      </c>
      <c r="N433" s="15">
        <v>71.0</v>
      </c>
    </row>
    <row r="434">
      <c r="A434" s="10">
        <v>623205.0</v>
      </c>
      <c r="B434" s="11" t="s">
        <v>746</v>
      </c>
      <c r="C434" s="10">
        <v>1283.0</v>
      </c>
      <c r="D434" s="10">
        <v>693.0</v>
      </c>
      <c r="E434" s="10">
        <v>208.0</v>
      </c>
      <c r="F434" s="14">
        <v>0.048</v>
      </c>
      <c r="G434" s="15">
        <v>112.0</v>
      </c>
      <c r="H434" s="15">
        <v>93.0</v>
      </c>
      <c r="I434" s="15">
        <v>99.0</v>
      </c>
      <c r="J434" s="15">
        <v>93.0</v>
      </c>
      <c r="K434" s="15">
        <v>77.0</v>
      </c>
      <c r="L434" s="15">
        <v>93.0</v>
      </c>
      <c r="M434" s="15">
        <v>78.0</v>
      </c>
      <c r="N434" s="15">
        <v>78.0</v>
      </c>
    </row>
    <row r="435">
      <c r="A435" s="10">
        <v>643289.0</v>
      </c>
      <c r="B435" s="11" t="s">
        <v>361</v>
      </c>
      <c r="C435" s="10">
        <v>929.0</v>
      </c>
      <c r="D435" s="10">
        <v>518.0</v>
      </c>
      <c r="E435" s="10">
        <v>221.0</v>
      </c>
      <c r="F435" s="14">
        <v>0.074</v>
      </c>
      <c r="G435" s="15">
        <v>93.0</v>
      </c>
      <c r="H435" s="15">
        <v>93.0</v>
      </c>
      <c r="I435" s="15">
        <v>125.0</v>
      </c>
      <c r="J435" s="15">
        <v>84.0</v>
      </c>
      <c r="K435" s="15">
        <v>118.0</v>
      </c>
      <c r="L435" s="15">
        <v>77.0</v>
      </c>
      <c r="M435" s="15">
        <v>78.0</v>
      </c>
      <c r="N435" s="15">
        <v>74.0</v>
      </c>
    </row>
    <row r="436">
      <c r="A436" s="10">
        <v>642336.0</v>
      </c>
      <c r="B436" s="11" t="s">
        <v>662</v>
      </c>
      <c r="C436" s="10">
        <v>1079.0</v>
      </c>
      <c r="D436" s="10">
        <v>660.0</v>
      </c>
      <c r="E436" s="10">
        <v>221.0</v>
      </c>
      <c r="F436" s="14">
        <v>0.168</v>
      </c>
      <c r="G436" s="15">
        <v>48.0</v>
      </c>
      <c r="H436" s="15">
        <v>39.0</v>
      </c>
      <c r="I436" s="15">
        <v>119.0</v>
      </c>
      <c r="J436" s="15">
        <v>40.0</v>
      </c>
      <c r="K436" s="15">
        <v>116.0</v>
      </c>
      <c r="L436" s="15">
        <v>95.0</v>
      </c>
      <c r="M436" s="15">
        <v>77.0</v>
      </c>
      <c r="N436" s="15">
        <v>85.0</v>
      </c>
    </row>
    <row r="437">
      <c r="A437" s="10">
        <v>544725.0</v>
      </c>
      <c r="B437" s="11" t="s">
        <v>747</v>
      </c>
      <c r="C437" s="10">
        <v>1142.0</v>
      </c>
      <c r="D437" s="10">
        <v>645.0</v>
      </c>
      <c r="E437" s="10">
        <v>237.0</v>
      </c>
      <c r="F437" s="14">
        <v>0.091</v>
      </c>
      <c r="G437" s="15">
        <v>101.0</v>
      </c>
      <c r="H437" s="15">
        <v>86.0</v>
      </c>
      <c r="I437" s="15">
        <v>118.0</v>
      </c>
      <c r="J437" s="15">
        <v>79.0</v>
      </c>
      <c r="K437" s="15">
        <v>103.0</v>
      </c>
      <c r="L437" s="15">
        <v>84.0</v>
      </c>
      <c r="M437" s="15">
        <v>77.0</v>
      </c>
      <c r="N437" s="15">
        <v>67.0</v>
      </c>
    </row>
    <row r="438">
      <c r="A438" s="10">
        <v>455139.0</v>
      </c>
      <c r="B438" s="11" t="s">
        <v>748</v>
      </c>
      <c r="C438" s="10">
        <v>842.0</v>
      </c>
      <c r="D438" s="10">
        <v>422.0</v>
      </c>
      <c r="E438" s="10">
        <v>130.0</v>
      </c>
      <c r="F438" s="14">
        <v>0.029</v>
      </c>
      <c r="G438" s="15">
        <v>110.0</v>
      </c>
      <c r="H438" s="15">
        <v>101.0</v>
      </c>
      <c r="I438" s="15">
        <v>108.0</v>
      </c>
      <c r="J438" s="15">
        <v>98.0</v>
      </c>
      <c r="K438" s="15">
        <v>75.0</v>
      </c>
      <c r="L438" s="15">
        <v>87.0</v>
      </c>
      <c r="M438" s="15">
        <v>77.0</v>
      </c>
      <c r="N438" s="15">
        <v>78.0</v>
      </c>
    </row>
    <row r="439">
      <c r="A439" s="10">
        <v>660644.0</v>
      </c>
      <c r="B439" s="11" t="s">
        <v>545</v>
      </c>
      <c r="C439" s="10">
        <v>604.0</v>
      </c>
      <c r="D439" s="10">
        <v>305.0</v>
      </c>
      <c r="E439" s="10">
        <v>108.0</v>
      </c>
      <c r="F439" s="14">
        <v>0.037</v>
      </c>
      <c r="G439" s="15">
        <v>108.0</v>
      </c>
      <c r="H439" s="15">
        <v>95.0</v>
      </c>
      <c r="I439" s="15">
        <v>97.0</v>
      </c>
      <c r="J439" s="15">
        <v>97.0</v>
      </c>
      <c r="K439" s="15">
        <v>100.0</v>
      </c>
      <c r="L439" s="15">
        <v>78.0</v>
      </c>
      <c r="M439" s="15">
        <v>77.0</v>
      </c>
      <c r="N439" s="15">
        <v>67.0</v>
      </c>
    </row>
    <row r="440">
      <c r="A440" s="10">
        <v>622666.0</v>
      </c>
      <c r="B440" s="11" t="s">
        <v>749</v>
      </c>
      <c r="C440" s="10">
        <v>713.0</v>
      </c>
      <c r="D440" s="10">
        <v>348.0</v>
      </c>
      <c r="E440" s="10">
        <v>116.0</v>
      </c>
      <c r="F440" s="14">
        <v>0.015</v>
      </c>
      <c r="G440" s="15">
        <v>88.0</v>
      </c>
      <c r="H440" s="15">
        <v>85.0</v>
      </c>
      <c r="I440" s="15">
        <v>106.0</v>
      </c>
      <c r="J440" s="15">
        <v>86.0</v>
      </c>
      <c r="K440" s="15">
        <v>101.0</v>
      </c>
      <c r="L440" s="15">
        <v>80.0</v>
      </c>
      <c r="M440" s="15">
        <v>77.0</v>
      </c>
      <c r="N440" s="15">
        <v>86.0</v>
      </c>
    </row>
    <row r="441">
      <c r="A441" s="10">
        <v>476704.0</v>
      </c>
      <c r="B441" s="11" t="s">
        <v>750</v>
      </c>
      <c r="C441" s="10">
        <v>724.0</v>
      </c>
      <c r="D441" s="10">
        <v>343.0</v>
      </c>
      <c r="E441" s="10">
        <v>129.0</v>
      </c>
      <c r="F441" s="14">
        <v>0.017</v>
      </c>
      <c r="G441" s="15">
        <v>127.0</v>
      </c>
      <c r="H441" s="15">
        <v>102.0</v>
      </c>
      <c r="I441" s="15">
        <v>103.0</v>
      </c>
      <c r="J441" s="15">
        <v>101.0</v>
      </c>
      <c r="K441" s="15">
        <v>94.0</v>
      </c>
      <c r="L441" s="15">
        <v>78.0</v>
      </c>
      <c r="M441" s="15">
        <v>77.0</v>
      </c>
      <c r="N441" s="15">
        <v>66.0</v>
      </c>
    </row>
    <row r="442">
      <c r="A442" s="10">
        <v>595978.0</v>
      </c>
      <c r="B442" s="11" t="s">
        <v>577</v>
      </c>
      <c r="C442" s="10">
        <v>1259.0</v>
      </c>
      <c r="D442" s="10">
        <v>599.0</v>
      </c>
      <c r="E442" s="10">
        <v>229.0</v>
      </c>
      <c r="F442" s="14">
        <v>0.016</v>
      </c>
      <c r="G442" s="15">
        <v>103.0</v>
      </c>
      <c r="H442" s="15">
        <v>101.0</v>
      </c>
      <c r="I442" s="15">
        <v>95.0</v>
      </c>
      <c r="J442" s="15">
        <v>102.0</v>
      </c>
      <c r="K442" s="15">
        <v>94.0</v>
      </c>
      <c r="L442" s="15">
        <v>79.0</v>
      </c>
      <c r="M442" s="15">
        <v>76.0</v>
      </c>
      <c r="N442" s="15">
        <v>68.0</v>
      </c>
    </row>
    <row r="443">
      <c r="A443" s="10">
        <v>546991.0</v>
      </c>
      <c r="B443" s="11" t="s">
        <v>751</v>
      </c>
      <c r="C443" s="10">
        <v>803.0</v>
      </c>
      <c r="D443" s="10">
        <v>413.0</v>
      </c>
      <c r="E443" s="10">
        <v>166.0</v>
      </c>
      <c r="F443" s="14">
        <v>0.049</v>
      </c>
      <c r="G443" s="15">
        <v>81.0</v>
      </c>
      <c r="H443" s="15">
        <v>88.0</v>
      </c>
      <c r="I443" s="15">
        <v>116.0</v>
      </c>
      <c r="J443" s="15">
        <v>83.0</v>
      </c>
      <c r="K443" s="15">
        <v>106.0</v>
      </c>
      <c r="L443" s="15">
        <v>81.0</v>
      </c>
      <c r="M443" s="15">
        <v>76.0</v>
      </c>
      <c r="N443" s="15">
        <v>87.0</v>
      </c>
    </row>
    <row r="444">
      <c r="A444" s="10">
        <v>641553.0</v>
      </c>
      <c r="B444" s="11" t="s">
        <v>752</v>
      </c>
      <c r="C444" s="10">
        <v>967.0</v>
      </c>
      <c r="D444" s="10">
        <v>458.0</v>
      </c>
      <c r="E444" s="10">
        <v>164.0</v>
      </c>
      <c r="F444" s="14">
        <v>-0.014</v>
      </c>
      <c r="G444" s="15">
        <v>106.0</v>
      </c>
      <c r="H444" s="15">
        <v>99.0</v>
      </c>
      <c r="I444" s="15">
        <v>89.0</v>
      </c>
      <c r="J444" s="15">
        <v>103.0</v>
      </c>
      <c r="K444" s="15">
        <v>91.0</v>
      </c>
      <c r="L444" s="15">
        <v>79.0</v>
      </c>
      <c r="M444" s="15">
        <v>76.0</v>
      </c>
      <c r="N444" s="15">
        <v>86.0</v>
      </c>
    </row>
    <row r="445">
      <c r="A445" s="10">
        <v>606157.0</v>
      </c>
      <c r="B445" s="11" t="s">
        <v>753</v>
      </c>
      <c r="C445" s="10">
        <v>1034.0</v>
      </c>
      <c r="D445" s="10">
        <v>582.0</v>
      </c>
      <c r="E445" s="10">
        <v>151.0</v>
      </c>
      <c r="F445" s="14">
        <v>0.066</v>
      </c>
      <c r="G445" s="15">
        <v>102.0</v>
      </c>
      <c r="H445" s="15">
        <v>81.0</v>
      </c>
      <c r="I445" s="15">
        <v>93.0</v>
      </c>
      <c r="J445" s="15">
        <v>85.0</v>
      </c>
      <c r="K445" s="15">
        <v>80.0</v>
      </c>
      <c r="L445" s="15">
        <v>94.0</v>
      </c>
      <c r="M445" s="15">
        <v>75.0</v>
      </c>
      <c r="N445" s="15">
        <v>88.0</v>
      </c>
    </row>
    <row r="446">
      <c r="A446" s="10">
        <v>661531.0</v>
      </c>
      <c r="B446" s="11" t="s">
        <v>754</v>
      </c>
      <c r="C446" s="10">
        <v>792.0</v>
      </c>
      <c r="D446" s="10">
        <v>430.0</v>
      </c>
      <c r="E446" s="10">
        <v>146.0</v>
      </c>
      <c r="F446" s="14">
        <v>0.051</v>
      </c>
      <c r="G446" s="15">
        <v>96.0</v>
      </c>
      <c r="H446" s="15">
        <v>84.0</v>
      </c>
      <c r="I446" s="15">
        <v>103.0</v>
      </c>
      <c r="J446" s="15">
        <v>84.0</v>
      </c>
      <c r="K446" s="15">
        <v>109.0</v>
      </c>
      <c r="L446" s="15">
        <v>77.0</v>
      </c>
      <c r="M446" s="15">
        <v>75.0</v>
      </c>
      <c r="N446" s="15">
        <v>84.0</v>
      </c>
    </row>
    <row r="447">
      <c r="A447" s="10">
        <v>668731.0</v>
      </c>
      <c r="B447" s="11" t="s">
        <v>619</v>
      </c>
      <c r="C447" s="10">
        <v>903.0</v>
      </c>
      <c r="D447" s="10">
        <v>428.0</v>
      </c>
      <c r="E447" s="10">
        <v>135.0</v>
      </c>
      <c r="F447" s="14">
        <v>-0.001</v>
      </c>
      <c r="G447" s="15">
        <v>109.0</v>
      </c>
      <c r="H447" s="15">
        <v>103.0</v>
      </c>
      <c r="I447" s="15">
        <v>98.0</v>
      </c>
      <c r="J447" s="15">
        <v>103.0</v>
      </c>
      <c r="K447" s="15">
        <v>85.0</v>
      </c>
      <c r="L447" s="15">
        <v>76.0</v>
      </c>
      <c r="M447" s="15">
        <v>75.0</v>
      </c>
      <c r="N447" s="15">
        <v>81.0</v>
      </c>
    </row>
    <row r="448">
      <c r="A448" s="10">
        <v>656185.0</v>
      </c>
      <c r="B448" s="11" t="s">
        <v>755</v>
      </c>
      <c r="C448" s="10">
        <v>529.0</v>
      </c>
      <c r="D448" s="10">
        <v>243.0</v>
      </c>
      <c r="E448" s="10">
        <v>78.0</v>
      </c>
      <c r="F448" s="14">
        <v>-0.026</v>
      </c>
      <c r="G448" s="15">
        <v>111.0</v>
      </c>
      <c r="H448" s="15">
        <v>109.0</v>
      </c>
      <c r="I448" s="15">
        <v>97.0</v>
      </c>
      <c r="J448" s="15">
        <v>109.0</v>
      </c>
      <c r="K448" s="15">
        <v>85.0</v>
      </c>
      <c r="L448" s="15">
        <v>72.0</v>
      </c>
      <c r="M448" s="15">
        <v>75.0</v>
      </c>
      <c r="N448" s="15">
        <v>78.0</v>
      </c>
    </row>
    <row r="449">
      <c r="A449" s="10">
        <v>665506.0</v>
      </c>
      <c r="B449" s="11" t="s">
        <v>560</v>
      </c>
      <c r="C449" s="10">
        <v>912.0</v>
      </c>
      <c r="D449" s="10">
        <v>460.0</v>
      </c>
      <c r="E449" s="10">
        <v>173.0</v>
      </c>
      <c r="F449" s="14">
        <v>0.018</v>
      </c>
      <c r="G449" s="15">
        <v>114.0</v>
      </c>
      <c r="H449" s="15">
        <v>105.0</v>
      </c>
      <c r="I449" s="15">
        <v>101.0</v>
      </c>
      <c r="J449" s="15">
        <v>104.0</v>
      </c>
      <c r="K449" s="15">
        <v>87.0</v>
      </c>
      <c r="L449" s="15">
        <v>80.0</v>
      </c>
      <c r="M449" s="15">
        <v>74.0</v>
      </c>
      <c r="N449" s="15">
        <v>60.0</v>
      </c>
    </row>
    <row r="450">
      <c r="A450" s="10">
        <v>623168.0</v>
      </c>
      <c r="B450" s="11" t="s">
        <v>756</v>
      </c>
      <c r="C450" s="10">
        <v>599.0</v>
      </c>
      <c r="D450" s="10">
        <v>332.0</v>
      </c>
      <c r="E450" s="10">
        <v>144.0</v>
      </c>
      <c r="F450" s="14">
        <v>0.076</v>
      </c>
      <c r="G450" s="15">
        <v>93.0</v>
      </c>
      <c r="H450" s="15">
        <v>92.0</v>
      </c>
      <c r="I450" s="15">
        <v>120.0</v>
      </c>
      <c r="J450" s="15">
        <v>84.0</v>
      </c>
      <c r="K450" s="15">
        <v>118.0</v>
      </c>
      <c r="L450" s="15">
        <v>75.0</v>
      </c>
      <c r="M450" s="15">
        <v>74.0</v>
      </c>
      <c r="N450" s="15">
        <v>71.0</v>
      </c>
    </row>
    <row r="451">
      <c r="A451" s="10">
        <v>672779.0</v>
      </c>
      <c r="B451" s="11" t="s">
        <v>606</v>
      </c>
      <c r="C451" s="10">
        <v>660.0</v>
      </c>
      <c r="D451" s="10">
        <v>307.0</v>
      </c>
      <c r="E451" s="10">
        <v>121.0</v>
      </c>
      <c r="F451" s="14">
        <v>-0.016</v>
      </c>
      <c r="G451" s="15">
        <v>102.0</v>
      </c>
      <c r="H451" s="15">
        <v>103.0</v>
      </c>
      <c r="I451" s="15">
        <v>92.0</v>
      </c>
      <c r="J451" s="15">
        <v>106.0</v>
      </c>
      <c r="K451" s="15">
        <v>105.0</v>
      </c>
      <c r="L451" s="15">
        <v>70.0</v>
      </c>
      <c r="M451" s="15">
        <v>74.0</v>
      </c>
      <c r="N451" s="15">
        <v>84.0</v>
      </c>
    </row>
    <row r="452">
      <c r="A452" s="10">
        <v>621433.0</v>
      </c>
      <c r="B452" s="11" t="s">
        <v>757</v>
      </c>
      <c r="C452" s="10">
        <v>970.0</v>
      </c>
      <c r="D452" s="10">
        <v>430.0</v>
      </c>
      <c r="E452" s="10">
        <v>111.0</v>
      </c>
      <c r="F452" s="14">
        <v>-0.056</v>
      </c>
      <c r="G452" s="15">
        <v>112.0</v>
      </c>
      <c r="H452" s="15">
        <v>100.0</v>
      </c>
      <c r="I452" s="15">
        <v>72.0</v>
      </c>
      <c r="J452" s="15">
        <v>112.0</v>
      </c>
      <c r="K452" s="15">
        <v>60.0</v>
      </c>
      <c r="L452" s="15">
        <v>86.0</v>
      </c>
      <c r="M452" s="15">
        <v>74.0</v>
      </c>
      <c r="N452" s="15">
        <v>70.0</v>
      </c>
    </row>
    <row r="453">
      <c r="A453" s="10">
        <v>669397.0</v>
      </c>
      <c r="B453" s="11" t="s">
        <v>374</v>
      </c>
      <c r="C453" s="10">
        <v>1142.0</v>
      </c>
      <c r="D453" s="10">
        <v>607.0</v>
      </c>
      <c r="E453" s="10">
        <v>239.0</v>
      </c>
      <c r="F453" s="14">
        <v>0.051</v>
      </c>
      <c r="G453" s="15">
        <v>112.0</v>
      </c>
      <c r="H453" s="15">
        <v>108.0</v>
      </c>
      <c r="I453" s="15">
        <v>117.0</v>
      </c>
      <c r="J453" s="15">
        <v>101.0</v>
      </c>
      <c r="K453" s="15">
        <v>103.0</v>
      </c>
      <c r="L453" s="15">
        <v>72.0</v>
      </c>
      <c r="M453" s="15">
        <v>73.0</v>
      </c>
      <c r="N453" s="15">
        <v>79.0</v>
      </c>
    </row>
    <row r="454">
      <c r="A454" s="10">
        <v>682928.0</v>
      </c>
      <c r="B454" s="11" t="s">
        <v>210</v>
      </c>
      <c r="C454" s="10">
        <v>997.0</v>
      </c>
      <c r="D454" s="10">
        <v>568.0</v>
      </c>
      <c r="E454" s="10">
        <v>236.0</v>
      </c>
      <c r="F454" s="14">
        <v>0.09</v>
      </c>
      <c r="G454" s="15">
        <v>86.0</v>
      </c>
      <c r="H454" s="15">
        <v>76.0</v>
      </c>
      <c r="I454" s="15">
        <v>102.0</v>
      </c>
      <c r="J454" s="15">
        <v>75.0</v>
      </c>
      <c r="K454" s="15">
        <v>112.0</v>
      </c>
      <c r="L454" s="15">
        <v>82.0</v>
      </c>
      <c r="M454" s="15">
        <v>73.0</v>
      </c>
      <c r="N454" s="15">
        <v>84.0</v>
      </c>
    </row>
    <row r="455">
      <c r="A455" s="10">
        <v>645302.0</v>
      </c>
      <c r="B455" s="11" t="s">
        <v>476</v>
      </c>
      <c r="C455" s="10">
        <v>1387.0</v>
      </c>
      <c r="D455" s="10">
        <v>745.0</v>
      </c>
      <c r="E455" s="10">
        <v>273.0</v>
      </c>
      <c r="F455" s="14">
        <v>0.054</v>
      </c>
      <c r="G455" s="15">
        <v>112.0</v>
      </c>
      <c r="H455" s="15">
        <v>97.0</v>
      </c>
      <c r="I455" s="15">
        <v>104.0</v>
      </c>
      <c r="J455" s="15">
        <v>95.0</v>
      </c>
      <c r="K455" s="15">
        <v>91.0</v>
      </c>
      <c r="L455" s="15">
        <v>80.0</v>
      </c>
      <c r="M455" s="15">
        <v>72.0</v>
      </c>
      <c r="N455" s="15">
        <v>80.0</v>
      </c>
    </row>
    <row r="456">
      <c r="A456" s="10">
        <v>650331.0</v>
      </c>
      <c r="B456" s="11" t="s">
        <v>758</v>
      </c>
      <c r="C456" s="10">
        <v>730.0</v>
      </c>
      <c r="D456" s="10">
        <v>337.0</v>
      </c>
      <c r="E456" s="10">
        <v>107.0</v>
      </c>
      <c r="F456" s="14">
        <v>-0.029</v>
      </c>
      <c r="G456" s="15">
        <v>70.0</v>
      </c>
      <c r="H456" s="15">
        <v>69.0</v>
      </c>
      <c r="I456" s="15">
        <v>81.0</v>
      </c>
      <c r="J456" s="15">
        <v>79.0</v>
      </c>
      <c r="K456" s="15">
        <v>103.0</v>
      </c>
      <c r="L456" s="15">
        <v>80.0</v>
      </c>
      <c r="M456" s="15">
        <v>72.0</v>
      </c>
      <c r="N456" s="15">
        <v>73.0</v>
      </c>
    </row>
    <row r="457">
      <c r="A457" s="10">
        <v>542340.0</v>
      </c>
      <c r="B457" s="11" t="s">
        <v>759</v>
      </c>
      <c r="C457" s="10">
        <v>871.0</v>
      </c>
      <c r="D457" s="10">
        <v>445.0</v>
      </c>
      <c r="E457" s="10">
        <v>146.0</v>
      </c>
      <c r="F457" s="14">
        <v>0.042</v>
      </c>
      <c r="G457" s="15">
        <v>120.0</v>
      </c>
      <c r="H457" s="15">
        <v>101.0</v>
      </c>
      <c r="I457" s="15">
        <v>115.0</v>
      </c>
      <c r="J457" s="15">
        <v>96.0</v>
      </c>
      <c r="K457" s="15">
        <v>82.0</v>
      </c>
      <c r="L457" s="15">
        <v>78.0</v>
      </c>
      <c r="M457" s="15">
        <v>71.0</v>
      </c>
      <c r="N457" s="15">
        <v>76.0</v>
      </c>
    </row>
    <row r="458">
      <c r="A458" s="10">
        <v>593643.0</v>
      </c>
      <c r="B458" s="11" t="s">
        <v>760</v>
      </c>
      <c r="C458" s="10">
        <v>508.0</v>
      </c>
      <c r="D458" s="10">
        <v>314.0</v>
      </c>
      <c r="E458" s="10">
        <v>130.0</v>
      </c>
      <c r="F458" s="14">
        <v>0.141</v>
      </c>
      <c r="G458" s="15">
        <v>78.0</v>
      </c>
      <c r="H458" s="15">
        <v>65.0</v>
      </c>
      <c r="I458" s="15">
        <v>127.0</v>
      </c>
      <c r="J458" s="15">
        <v>61.0</v>
      </c>
      <c r="K458" s="15">
        <v>116.0</v>
      </c>
      <c r="L458" s="15">
        <v>82.0</v>
      </c>
      <c r="M458" s="15">
        <v>70.0</v>
      </c>
      <c r="N458" s="15">
        <v>84.0</v>
      </c>
    </row>
    <row r="459">
      <c r="A459" s="10">
        <v>645444.0</v>
      </c>
      <c r="B459" s="11" t="s">
        <v>349</v>
      </c>
      <c r="C459" s="10">
        <v>468.0</v>
      </c>
      <c r="D459" s="10">
        <v>197.0</v>
      </c>
      <c r="E459" s="10">
        <v>81.0</v>
      </c>
      <c r="F459" s="14">
        <v>-0.06</v>
      </c>
      <c r="G459" s="15">
        <v>87.0</v>
      </c>
      <c r="H459" s="15">
        <v>109.0</v>
      </c>
      <c r="I459" s="15">
        <v>90.0</v>
      </c>
      <c r="J459" s="15">
        <v>113.0</v>
      </c>
      <c r="K459" s="15">
        <v>99.0</v>
      </c>
      <c r="L459" s="15">
        <v>64.0</v>
      </c>
      <c r="M459" s="15">
        <v>70.0</v>
      </c>
      <c r="N459" s="15">
        <v>72.0</v>
      </c>
    </row>
    <row r="460">
      <c r="A460" s="10">
        <v>641511.0</v>
      </c>
      <c r="B460" s="11" t="s">
        <v>646</v>
      </c>
      <c r="C460" s="10">
        <v>650.0</v>
      </c>
      <c r="D460" s="10">
        <v>355.0</v>
      </c>
      <c r="E460" s="10">
        <v>105.0</v>
      </c>
      <c r="F460" s="14">
        <v>0.031</v>
      </c>
      <c r="G460" s="15">
        <v>108.0</v>
      </c>
      <c r="H460" s="15">
        <v>103.0</v>
      </c>
      <c r="I460" s="15">
        <v>114.0</v>
      </c>
      <c r="J460" s="15">
        <v>97.0</v>
      </c>
      <c r="K460" s="15">
        <v>92.0</v>
      </c>
      <c r="L460" s="15">
        <v>69.0</v>
      </c>
      <c r="M460" s="15">
        <v>69.0</v>
      </c>
      <c r="N460" s="15">
        <v>79.0</v>
      </c>
    </row>
    <row r="461">
      <c r="A461" s="10">
        <v>444876.0</v>
      </c>
      <c r="B461" s="11" t="s">
        <v>761</v>
      </c>
      <c r="C461" s="10">
        <v>505.0</v>
      </c>
      <c r="D461" s="10">
        <v>274.0</v>
      </c>
      <c r="E461" s="10">
        <v>92.0</v>
      </c>
      <c r="F461" s="14">
        <v>0.049</v>
      </c>
      <c r="G461" s="15">
        <v>79.0</v>
      </c>
      <c r="H461" s="15">
        <v>64.0</v>
      </c>
      <c r="I461" s="15">
        <v>96.0</v>
      </c>
      <c r="J461" s="15">
        <v>67.0</v>
      </c>
      <c r="K461" s="15">
        <v>103.0</v>
      </c>
      <c r="L461" s="15">
        <v>78.0</v>
      </c>
      <c r="M461" s="15">
        <v>64.0</v>
      </c>
      <c r="N461" s="15">
        <v>75.0</v>
      </c>
    </row>
    <row r="462">
      <c r="A462" s="10">
        <v>676480.0</v>
      </c>
      <c r="B462" s="11" t="s">
        <v>660</v>
      </c>
      <c r="C462" s="10">
        <v>634.0</v>
      </c>
      <c r="D462" s="10">
        <v>358.0</v>
      </c>
      <c r="E462" s="10">
        <v>83.0</v>
      </c>
      <c r="F462" s="14">
        <v>0.065</v>
      </c>
      <c r="G462" s="15">
        <v>90.0</v>
      </c>
      <c r="H462" s="15">
        <v>84.0</v>
      </c>
      <c r="I462" s="15">
        <v>113.0</v>
      </c>
      <c r="J462" s="15">
        <v>81.0</v>
      </c>
      <c r="K462" s="15">
        <v>67.0</v>
      </c>
      <c r="L462" s="15">
        <v>84.0</v>
      </c>
      <c r="M462" s="15">
        <v>63.0</v>
      </c>
      <c r="N462" s="15">
        <v>59.0</v>
      </c>
    </row>
    <row r="463">
      <c r="A463" s="10">
        <v>605548.0</v>
      </c>
      <c r="B463" s="11" t="s">
        <v>762</v>
      </c>
      <c r="C463" s="10">
        <v>435.0</v>
      </c>
      <c r="D463" s="10">
        <v>225.0</v>
      </c>
      <c r="E463" s="10">
        <v>61.0</v>
      </c>
      <c r="F463" s="14">
        <v>0.025</v>
      </c>
      <c r="G463" s="15">
        <v>91.0</v>
      </c>
      <c r="H463" s="15">
        <v>79.0</v>
      </c>
      <c r="I463" s="15">
        <v>89.0</v>
      </c>
      <c r="J463" s="15">
        <v>83.0</v>
      </c>
      <c r="K463" s="15">
        <v>69.0</v>
      </c>
      <c r="L463" s="15">
        <v>84.0</v>
      </c>
      <c r="M463" s="15">
        <v>62.0</v>
      </c>
      <c r="N463" s="15">
        <v>60.0</v>
      </c>
    </row>
    <row r="464">
      <c r="A464" s="10">
        <v>519222.0</v>
      </c>
      <c r="B464" s="11" t="s">
        <v>763</v>
      </c>
      <c r="C464" s="10">
        <v>489.0</v>
      </c>
      <c r="D464" s="10">
        <v>266.0</v>
      </c>
      <c r="E464" s="10">
        <v>80.0</v>
      </c>
      <c r="F464" s="14">
        <v>0.07</v>
      </c>
      <c r="G464" s="15">
        <v>89.0</v>
      </c>
      <c r="H464" s="15">
        <v>84.0</v>
      </c>
      <c r="I464" s="15">
        <v>107.0</v>
      </c>
      <c r="J464" s="15">
        <v>82.0</v>
      </c>
      <c r="K464" s="15">
        <v>73.0</v>
      </c>
      <c r="L464" s="15">
        <v>81.0</v>
      </c>
      <c r="M464" s="15">
        <v>61.0</v>
      </c>
      <c r="N464" s="15">
        <v>55.0</v>
      </c>
    </row>
    <row r="465">
      <c r="A465" s="10">
        <v>518586.0</v>
      </c>
      <c r="B465" s="11" t="s">
        <v>764</v>
      </c>
      <c r="C465" s="10">
        <v>430.0</v>
      </c>
      <c r="D465" s="10">
        <v>255.0</v>
      </c>
      <c r="E465" s="10">
        <v>88.0</v>
      </c>
      <c r="F465" s="14">
        <v>0.111</v>
      </c>
      <c r="G465" s="15">
        <v>92.0</v>
      </c>
      <c r="H465" s="15">
        <v>83.0</v>
      </c>
      <c r="I465" s="15">
        <v>101.0</v>
      </c>
      <c r="J465" s="15">
        <v>83.0</v>
      </c>
      <c r="K465" s="15">
        <v>94.0</v>
      </c>
      <c r="L465" s="15">
        <v>75.0</v>
      </c>
      <c r="M465" s="15">
        <v>61.0</v>
      </c>
      <c r="N465" s="15">
        <v>85.0</v>
      </c>
    </row>
    <row r="466">
      <c r="A466" s="10">
        <v>669352.0</v>
      </c>
      <c r="B466" s="11" t="s">
        <v>765</v>
      </c>
      <c r="C466" s="10">
        <v>634.0</v>
      </c>
      <c r="D466" s="10">
        <v>375.0</v>
      </c>
      <c r="E466" s="10">
        <v>113.0</v>
      </c>
      <c r="F466" s="14">
        <v>0.079</v>
      </c>
      <c r="G466" s="15">
        <v>108.0</v>
      </c>
      <c r="H466" s="15">
        <v>96.0</v>
      </c>
      <c r="I466" s="15">
        <v>118.0</v>
      </c>
      <c r="J466" s="15">
        <v>89.0</v>
      </c>
      <c r="K466" s="15">
        <v>78.0</v>
      </c>
      <c r="L466" s="15">
        <v>75.0</v>
      </c>
      <c r="M466" s="15">
        <v>60.0</v>
      </c>
      <c r="N466" s="15">
        <v>93.0</v>
      </c>
    </row>
    <row r="467">
      <c r="A467" s="10">
        <v>666160.0</v>
      </c>
      <c r="B467" s="11" t="s">
        <v>208</v>
      </c>
      <c r="C467" s="10">
        <v>409.0</v>
      </c>
      <c r="D467" s="10">
        <v>238.0</v>
      </c>
      <c r="E467" s="10">
        <v>63.0</v>
      </c>
      <c r="F467" s="14">
        <v>0.12</v>
      </c>
      <c r="G467" s="15">
        <v>70.0</v>
      </c>
      <c r="H467" s="15">
        <v>67.0</v>
      </c>
      <c r="I467" s="15">
        <v>103.0</v>
      </c>
      <c r="J467" s="15">
        <v>70.0</v>
      </c>
      <c r="K467" s="15">
        <v>73.0</v>
      </c>
      <c r="L467" s="15">
        <v>82.0</v>
      </c>
      <c r="M467" s="15">
        <v>54.0</v>
      </c>
      <c r="N467" s="15">
        <v>68.0</v>
      </c>
    </row>
  </sheetData>
  <conditionalFormatting sqref="G1:N467">
    <cfRule type="colorScale" priority="1">
      <colorScale>
        <cfvo type="formula" val="60"/>
        <cfvo type="formula" val="100"/>
        <cfvo type="formula" val="140"/>
        <color rgb="FFE67C73"/>
        <color rgb="FFFFFFFF"/>
        <color rgb="FF57BB8A"/>
      </colorScale>
    </cfRule>
  </conditionalFormatting>
  <conditionalFormatting sqref="C1:C467">
    <cfRule type="cellIs" dxfId="0" priority="2" operator="greaterThanOrEqual">
      <formula>400</formula>
    </cfRule>
  </conditionalFormatting>
  <conditionalFormatting sqref="D1:D467">
    <cfRule type="cellIs" dxfId="0" priority="3" operator="greaterThanOrEqual">
      <formula>200</formula>
    </cfRule>
  </conditionalFormatting>
  <conditionalFormatting sqref="E1:E467">
    <cfRule type="cellIs" dxfId="0" priority="4" operator="greaterThanOrEqual">
      <formula>75</formula>
    </cfRule>
  </conditionalFormatting>
  <drawing r:id="rId1"/>
</worksheet>
</file>